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\nosql-refactoring\results\"/>
    </mc:Choice>
  </mc:AlternateContent>
  <xr:revisionPtr revIDLastSave="0" documentId="13_ncr:1_{EBF5C19E-4DD3-42F1-B7E9-FD4D944DC1FC}" xr6:coauthVersionLast="47" xr6:coauthVersionMax="47" xr10:uidLastSave="{00000000-0000-0000-0000-000000000000}"/>
  <bookViews>
    <workbookView xWindow="-110" yWindow="-110" windowWidth="38620" windowHeight="21100" tabRatio="799" activeTab="7" xr2:uid="{9DCFC8E8-6974-4295-BC43-7328B70AD737}"/>
  </bookViews>
  <sheets>
    <sheet name="Query 1x" sheetId="1" r:id="rId1"/>
    <sheet name="Mig 1x" sheetId="2" r:id="rId2"/>
    <sheet name="Query 2x" sheetId="4" r:id="rId3"/>
    <sheet name="Mig 2x" sheetId="6" r:id="rId4"/>
    <sheet name="Query 5x" sheetId="13" r:id="rId5"/>
    <sheet name="Mig 5x" sheetId="14" r:id="rId6"/>
    <sheet name="Query 10x" sheetId="7" r:id="rId7"/>
    <sheet name="Mig 10x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3" l="1"/>
  <c r="W49" i="7"/>
  <c r="U49" i="13"/>
  <c r="AF49" i="7"/>
  <c r="AC49" i="13"/>
  <c r="AC49" i="4"/>
  <c r="U49" i="4"/>
  <c r="M49" i="4"/>
  <c r="AF49" i="1"/>
  <c r="W49" i="1"/>
  <c r="N49" i="1"/>
  <c r="E49" i="1"/>
  <c r="N49" i="7"/>
  <c r="E49" i="7"/>
  <c r="AI49" i="7"/>
  <c r="Z49" i="7"/>
  <c r="Z30" i="7"/>
  <c r="Q49" i="7"/>
  <c r="Q30" i="7"/>
  <c r="H49" i="7"/>
  <c r="H30" i="7"/>
  <c r="H17" i="7"/>
  <c r="H8" i="7"/>
  <c r="H18" i="1"/>
  <c r="Z31" i="1"/>
  <c r="AI50" i="1"/>
  <c r="H49" i="1"/>
  <c r="Q49" i="1"/>
  <c r="Z49" i="1"/>
  <c r="H30" i="1"/>
  <c r="Q30" i="1"/>
  <c r="H17" i="1"/>
  <c r="AI49" i="1"/>
  <c r="N30" i="1"/>
  <c r="Z30" i="1"/>
  <c r="H8" i="1"/>
  <c r="F17" i="7"/>
  <c r="F17" i="13"/>
  <c r="F17" i="4"/>
  <c r="F17" i="1"/>
  <c r="F30" i="1"/>
  <c r="O30" i="7"/>
  <c r="N30" i="13"/>
  <c r="N30" i="4"/>
  <c r="O30" i="1"/>
  <c r="W30" i="7"/>
  <c r="U30" i="13"/>
  <c r="U30" i="4"/>
  <c r="W30" i="1"/>
  <c r="B13" i="14"/>
  <c r="B12" i="14"/>
  <c r="E49" i="13"/>
  <c r="B11" i="14" s="1"/>
  <c r="M30" i="13"/>
  <c r="B8" i="14" s="1"/>
  <c r="E30" i="13"/>
  <c r="B7" i="14" s="1"/>
  <c r="E17" i="13"/>
  <c r="E8" i="13"/>
  <c r="D7" i="14" l="1"/>
  <c r="G7" i="14" s="1"/>
  <c r="C7" i="14"/>
  <c r="F7" i="14" s="1"/>
  <c r="D8" i="14"/>
  <c r="G8" i="14" s="1"/>
  <c r="C8" i="14"/>
  <c r="F8" i="14" s="1"/>
  <c r="C11" i="14"/>
  <c r="F11" i="14" s="1"/>
  <c r="D11" i="14"/>
  <c r="G11" i="14" s="1"/>
  <c r="H11" i="14" s="1"/>
  <c r="I11" i="14" s="1"/>
  <c r="D12" i="14"/>
  <c r="G12" i="14" s="1"/>
  <c r="H12" i="14" s="1"/>
  <c r="I12" i="14" s="1"/>
  <c r="C12" i="14"/>
  <c r="F12" i="14" s="1"/>
  <c r="D13" i="14"/>
  <c r="G13" i="14" s="1"/>
  <c r="H13" i="14" s="1"/>
  <c r="I13" i="14" s="1"/>
  <c r="C13" i="14"/>
  <c r="F13" i="14" s="1"/>
  <c r="B13" i="8"/>
  <c r="B11" i="8"/>
  <c r="N30" i="7"/>
  <c r="E30" i="7"/>
  <c r="B7" i="8" s="1"/>
  <c r="E17" i="7"/>
  <c r="E8" i="7"/>
  <c r="E49" i="4"/>
  <c r="B11" i="6" s="1"/>
  <c r="B13" i="6"/>
  <c r="B12" i="6"/>
  <c r="D12" i="6" s="1"/>
  <c r="G12" i="6" s="1"/>
  <c r="H12" i="6" s="1"/>
  <c r="I12" i="6" s="1"/>
  <c r="D13" i="6"/>
  <c r="G13" i="6" s="1"/>
  <c r="H13" i="6" s="1"/>
  <c r="I13" i="6" s="1"/>
  <c r="C12" i="6" l="1"/>
  <c r="F12" i="6" s="1"/>
  <c r="B12" i="8"/>
  <c r="C12" i="8" s="1"/>
  <c r="F12" i="8" s="1"/>
  <c r="B8" i="8"/>
  <c r="D8" i="8" s="1"/>
  <c r="G8" i="8" s="1"/>
  <c r="D7" i="8"/>
  <c r="G7" i="8" s="1"/>
  <c r="C7" i="8"/>
  <c r="F7" i="8" s="1"/>
  <c r="D13" i="8"/>
  <c r="G13" i="8" s="1"/>
  <c r="H13" i="8" s="1"/>
  <c r="I13" i="8" s="1"/>
  <c r="C13" i="8"/>
  <c r="F13" i="8" s="1"/>
  <c r="C11" i="8"/>
  <c r="F11" i="8" s="1"/>
  <c r="D11" i="8"/>
  <c r="G11" i="8" s="1"/>
  <c r="H11" i="8" s="1"/>
  <c r="I11" i="8" s="1"/>
  <c r="D11" i="6"/>
  <c r="G11" i="6" s="1"/>
  <c r="H11" i="6" s="1"/>
  <c r="I11" i="6" s="1"/>
  <c r="C11" i="6"/>
  <c r="F11" i="6" s="1"/>
  <c r="C13" i="6"/>
  <c r="F13" i="6" s="1"/>
  <c r="M30" i="4"/>
  <c r="E30" i="4"/>
  <c r="E17" i="4"/>
  <c r="E8" i="4"/>
  <c r="E8" i="1"/>
  <c r="E30" i="1"/>
  <c r="E17" i="1"/>
  <c r="D12" i="8" l="1"/>
  <c r="G12" i="8" s="1"/>
  <c r="H12" i="8" s="1"/>
  <c r="I12" i="8" s="1"/>
  <c r="B13" i="2"/>
  <c r="D13" i="2" s="1"/>
  <c r="G13" i="2" s="1"/>
  <c r="H13" i="2" s="1"/>
  <c r="B11" i="2"/>
  <c r="C11" i="2" s="1"/>
  <c r="F11" i="2" s="1"/>
  <c r="B12" i="2"/>
  <c r="D12" i="2" s="1"/>
  <c r="G12" i="2" s="1"/>
  <c r="H12" i="2" s="1"/>
  <c r="C8" i="8"/>
  <c r="F8" i="8" s="1"/>
  <c r="B8" i="2"/>
  <c r="C8" i="2" s="1"/>
  <c r="F8" i="2" s="1"/>
  <c r="B7" i="2"/>
  <c r="D7" i="2" s="1"/>
  <c r="G7" i="2" s="1"/>
  <c r="B8" i="6"/>
  <c r="B7" i="6"/>
  <c r="C12" i="2" l="1"/>
  <c r="F12" i="2" s="1"/>
  <c r="D11" i="2"/>
  <c r="G11" i="2" s="1"/>
  <c r="H11" i="2" s="1"/>
  <c r="I11" i="2" s="1"/>
  <c r="C13" i="2"/>
  <c r="F13" i="2" s="1"/>
  <c r="I13" i="2"/>
  <c r="I12" i="2"/>
  <c r="D8" i="2"/>
  <c r="G8" i="2" s="1"/>
  <c r="C7" i="2"/>
  <c r="F7" i="2" s="1"/>
  <c r="D8" i="6"/>
  <c r="G8" i="6" s="1"/>
  <c r="C8" i="6"/>
  <c r="F8" i="6" s="1"/>
  <c r="D7" i="6"/>
  <c r="G7" i="6" s="1"/>
  <c r="C7" i="6"/>
  <c r="F7" i="6" s="1"/>
</calcChain>
</file>

<file path=xl/sharedStrings.xml><?xml version="1.0" encoding="utf-8"?>
<sst xmlns="http://schemas.openxmlformats.org/spreadsheetml/2006/main" count="402" uniqueCount="38">
  <si>
    <t>Total_Execution_Time</t>
  </si>
  <si>
    <t>Execution_Count</t>
  </si>
  <si>
    <t>Mean_Execution_Time</t>
  </si>
  <si>
    <t>Std_Dev_Execution_Time</t>
  </si>
  <si>
    <t>Total_Execution_Percentage</t>
  </si>
  <si>
    <t>QueryType</t>
  </si>
  <si>
    <t>2003 opt</t>
  </si>
  <si>
    <t>2013 over03opt</t>
  </si>
  <si>
    <t>2013 opt</t>
  </si>
  <si>
    <t>Weight</t>
  </si>
  <si>
    <t>2023 over03opt</t>
  </si>
  <si>
    <t>2023 over13opt</t>
  </si>
  <si>
    <t>2023 opt</t>
  </si>
  <si>
    <t>Query volume</t>
  </si>
  <si>
    <t>D2_alpha</t>
  </si>
  <si>
    <t>D2_beta</t>
  </si>
  <si>
    <t>Avg q time</t>
  </si>
  <si>
    <t>D3_alpha</t>
  </si>
  <si>
    <t>D3_beta</t>
  </si>
  <si>
    <t>D3_gamma</t>
  </si>
  <si>
    <t>Mig time (sec) from alpha</t>
  </si>
  <si>
    <t>Mig time (sec) from beta</t>
  </si>
  <si>
    <t>W</t>
  </si>
  <si>
    <t>alpha</t>
  </si>
  <si>
    <t>beta</t>
  </si>
  <si>
    <t>gamma</t>
  </si>
  <si>
    <t>Original query volume</t>
  </si>
  <si>
    <t>W beta (2013)</t>
  </si>
  <si>
    <t>W gamma (2023)</t>
  </si>
  <si>
    <t>Total time (sec) on original query volume</t>
  </si>
  <si>
    <t>Total time (sec) on query volume</t>
  </si>
  <si>
    <t>Total time (min) on query volume</t>
  </si>
  <si>
    <t>Total time (min) on original query volume</t>
  </si>
  <si>
    <t>Total time (h) on original query volume</t>
  </si>
  <si>
    <t>Total time (d) on original query volume</t>
  </si>
  <si>
    <t>Mig time (sec) from D1_alpha</t>
  </si>
  <si>
    <t>Mig time (sec) from D2_beta</t>
  </si>
  <si>
    <t>Actual_Rows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</si>
</sst>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6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5" fillId="3" borderId="0" xfId="0" applyFont="1" applyFill="1" applyAlignment="1">
      <alignment wrapText="1"/>
    </xf>
    <xf numFmtId="1" fontId="0" fillId="3" borderId="0" xfId="0" applyNumberFormat="1" applyFill="1" applyAlignment="1">
      <alignment wrapText="1"/>
    </xf>
    <xf numFmtId="165" fontId="0" fillId="3" borderId="0" xfId="0" applyNumberFormat="1" applyFill="1" applyAlignment="1">
      <alignment wrapText="1"/>
    </xf>
    <xf numFmtId="1" fontId="0" fillId="4" borderId="0" xfId="0" applyNumberFormat="1" applyFill="1" applyAlignment="1">
      <alignment wrapText="1"/>
    </xf>
    <xf numFmtId="0" fontId="5" fillId="4" borderId="0" xfId="0" applyFont="1" applyFill="1" applyAlignment="1">
      <alignment wrapText="1"/>
    </xf>
    <xf numFmtId="165" fontId="0" fillId="4" borderId="0" xfId="0" applyNumberFormat="1" applyFill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Fill="1"/>
    <xf numFmtId="4" fontId="2" fillId="0" borderId="0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10" fontId="3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4" fontId="2" fillId="0" borderId="2" xfId="0" applyNumberFormat="1" applyFont="1" applyFill="1" applyBorder="1" applyAlignment="1">
      <alignment vertical="center" wrapText="1"/>
    </xf>
    <xf numFmtId="0" fontId="4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4" fontId="0" fillId="0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1D44-AC13-4E05-B908-0B5C89C2B65C}">
  <dimension ref="A1:AI50"/>
  <sheetViews>
    <sheetView zoomScaleNormal="100" workbookViewId="0"/>
  </sheetViews>
  <sheetFormatPr defaultColWidth="28.08203125" defaultRowHeight="14"/>
  <cols>
    <col min="1" max="1" width="7.83203125" style="17" customWidth="1"/>
    <col min="2" max="2" width="6.25" style="17" bestFit="1" customWidth="1"/>
    <col min="3" max="7" width="12.58203125" style="17" customWidth="1"/>
    <col min="8" max="8" width="7.4140625" style="17" customWidth="1"/>
    <col min="9" max="9" width="4.83203125" style="17" customWidth="1"/>
    <col min="10" max="10" width="7.33203125" style="17" customWidth="1"/>
    <col min="11" max="11" width="6.33203125" style="17" bestFit="1" customWidth="1"/>
    <col min="12" max="16" width="11.83203125" style="17" customWidth="1"/>
    <col min="17" max="17" width="7.4140625" style="17" customWidth="1"/>
    <col min="18" max="18" width="8.75" style="17" bestFit="1" customWidth="1"/>
    <col min="19" max="20" width="6.75" style="17" customWidth="1"/>
    <col min="21" max="23" width="12.33203125" style="17" customWidth="1"/>
    <col min="24" max="24" width="12.33203125" style="17" hidden="1" customWidth="1"/>
    <col min="25" max="25" width="12.33203125" style="17" customWidth="1"/>
    <col min="26" max="26" width="7.4140625" style="17" customWidth="1"/>
    <col min="27" max="27" width="6.33203125" style="17" customWidth="1"/>
    <col min="28" max="28" width="6.58203125" style="17" customWidth="1"/>
    <col min="29" max="29" width="6.33203125" style="17" bestFit="1" customWidth="1"/>
    <col min="30" max="32" width="11.58203125" style="17" customWidth="1"/>
    <col min="33" max="33" width="11.58203125" style="17" hidden="1" customWidth="1"/>
    <col min="34" max="34" width="11.58203125" style="17" customWidth="1"/>
    <col min="35" max="35" width="7.08203125" style="17" customWidth="1"/>
    <col min="36" max="16384" width="28.08203125" style="17"/>
  </cols>
  <sheetData>
    <row r="1" spans="1:26" ht="26">
      <c r="A1" s="15">
        <v>2003</v>
      </c>
      <c r="B1" s="15" t="s">
        <v>9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6" t="s">
        <v>37</v>
      </c>
      <c r="Q1" s="16"/>
      <c r="R1" s="18"/>
      <c r="S1" s="18"/>
      <c r="T1" s="18"/>
      <c r="U1" s="18"/>
      <c r="V1" s="18"/>
      <c r="W1" s="18"/>
      <c r="X1" s="18"/>
      <c r="Y1" s="18"/>
      <c r="Z1" s="16"/>
    </row>
    <row r="2" spans="1:26" ht="26">
      <c r="A2" s="15" t="s">
        <v>5</v>
      </c>
      <c r="B2" s="15"/>
      <c r="C2" s="15"/>
      <c r="D2" s="15"/>
      <c r="E2" s="15"/>
      <c r="F2" s="15"/>
      <c r="G2" s="15"/>
      <c r="H2" s="16"/>
      <c r="Q2" s="16"/>
      <c r="R2" s="18"/>
      <c r="S2" s="18"/>
      <c r="T2" s="18"/>
      <c r="U2" s="18"/>
      <c r="V2" s="18"/>
      <c r="W2" s="18"/>
      <c r="X2" s="18"/>
      <c r="Y2" s="18"/>
      <c r="Z2" s="16"/>
    </row>
    <row r="3" spans="1:26">
      <c r="A3" s="15">
        <v>1</v>
      </c>
      <c r="B3" s="19">
        <v>0.60299999999999998</v>
      </c>
      <c r="C3" s="20">
        <v>827.58900000000006</v>
      </c>
      <c r="D3" s="20">
        <v>569</v>
      </c>
      <c r="E3" s="20">
        <v>1.4544619999999999</v>
      </c>
      <c r="F3" s="20">
        <v>2.3388460000000002</v>
      </c>
      <c r="G3" s="20">
        <v>1.0448409999999999</v>
      </c>
      <c r="H3" s="21">
        <v>1</v>
      </c>
      <c r="I3" s="14"/>
      <c r="J3" s="18"/>
      <c r="Q3" s="14"/>
      <c r="R3" s="18"/>
      <c r="S3" s="18"/>
      <c r="T3" s="18"/>
      <c r="U3" s="18"/>
      <c r="V3" s="18"/>
      <c r="W3" s="18"/>
      <c r="X3" s="18"/>
      <c r="Y3" s="18"/>
      <c r="Z3" s="14"/>
    </row>
    <row r="4" spans="1:26">
      <c r="A4" s="15">
        <v>2</v>
      </c>
      <c r="B4" s="19">
        <v>0.22459999999999999</v>
      </c>
      <c r="C4" s="20">
        <v>45250.428999999996</v>
      </c>
      <c r="D4" s="20">
        <v>235</v>
      </c>
      <c r="E4" s="20">
        <v>192.55501699999999</v>
      </c>
      <c r="F4" s="20">
        <v>120.07904000000001</v>
      </c>
      <c r="G4" s="20">
        <v>57.129185</v>
      </c>
      <c r="H4" s="21">
        <v>942.9</v>
      </c>
      <c r="I4" s="14"/>
      <c r="J4" s="18"/>
      <c r="Q4" s="14"/>
      <c r="R4" s="18"/>
      <c r="S4" s="18"/>
      <c r="T4" s="18"/>
      <c r="U4" s="18"/>
      <c r="V4" s="18"/>
      <c r="W4" s="18"/>
      <c r="X4" s="18"/>
      <c r="Y4" s="18"/>
      <c r="Z4" s="14"/>
    </row>
    <row r="5" spans="1:26">
      <c r="A5" s="15">
        <v>3</v>
      </c>
      <c r="B5" s="19">
        <v>4.7500000000000001E-2</v>
      </c>
      <c r="C5" s="20">
        <v>8857.1110000000008</v>
      </c>
      <c r="D5" s="20">
        <v>45</v>
      </c>
      <c r="E5" s="20">
        <v>196.82468900000001</v>
      </c>
      <c r="F5" s="20">
        <v>157.26190800000001</v>
      </c>
      <c r="G5" s="20">
        <v>11.182204</v>
      </c>
      <c r="H5" s="21">
        <v>306</v>
      </c>
      <c r="I5" s="14"/>
      <c r="J5" s="18"/>
      <c r="Q5" s="14"/>
      <c r="R5" s="18"/>
      <c r="S5" s="18"/>
      <c r="T5" s="18"/>
      <c r="U5" s="18"/>
      <c r="V5" s="18"/>
      <c r="W5" s="18"/>
      <c r="X5" s="18"/>
      <c r="Y5" s="18"/>
      <c r="Z5" s="14"/>
    </row>
    <row r="6" spans="1:26">
      <c r="A6" s="15">
        <v>4</v>
      </c>
      <c r="B6" s="19">
        <v>0.114</v>
      </c>
      <c r="C6" s="20">
        <v>24271.597000000002</v>
      </c>
      <c r="D6" s="20">
        <v>136</v>
      </c>
      <c r="E6" s="20">
        <v>178.467625</v>
      </c>
      <c r="F6" s="20">
        <v>143.379818</v>
      </c>
      <c r="G6" s="20">
        <v>30.643169</v>
      </c>
      <c r="H6" s="21">
        <v>269.7</v>
      </c>
      <c r="I6" s="14"/>
      <c r="Q6" s="14"/>
      <c r="R6" s="18"/>
      <c r="S6" s="18"/>
      <c r="T6" s="18"/>
      <c r="U6" s="18"/>
      <c r="V6" s="18"/>
      <c r="W6" s="18"/>
      <c r="X6" s="18"/>
      <c r="Y6" s="18"/>
      <c r="Z6" s="14"/>
    </row>
    <row r="7" spans="1:26">
      <c r="A7" s="15">
        <v>5</v>
      </c>
      <c r="B7" s="19">
        <v>1.09E-2</v>
      </c>
      <c r="C7" s="20">
        <v>0.47599999999999998</v>
      </c>
      <c r="D7" s="20">
        <v>15</v>
      </c>
      <c r="E7" s="20">
        <v>3.1732999999999997E-2</v>
      </c>
      <c r="F7" s="20">
        <v>2.5003999999999998E-2</v>
      </c>
      <c r="G7" s="20">
        <v>6.0099999999999997E-4</v>
      </c>
      <c r="H7" s="21">
        <v>1</v>
      </c>
      <c r="I7" s="14"/>
      <c r="Q7" s="14"/>
      <c r="R7" s="18"/>
      <c r="S7" s="18"/>
      <c r="T7" s="18"/>
      <c r="U7" s="18"/>
      <c r="V7" s="18"/>
      <c r="W7" s="18"/>
      <c r="X7" s="18"/>
      <c r="Y7" s="18"/>
      <c r="Z7" s="14"/>
    </row>
    <row r="8" spans="1:26">
      <c r="B8" s="22"/>
      <c r="E8" s="13">
        <f>SUMPRODUCT(B3:B7,E3:E7)</f>
        <v>73.819725271400003</v>
      </c>
      <c r="H8" s="13">
        <f>SUMPRODUCT(B3:B7,H3:H7)</f>
        <v>257.67003999999997</v>
      </c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B9" s="22"/>
      <c r="E9" s="13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6">
      <c r="A10" s="15" t="s">
        <v>6</v>
      </c>
      <c r="B10" s="15" t="s">
        <v>9</v>
      </c>
      <c r="C10" s="15" t="s">
        <v>0</v>
      </c>
      <c r="D10" s="15" t="s">
        <v>1</v>
      </c>
      <c r="E10" s="15" t="s">
        <v>2</v>
      </c>
      <c r="F10" s="15" t="s">
        <v>3</v>
      </c>
      <c r="G10" s="15" t="s">
        <v>4</v>
      </c>
      <c r="H10" s="16" t="s">
        <v>37</v>
      </c>
      <c r="Q10" s="16"/>
      <c r="R10" s="18"/>
      <c r="S10" s="18"/>
      <c r="T10" s="18"/>
      <c r="U10" s="18"/>
      <c r="V10" s="18"/>
      <c r="W10" s="18"/>
      <c r="X10" s="18"/>
      <c r="Y10" s="18"/>
      <c r="Z10" s="16"/>
    </row>
    <row r="11" spans="1:26" ht="26">
      <c r="A11" s="15" t="s">
        <v>5</v>
      </c>
      <c r="B11" s="23"/>
      <c r="C11" s="15"/>
      <c r="D11" s="15"/>
      <c r="E11" s="15"/>
      <c r="F11" s="15"/>
      <c r="G11" s="15"/>
      <c r="H11" s="16"/>
      <c r="Q11" s="16"/>
      <c r="Z11" s="16"/>
    </row>
    <row r="12" spans="1:26">
      <c r="A12" s="15">
        <v>1</v>
      </c>
      <c r="B12" s="19">
        <v>0.60299999999999998</v>
      </c>
      <c r="C12" s="20">
        <v>915.39800000000002</v>
      </c>
      <c r="D12" s="24">
        <v>586</v>
      </c>
      <c r="E12" s="24">
        <v>1.5621130000000001</v>
      </c>
      <c r="F12" s="24">
        <v>1.3263879999999999</v>
      </c>
      <c r="G12" s="24">
        <v>12.084562999999999</v>
      </c>
      <c r="H12" s="25">
        <v>1</v>
      </c>
      <c r="Q12" s="25"/>
      <c r="Z12" s="25"/>
    </row>
    <row r="13" spans="1:26">
      <c r="A13" s="15">
        <v>2</v>
      </c>
      <c r="B13" s="19">
        <v>0.22459999999999999</v>
      </c>
      <c r="C13" s="20">
        <v>2855.54</v>
      </c>
      <c r="D13" s="24">
        <v>248</v>
      </c>
      <c r="E13" s="24">
        <v>11.514274</v>
      </c>
      <c r="F13" s="24">
        <v>7.6724079999999999</v>
      </c>
      <c r="G13" s="24">
        <v>37.697211000000003</v>
      </c>
      <c r="H13" s="25">
        <v>942.4</v>
      </c>
      <c r="Q13" s="25"/>
      <c r="Z13" s="25"/>
    </row>
    <row r="14" spans="1:26">
      <c r="A14" s="15">
        <v>3</v>
      </c>
      <c r="B14" s="19">
        <v>4.7500000000000001E-2</v>
      </c>
      <c r="C14" s="20">
        <v>1130.3620000000001</v>
      </c>
      <c r="D14" s="24">
        <v>42</v>
      </c>
      <c r="E14" s="24">
        <v>26.913381000000001</v>
      </c>
      <c r="F14" s="24">
        <v>20.521536999999999</v>
      </c>
      <c r="G14" s="24">
        <v>14.922395</v>
      </c>
      <c r="H14" s="25">
        <v>293.7</v>
      </c>
      <c r="Q14" s="25"/>
      <c r="Z14" s="25"/>
    </row>
    <row r="15" spans="1:26">
      <c r="A15" s="15">
        <v>4</v>
      </c>
      <c r="B15" s="19">
        <v>0.114</v>
      </c>
      <c r="C15" s="20">
        <v>2672.6379999999999</v>
      </c>
      <c r="D15" s="24">
        <v>110</v>
      </c>
      <c r="E15" s="24">
        <v>24.296709</v>
      </c>
      <c r="F15" s="24">
        <v>19.526899</v>
      </c>
      <c r="G15" s="24">
        <v>35.282643</v>
      </c>
      <c r="H15" s="25">
        <v>270.2</v>
      </c>
      <c r="Q15" s="25"/>
      <c r="Z15" s="25"/>
    </row>
    <row r="16" spans="1:26">
      <c r="A16" s="15">
        <v>5</v>
      </c>
      <c r="B16" s="19">
        <v>1.09E-2</v>
      </c>
      <c r="C16" s="20">
        <v>0.999</v>
      </c>
      <c r="D16" s="24">
        <v>14</v>
      </c>
      <c r="E16" s="24">
        <v>7.1357000000000004E-2</v>
      </c>
      <c r="F16" s="24">
        <v>3.7962999999999997E-2</v>
      </c>
      <c r="G16" s="24">
        <v>1.3188E-2</v>
      </c>
      <c r="H16" s="25">
        <v>1</v>
      </c>
      <c r="Q16" s="25"/>
      <c r="Z16" s="25"/>
    </row>
    <row r="17" spans="1:35">
      <c r="B17" s="22"/>
      <c r="E17" s="13">
        <f>SUMPRODUCT(B12:B16,E12:E16)</f>
        <v>7.5770482941999999</v>
      </c>
      <c r="F17" s="13">
        <f>SQRT(SUMPRODUCT(B12:B16,F12:F16)/SUM(B12:B16))</f>
        <v>2.3925484511290467</v>
      </c>
      <c r="H17" s="13">
        <f>SUMPRODUCT(B12:B16,H12:H16)</f>
        <v>257.03048999999999</v>
      </c>
    </row>
    <row r="18" spans="1:35">
      <c r="B18" s="22"/>
      <c r="H18" s="17">
        <f>AVERAGEIF(H12:H16,"&gt;1")</f>
        <v>502.09999999999997</v>
      </c>
    </row>
    <row r="19" spans="1:35" ht="39">
      <c r="A19" s="15" t="s">
        <v>7</v>
      </c>
      <c r="B19" s="15" t="s">
        <v>9</v>
      </c>
      <c r="C19" s="15" t="s">
        <v>0</v>
      </c>
      <c r="D19" s="15" t="s">
        <v>1</v>
      </c>
      <c r="E19" s="15" t="s">
        <v>2</v>
      </c>
      <c r="F19" s="15" t="s">
        <v>3</v>
      </c>
      <c r="G19" s="15" t="s">
        <v>4</v>
      </c>
      <c r="H19" s="16" t="s">
        <v>37</v>
      </c>
      <c r="J19" s="15" t="s">
        <v>8</v>
      </c>
      <c r="K19" s="15" t="s">
        <v>9</v>
      </c>
      <c r="L19" s="15" t="s">
        <v>0</v>
      </c>
      <c r="M19" s="15" t="s">
        <v>1</v>
      </c>
      <c r="N19" s="15" t="s">
        <v>2</v>
      </c>
      <c r="O19" s="15" t="s">
        <v>3</v>
      </c>
      <c r="P19" s="15" t="s">
        <v>4</v>
      </c>
      <c r="Q19" s="16" t="s">
        <v>37</v>
      </c>
      <c r="S19" s="15">
        <v>2013</v>
      </c>
      <c r="T19" s="15" t="s">
        <v>9</v>
      </c>
      <c r="U19" s="15" t="s">
        <v>0</v>
      </c>
      <c r="V19" s="15" t="s">
        <v>1</v>
      </c>
      <c r="W19" s="15" t="s">
        <v>2</v>
      </c>
      <c r="X19" s="15" t="s">
        <v>3</v>
      </c>
      <c r="Y19" s="15" t="s">
        <v>4</v>
      </c>
      <c r="Z19" s="16" t="s">
        <v>37</v>
      </c>
    </row>
    <row r="20" spans="1:35" ht="26">
      <c r="A20" s="15" t="s">
        <v>5</v>
      </c>
      <c r="B20" s="23"/>
      <c r="C20" s="15"/>
      <c r="D20" s="15"/>
      <c r="E20" s="15"/>
      <c r="F20" s="15"/>
      <c r="G20" s="15"/>
      <c r="H20" s="16"/>
      <c r="J20" s="15" t="s">
        <v>5</v>
      </c>
      <c r="K20" s="23"/>
      <c r="L20" s="15"/>
      <c r="M20" s="15"/>
      <c r="N20" s="15"/>
      <c r="O20" s="15"/>
      <c r="P20" s="15"/>
      <c r="Q20" s="16"/>
      <c r="S20" s="15" t="s">
        <v>5</v>
      </c>
      <c r="T20" s="23"/>
      <c r="U20" s="15"/>
      <c r="V20" s="15"/>
      <c r="W20" s="15"/>
      <c r="X20" s="15"/>
      <c r="Y20" s="15"/>
      <c r="Z20" s="16"/>
    </row>
    <row r="21" spans="1:35">
      <c r="A21" s="15">
        <v>1</v>
      </c>
      <c r="B21" s="19">
        <v>0.1066</v>
      </c>
      <c r="C21" s="20">
        <v>1715.498</v>
      </c>
      <c r="D21" s="20">
        <v>1901</v>
      </c>
      <c r="E21" s="20">
        <v>9.0241899999999992E-7</v>
      </c>
      <c r="F21" s="20">
        <v>1.0240130000000001</v>
      </c>
      <c r="G21" s="20">
        <v>1.5064100000000001E-7</v>
      </c>
      <c r="H21" s="14">
        <v>1</v>
      </c>
      <c r="J21" s="15">
        <v>1</v>
      </c>
      <c r="K21" s="19">
        <v>0.1066</v>
      </c>
      <c r="L21" s="20">
        <v>34348.436999999998</v>
      </c>
      <c r="M21" s="20">
        <v>18899</v>
      </c>
      <c r="N21" s="20">
        <v>1.817474</v>
      </c>
      <c r="O21" s="20">
        <v>1.2299580000000001</v>
      </c>
      <c r="P21" s="20">
        <v>11.845737</v>
      </c>
      <c r="Q21" s="14">
        <v>1</v>
      </c>
      <c r="S21" s="15">
        <v>1</v>
      </c>
      <c r="T21" s="19">
        <v>0.1066</v>
      </c>
      <c r="U21" s="20">
        <v>186490.67600000001</v>
      </c>
      <c r="V21" s="20">
        <v>19009</v>
      </c>
      <c r="W21" s="20">
        <v>9.8106519999999993</v>
      </c>
      <c r="X21" s="20">
        <v>8.2625630000000001</v>
      </c>
      <c r="Y21" s="20">
        <v>3.7329759999999998</v>
      </c>
      <c r="Z21" s="14">
        <v>1</v>
      </c>
    </row>
    <row r="22" spans="1:35">
      <c r="A22" s="15">
        <v>2</v>
      </c>
      <c r="B22" s="19">
        <v>1.3299999999999999E-2</v>
      </c>
      <c r="C22" s="20">
        <v>2220.5770000000002</v>
      </c>
      <c r="D22" s="20">
        <v>251</v>
      </c>
      <c r="E22" s="20">
        <v>8.8469200000000008</v>
      </c>
      <c r="F22" s="20">
        <v>6.5103419999999996</v>
      </c>
      <c r="G22" s="20">
        <v>1.94993E-7</v>
      </c>
      <c r="H22" s="14">
        <v>1007</v>
      </c>
      <c r="J22" s="15">
        <v>2</v>
      </c>
      <c r="K22" s="19">
        <v>1.3299999999999999E-2</v>
      </c>
      <c r="L22" s="20">
        <v>28142.873</v>
      </c>
      <c r="M22" s="20">
        <v>2349</v>
      </c>
      <c r="N22" s="20">
        <v>11.980789</v>
      </c>
      <c r="O22" s="20">
        <v>7.9420780000000004</v>
      </c>
      <c r="P22" s="20">
        <v>9.7056260000000005</v>
      </c>
      <c r="Q22" s="14">
        <v>559.20000000000005</v>
      </c>
      <c r="S22" s="15">
        <v>2</v>
      </c>
      <c r="T22" s="19">
        <v>1.3299999999999999E-2</v>
      </c>
      <c r="U22" s="20">
        <v>813700.353</v>
      </c>
      <c r="V22" s="20">
        <v>2393</v>
      </c>
      <c r="W22" s="20">
        <v>340.03357799999998</v>
      </c>
      <c r="X22" s="20">
        <v>195.24015800000001</v>
      </c>
      <c r="Y22" s="20">
        <v>16.287807999999998</v>
      </c>
      <c r="Z22" s="14">
        <v>945.8</v>
      </c>
    </row>
    <row r="23" spans="1:35">
      <c r="A23" s="15">
        <v>3</v>
      </c>
      <c r="B23" s="19">
        <v>0.14130000000000001</v>
      </c>
      <c r="C23" s="20">
        <v>1132941.7520000001</v>
      </c>
      <c r="D23" s="20">
        <v>2521</v>
      </c>
      <c r="E23" s="20">
        <v>449.401726</v>
      </c>
      <c r="F23" s="20">
        <v>250.91588200000001</v>
      </c>
      <c r="G23" s="20">
        <v>99.485776000000001</v>
      </c>
      <c r="H23" s="14">
        <v>418.3</v>
      </c>
      <c r="J23" s="15">
        <v>3</v>
      </c>
      <c r="K23" s="19">
        <v>0.14130000000000001</v>
      </c>
      <c r="L23" s="20">
        <v>159735.82699999999</v>
      </c>
      <c r="M23" s="20">
        <v>25180</v>
      </c>
      <c r="N23" s="20">
        <v>6.3437580000000002</v>
      </c>
      <c r="O23" s="20">
        <v>3.4541230000000001</v>
      </c>
      <c r="P23" s="20">
        <v>55.088056000000002</v>
      </c>
      <c r="Q23" s="14">
        <v>426.3</v>
      </c>
      <c r="S23" s="15">
        <v>3</v>
      </c>
      <c r="T23" s="19">
        <v>0.14130000000000001</v>
      </c>
      <c r="U23" s="20">
        <v>3975849.0780000002</v>
      </c>
      <c r="V23" s="20">
        <v>25463</v>
      </c>
      <c r="W23" s="20">
        <v>156.14220900000001</v>
      </c>
      <c r="X23" s="20">
        <v>89.084965999999994</v>
      </c>
      <c r="Y23" s="20">
        <v>79.584413999999995</v>
      </c>
      <c r="Z23" s="14">
        <v>414.6</v>
      </c>
    </row>
    <row r="24" spans="1:35">
      <c r="A24" s="15">
        <v>4</v>
      </c>
      <c r="B24" s="19">
        <v>5.4699999999999999E-2</v>
      </c>
      <c r="C24" s="20">
        <v>41.125</v>
      </c>
      <c r="D24" s="20">
        <v>982</v>
      </c>
      <c r="E24" s="20">
        <v>4.1879000000000001E-8</v>
      </c>
      <c r="F24" s="20">
        <v>2.9314E-8</v>
      </c>
      <c r="G24" s="20">
        <v>3.611E-9</v>
      </c>
      <c r="H24" s="14">
        <v>1</v>
      </c>
      <c r="J24" s="15">
        <v>4</v>
      </c>
      <c r="K24" s="19">
        <v>5.4699999999999999E-2</v>
      </c>
      <c r="L24" s="20">
        <v>292.03199999999998</v>
      </c>
      <c r="M24" s="20">
        <v>9833</v>
      </c>
      <c r="N24" s="20">
        <v>2.9699E-8</v>
      </c>
      <c r="O24" s="20">
        <v>1.3224E-8</v>
      </c>
      <c r="P24" s="20">
        <v>1.00713E-7</v>
      </c>
      <c r="Q24" s="14">
        <v>1</v>
      </c>
      <c r="S24" s="15">
        <v>4</v>
      </c>
      <c r="T24" s="19">
        <v>5.4699999999999999E-2</v>
      </c>
      <c r="U24" s="20">
        <v>201.38900000000001</v>
      </c>
      <c r="V24" s="20">
        <v>9802</v>
      </c>
      <c r="W24" s="20">
        <v>2.0545999999999997E-8</v>
      </c>
      <c r="X24" s="20">
        <v>1.1872E-8</v>
      </c>
      <c r="Y24" s="20">
        <v>4.0309999999999998E-9</v>
      </c>
      <c r="Z24" s="14">
        <v>1</v>
      </c>
    </row>
    <row r="25" spans="1:35">
      <c r="A25" s="15">
        <v>5</v>
      </c>
      <c r="B25" s="19">
        <v>4.6800000000000001E-2</v>
      </c>
      <c r="C25" s="20">
        <v>23</v>
      </c>
      <c r="D25" s="20">
        <v>861</v>
      </c>
      <c r="E25" s="20">
        <v>2.6712999999999999E-8</v>
      </c>
      <c r="F25" s="20">
        <v>2.0211999999999999E-8</v>
      </c>
      <c r="G25" s="20">
        <v>2.0200000000000001E-9</v>
      </c>
      <c r="H25" s="14">
        <v>0.16</v>
      </c>
      <c r="J25" s="15">
        <v>5</v>
      </c>
      <c r="K25" s="19">
        <v>4.6800000000000001E-2</v>
      </c>
      <c r="L25" s="20">
        <v>8055.8959999999997</v>
      </c>
      <c r="M25" s="20">
        <v>8388</v>
      </c>
      <c r="N25" s="20">
        <v>9.6040699999999993E-7</v>
      </c>
      <c r="O25" s="20">
        <v>24.359742000000001</v>
      </c>
      <c r="P25" s="20">
        <v>2.778235</v>
      </c>
      <c r="Q25" s="14">
        <v>0.17</v>
      </c>
      <c r="S25" s="15">
        <v>5</v>
      </c>
      <c r="T25" s="19">
        <v>4.6800000000000001E-2</v>
      </c>
      <c r="U25" s="20">
        <v>100.319</v>
      </c>
      <c r="V25" s="20">
        <v>8352</v>
      </c>
      <c r="W25" s="20">
        <v>1.2011000000000001E-8</v>
      </c>
      <c r="X25" s="20">
        <v>7.861E-9</v>
      </c>
      <c r="Y25" s="20">
        <v>2.0079999999999997E-9</v>
      </c>
      <c r="Z25" s="14">
        <v>0.16</v>
      </c>
    </row>
    <row r="26" spans="1:35">
      <c r="A26" s="15">
        <v>6</v>
      </c>
      <c r="B26" s="19">
        <v>0.10780000000000001</v>
      </c>
      <c r="C26" s="20">
        <v>227.59</v>
      </c>
      <c r="D26" s="20">
        <v>1873</v>
      </c>
      <c r="E26" s="20">
        <v>1.2151099999999998E-7</v>
      </c>
      <c r="F26" s="20">
        <v>1.5622700000000001E-7</v>
      </c>
      <c r="G26" s="20">
        <v>1.9985E-8</v>
      </c>
      <c r="H26" s="14">
        <v>1</v>
      </c>
      <c r="J26" s="15">
        <v>6</v>
      </c>
      <c r="K26" s="19">
        <v>0.10780000000000001</v>
      </c>
      <c r="L26" s="20">
        <v>16143.956</v>
      </c>
      <c r="M26" s="20">
        <v>19448</v>
      </c>
      <c r="N26" s="20">
        <v>8.3010900000000004E-7</v>
      </c>
      <c r="O26" s="20">
        <v>13.875934000000001</v>
      </c>
      <c r="P26" s="20">
        <v>5.5675619999999997</v>
      </c>
      <c r="Q26" s="14">
        <v>1</v>
      </c>
      <c r="S26" s="15">
        <v>6</v>
      </c>
      <c r="T26" s="19">
        <v>0.10780000000000001</v>
      </c>
      <c r="U26" s="20">
        <v>250.40700000000001</v>
      </c>
      <c r="V26" s="20">
        <v>19363</v>
      </c>
      <c r="W26" s="20">
        <v>1.2932000000000001E-8</v>
      </c>
      <c r="X26" s="20">
        <v>7.7620000000000003E-9</v>
      </c>
      <c r="Y26" s="20">
        <v>5.0119999999999996E-9</v>
      </c>
      <c r="Z26" s="14">
        <v>1</v>
      </c>
    </row>
    <row r="27" spans="1:35">
      <c r="A27" s="15">
        <v>7</v>
      </c>
      <c r="B27" s="19">
        <v>3.49E-2</v>
      </c>
      <c r="C27" s="20">
        <v>17.433</v>
      </c>
      <c r="D27" s="20">
        <v>617</v>
      </c>
      <c r="E27" s="20">
        <v>2.8254000000000003E-8</v>
      </c>
      <c r="F27" s="20">
        <v>2.1226999999999999E-8</v>
      </c>
      <c r="G27" s="20">
        <v>1.531E-9</v>
      </c>
      <c r="H27" s="14">
        <v>4</v>
      </c>
      <c r="J27" s="15">
        <v>7</v>
      </c>
      <c r="K27" s="19">
        <v>3.49E-2</v>
      </c>
      <c r="L27" s="20">
        <v>12229.995999999999</v>
      </c>
      <c r="M27" s="20">
        <v>6294</v>
      </c>
      <c r="N27" s="20">
        <v>1.94312</v>
      </c>
      <c r="O27" s="20">
        <v>28.418641000000001</v>
      </c>
      <c r="P27" s="20">
        <v>4.2177559999999996</v>
      </c>
      <c r="Q27" s="14">
        <v>4</v>
      </c>
      <c r="S27" s="15">
        <v>7</v>
      </c>
      <c r="T27" s="19">
        <v>3.49E-2</v>
      </c>
      <c r="U27" s="20">
        <v>6654.2470000000003</v>
      </c>
      <c r="V27" s="20">
        <v>6217</v>
      </c>
      <c r="W27" s="20">
        <v>1.0703309999999999</v>
      </c>
      <c r="X27" s="20">
        <v>17.565949</v>
      </c>
      <c r="Y27" s="20">
        <v>1.33198E-7</v>
      </c>
      <c r="Z27" s="14">
        <v>4</v>
      </c>
    </row>
    <row r="28" spans="1:35">
      <c r="A28" s="15">
        <v>8</v>
      </c>
      <c r="B28" s="19">
        <v>2.63E-2</v>
      </c>
      <c r="C28" s="20">
        <v>12.48</v>
      </c>
      <c r="D28" s="20">
        <v>498</v>
      </c>
      <c r="E28" s="20">
        <v>2.5059999999999997E-8</v>
      </c>
      <c r="F28" s="20">
        <v>1.7746000000000002E-8</v>
      </c>
      <c r="G28" s="20">
        <v>1.0959999999999999E-9</v>
      </c>
      <c r="H28" s="14">
        <v>1</v>
      </c>
      <c r="J28" s="15">
        <v>8</v>
      </c>
      <c r="K28" s="19">
        <v>2.63E-2</v>
      </c>
      <c r="L28" s="20">
        <v>147.20099999999999</v>
      </c>
      <c r="M28" s="20">
        <v>4807</v>
      </c>
      <c r="N28" s="20">
        <v>3.0622000000000001E-8</v>
      </c>
      <c r="O28" s="20">
        <v>1.3769000000000001E-8</v>
      </c>
      <c r="P28" s="20">
        <v>5.0764999999999998E-8</v>
      </c>
      <c r="Q28" s="14">
        <v>1</v>
      </c>
      <c r="S28" s="15">
        <v>8</v>
      </c>
      <c r="T28" s="19">
        <v>2.63E-2</v>
      </c>
      <c r="U28" s="20">
        <v>100.56</v>
      </c>
      <c r="V28" s="20">
        <v>4672</v>
      </c>
      <c r="W28" s="20">
        <v>2.1524000000000001E-8</v>
      </c>
      <c r="X28" s="20">
        <v>1.2088E-8</v>
      </c>
      <c r="Y28" s="20">
        <v>2.013E-9</v>
      </c>
      <c r="Z28" s="14">
        <v>1</v>
      </c>
    </row>
    <row r="29" spans="1:35">
      <c r="A29" s="15">
        <v>9</v>
      </c>
      <c r="B29" s="19">
        <v>2.7300000000000001E-2</v>
      </c>
      <c r="C29" s="20">
        <v>1598.268</v>
      </c>
      <c r="D29" s="20">
        <v>496</v>
      </c>
      <c r="E29" s="20">
        <v>3.222315</v>
      </c>
      <c r="F29" s="20">
        <v>2.479346</v>
      </c>
      <c r="G29" s="20">
        <v>1.4034700000000001E-7</v>
      </c>
      <c r="H29" s="14">
        <v>0.13</v>
      </c>
      <c r="J29" s="15">
        <v>9</v>
      </c>
      <c r="K29" s="19">
        <v>2.7300000000000001E-2</v>
      </c>
      <c r="L29" s="20">
        <v>30868.317999999999</v>
      </c>
      <c r="M29" s="20">
        <v>4802</v>
      </c>
      <c r="N29" s="20">
        <v>6.4282209999999997</v>
      </c>
      <c r="O29" s="20">
        <v>2.8381400000000001</v>
      </c>
      <c r="P29" s="20">
        <v>10.645549000000001</v>
      </c>
      <c r="Q29" s="14">
        <v>0.08</v>
      </c>
      <c r="S29" s="15">
        <v>9</v>
      </c>
      <c r="T29" s="19">
        <v>2.7300000000000001E-2</v>
      </c>
      <c r="U29" s="20">
        <v>12416.446</v>
      </c>
      <c r="V29" s="20">
        <v>4729</v>
      </c>
      <c r="W29" s="20">
        <v>2.625597</v>
      </c>
      <c r="X29" s="20">
        <v>1.622757</v>
      </c>
      <c r="Y29" s="20">
        <v>2.4854000000000003E-7</v>
      </c>
      <c r="Z29" s="14">
        <v>0.1</v>
      </c>
    </row>
    <row r="30" spans="1:35">
      <c r="B30" s="22"/>
      <c r="E30" s="13">
        <f>SUMPRODUCT(B21:B29,E21:E29)</f>
        <v>63.706097233782849</v>
      </c>
      <c r="F30" s="13">
        <f>SQRT(SUMPRODUCT(B21:B29,F21:F29)/SUM(B21:B29))</f>
        <v>7.993495525169771</v>
      </c>
      <c r="H30" s="13">
        <f>SUMPRODUCT(B21:B29,H21:H29)</f>
        <v>72.944927000000007</v>
      </c>
      <c r="N30" s="13">
        <f>SUMPRODUCT(K21:K29,N21:N29)</f>
        <v>1.4927656856626921</v>
      </c>
      <c r="O30" s="13">
        <f>SQRT(SUMPRODUCT(K21:K29,O21:O29)/SUM(K21:K29))</f>
        <v>2.8151024298085345</v>
      </c>
      <c r="Q30" s="13">
        <f>SUMPRODUCT(K21:K29,Q21:Q29)</f>
        <v>68.118690000000001</v>
      </c>
      <c r="W30" s="13">
        <f>SUMPRODUCT(T21:T29,W21:W29)</f>
        <v>27.740189575946129</v>
      </c>
      <c r="Z30" s="13">
        <f>SUMPRODUCT(T21:T29,Z21:Z29)</f>
        <v>71.607337999999999</v>
      </c>
    </row>
    <row r="31" spans="1:35">
      <c r="B31" s="22"/>
      <c r="Z31" s="17">
        <f>AVERAGEIF(Z21:Z29,"&gt;1")</f>
        <v>454.8</v>
      </c>
    </row>
    <row r="32" spans="1:35" ht="39">
      <c r="A32" s="15" t="s">
        <v>10</v>
      </c>
      <c r="B32" s="15" t="s">
        <v>9</v>
      </c>
      <c r="C32" s="15" t="s">
        <v>0</v>
      </c>
      <c r="D32" s="15" t="s">
        <v>1</v>
      </c>
      <c r="E32" s="15" t="s">
        <v>2</v>
      </c>
      <c r="F32" s="15" t="s">
        <v>3</v>
      </c>
      <c r="G32" s="15" t="s">
        <v>4</v>
      </c>
      <c r="H32" s="16" t="s">
        <v>37</v>
      </c>
      <c r="J32" s="15" t="s">
        <v>11</v>
      </c>
      <c r="K32" s="15" t="s">
        <v>9</v>
      </c>
      <c r="L32" s="15" t="s">
        <v>0</v>
      </c>
      <c r="M32" s="15" t="s">
        <v>1</v>
      </c>
      <c r="N32" s="15" t="s">
        <v>2</v>
      </c>
      <c r="O32" s="15" t="s">
        <v>3</v>
      </c>
      <c r="P32" s="15" t="s">
        <v>4</v>
      </c>
      <c r="Q32" s="16" t="s">
        <v>37</v>
      </c>
      <c r="S32" s="15" t="s">
        <v>12</v>
      </c>
      <c r="T32" s="15" t="s">
        <v>9</v>
      </c>
      <c r="U32" s="15" t="s">
        <v>0</v>
      </c>
      <c r="V32" s="15" t="s">
        <v>1</v>
      </c>
      <c r="W32" s="15" t="s">
        <v>2</v>
      </c>
      <c r="X32" s="15" t="s">
        <v>3</v>
      </c>
      <c r="Y32" s="15" t="s">
        <v>4</v>
      </c>
      <c r="Z32" s="16" t="s">
        <v>37</v>
      </c>
      <c r="AB32" s="15">
        <v>2023</v>
      </c>
      <c r="AC32" s="15" t="s">
        <v>9</v>
      </c>
      <c r="AD32" s="15" t="s">
        <v>0</v>
      </c>
      <c r="AE32" s="15" t="s">
        <v>1</v>
      </c>
      <c r="AF32" s="15" t="s">
        <v>2</v>
      </c>
      <c r="AG32" s="15" t="s">
        <v>3</v>
      </c>
      <c r="AH32" s="15" t="s">
        <v>4</v>
      </c>
      <c r="AI32" s="16" t="s">
        <v>37</v>
      </c>
    </row>
    <row r="33" spans="1:35" ht="26">
      <c r="A33" s="15" t="s">
        <v>5</v>
      </c>
      <c r="B33" s="23"/>
      <c r="C33" s="15"/>
      <c r="D33" s="15"/>
      <c r="E33" s="15"/>
      <c r="F33" s="15"/>
      <c r="G33" s="15"/>
      <c r="H33" s="16"/>
      <c r="J33" s="15" t="s">
        <v>5</v>
      </c>
      <c r="K33" s="23"/>
      <c r="L33" s="15"/>
      <c r="M33" s="15"/>
      <c r="N33" s="15"/>
      <c r="O33" s="15"/>
      <c r="P33" s="15"/>
      <c r="Q33" s="16"/>
      <c r="S33" s="15" t="s">
        <v>5</v>
      </c>
      <c r="T33" s="23"/>
      <c r="U33" s="15"/>
      <c r="V33" s="15"/>
      <c r="W33" s="15"/>
      <c r="X33" s="15"/>
      <c r="Y33" s="15"/>
      <c r="Z33" s="16"/>
      <c r="AB33" s="15" t="s">
        <v>5</v>
      </c>
      <c r="AC33" s="23"/>
      <c r="AD33" s="15"/>
      <c r="AE33" s="15"/>
      <c r="AF33" s="15"/>
      <c r="AG33" s="15"/>
      <c r="AH33" s="15"/>
    </row>
    <row r="34" spans="1:35">
      <c r="A34" s="15">
        <v>1</v>
      </c>
      <c r="B34" s="19">
        <v>7.9299999999999995E-2</v>
      </c>
      <c r="C34" s="20">
        <v>7086.8249999999998</v>
      </c>
      <c r="D34" s="20">
        <v>794</v>
      </c>
      <c r="E34" s="20">
        <v>8.9254719999999992</v>
      </c>
      <c r="F34" s="20">
        <v>7.0637569999999998</v>
      </c>
      <c r="G34" s="20">
        <v>1.13449E-7</v>
      </c>
      <c r="H34" s="14">
        <v>937</v>
      </c>
      <c r="J34" s="15">
        <v>1</v>
      </c>
      <c r="K34" s="19">
        <v>7.9299999999999995E-2</v>
      </c>
      <c r="L34" s="20">
        <v>292597.20199999999</v>
      </c>
      <c r="M34" s="20">
        <v>846</v>
      </c>
      <c r="N34" s="20">
        <v>345.859577</v>
      </c>
      <c r="O34" s="20">
        <v>48.309655999999997</v>
      </c>
      <c r="P34" s="20">
        <v>10.109639</v>
      </c>
      <c r="Q34" s="14">
        <v>953.2</v>
      </c>
      <c r="R34" s="26"/>
      <c r="S34" s="15">
        <v>1</v>
      </c>
      <c r="T34" s="19">
        <v>7.9299999999999995E-2</v>
      </c>
      <c r="U34" s="17">
        <v>10102.714</v>
      </c>
      <c r="V34" s="17">
        <v>822</v>
      </c>
      <c r="W34" s="17">
        <v>12.290406000000001</v>
      </c>
      <c r="X34" s="17">
        <v>8.4700290000000003</v>
      </c>
      <c r="Y34" s="17">
        <v>1.364325</v>
      </c>
      <c r="Z34" s="14">
        <v>965.3</v>
      </c>
      <c r="AB34" s="15">
        <v>1</v>
      </c>
      <c r="AC34" s="19">
        <v>7.9299999999999995E-2</v>
      </c>
      <c r="AD34" s="17">
        <v>60549.925999999999</v>
      </c>
      <c r="AE34" s="17">
        <v>831</v>
      </c>
      <c r="AF34" s="17">
        <v>72.863929999999996</v>
      </c>
      <c r="AG34" s="17">
        <v>42.566394000000003</v>
      </c>
      <c r="AH34" s="17">
        <v>4.0658300000000001</v>
      </c>
      <c r="AI34" s="17">
        <v>191.2</v>
      </c>
    </row>
    <row r="35" spans="1:35">
      <c r="A35" s="15">
        <v>2</v>
      </c>
      <c r="B35" s="19">
        <v>6.1600000000000002E-2</v>
      </c>
      <c r="C35" s="20">
        <v>535.41700000000003</v>
      </c>
      <c r="D35" s="20">
        <v>616</v>
      </c>
      <c r="E35" s="20">
        <v>8.6918300000000003E-7</v>
      </c>
      <c r="F35" s="20">
        <v>9.3168600000000005E-7</v>
      </c>
      <c r="G35" s="20">
        <v>8.5710000000000011E-9</v>
      </c>
      <c r="H35" s="14">
        <v>1</v>
      </c>
      <c r="J35" s="15">
        <v>2</v>
      </c>
      <c r="K35" s="19">
        <v>6.1600000000000002E-2</v>
      </c>
      <c r="L35" s="20">
        <v>254.613</v>
      </c>
      <c r="M35" s="20">
        <v>607</v>
      </c>
      <c r="N35" s="20">
        <v>4.1946099999999995E-7</v>
      </c>
      <c r="O35" s="20">
        <v>4.5815200000000001E-7</v>
      </c>
      <c r="P35" s="20">
        <v>8.7969999999999993E-9</v>
      </c>
      <c r="Q35" s="14">
        <v>1</v>
      </c>
      <c r="R35" s="26"/>
      <c r="S35" s="15">
        <v>2</v>
      </c>
      <c r="T35" s="19">
        <v>6.1600000000000002E-2</v>
      </c>
      <c r="U35" s="17">
        <v>733.52099999999996</v>
      </c>
      <c r="V35" s="17">
        <v>608</v>
      </c>
      <c r="W35" s="17">
        <v>1.2064490000000001</v>
      </c>
      <c r="X35" s="17">
        <v>1.443203</v>
      </c>
      <c r="Y35" s="17">
        <v>9.9059E-8</v>
      </c>
      <c r="Z35" s="14">
        <v>1</v>
      </c>
      <c r="AB35" s="15">
        <v>2</v>
      </c>
      <c r="AC35" s="19">
        <v>6.1600000000000002E-2</v>
      </c>
      <c r="AD35" s="17">
        <v>2665.34</v>
      </c>
      <c r="AE35" s="17">
        <v>666</v>
      </c>
      <c r="AF35" s="17">
        <v>4.0020119999999997</v>
      </c>
      <c r="AG35" s="17">
        <v>2.9187970000000001</v>
      </c>
      <c r="AH35" s="17">
        <v>1.78973E-7</v>
      </c>
      <c r="AI35" s="17">
        <v>1</v>
      </c>
    </row>
    <row r="36" spans="1:35">
      <c r="A36" s="15">
        <v>3</v>
      </c>
      <c r="B36" s="19">
        <v>9.0300000000000005E-2</v>
      </c>
      <c r="C36" s="20">
        <v>112051.011</v>
      </c>
      <c r="D36" s="20">
        <v>956</v>
      </c>
      <c r="E36" s="20">
        <v>117.20817099999999</v>
      </c>
      <c r="F36" s="20">
        <v>163.155598</v>
      </c>
      <c r="G36" s="20">
        <v>1.7937620000000001</v>
      </c>
      <c r="H36" s="14">
        <v>154.69999999999999</v>
      </c>
      <c r="J36" s="15">
        <v>3</v>
      </c>
      <c r="K36" s="19">
        <v>9.0300000000000005E-2</v>
      </c>
      <c r="L36" s="20">
        <v>6078.9939999999997</v>
      </c>
      <c r="M36" s="20">
        <v>954</v>
      </c>
      <c r="N36" s="20">
        <v>6.3721110000000003</v>
      </c>
      <c r="O36" s="20">
        <v>6.0734680000000001</v>
      </c>
      <c r="P36" s="20">
        <v>2.1003799999999999E-7</v>
      </c>
      <c r="Q36" s="14">
        <v>2.5</v>
      </c>
      <c r="R36" s="26"/>
      <c r="S36" s="15">
        <v>3</v>
      </c>
      <c r="T36" s="19">
        <v>9.0300000000000005E-2</v>
      </c>
      <c r="U36" s="17">
        <v>46837.082999999999</v>
      </c>
      <c r="V36" s="17">
        <v>863</v>
      </c>
      <c r="W36" s="17">
        <v>54.272402</v>
      </c>
      <c r="X36" s="17">
        <v>69.290690999999995</v>
      </c>
      <c r="Y36" s="17">
        <v>6.325132</v>
      </c>
      <c r="Z36" s="14">
        <v>2.4500000000000002</v>
      </c>
      <c r="AB36" s="15">
        <v>3</v>
      </c>
      <c r="AC36" s="19">
        <v>9.0300000000000005E-2</v>
      </c>
      <c r="AD36" s="17">
        <v>18227.59</v>
      </c>
      <c r="AE36" s="17">
        <v>955</v>
      </c>
      <c r="AF36" s="17">
        <v>19.086482</v>
      </c>
      <c r="AG36" s="17">
        <v>25.383277</v>
      </c>
      <c r="AH36" s="17">
        <v>1.2239530000000001</v>
      </c>
      <c r="AI36" s="17">
        <v>29</v>
      </c>
    </row>
    <row r="37" spans="1:35">
      <c r="A37" s="15">
        <v>4</v>
      </c>
      <c r="B37" s="19">
        <v>7.6700000000000004E-2</v>
      </c>
      <c r="C37" s="20">
        <v>426870.788</v>
      </c>
      <c r="D37" s="20">
        <v>803</v>
      </c>
      <c r="E37" s="20">
        <v>531.59500400000002</v>
      </c>
      <c r="F37" s="20">
        <v>213.16259099999999</v>
      </c>
      <c r="G37" s="20">
        <v>6.8335359999999996</v>
      </c>
      <c r="H37" s="14">
        <v>3746.4</v>
      </c>
      <c r="J37" s="15">
        <v>4</v>
      </c>
      <c r="K37" s="19">
        <v>7.6700000000000004E-2</v>
      </c>
      <c r="L37" s="20">
        <v>99561.641000000003</v>
      </c>
      <c r="M37" s="20">
        <v>807</v>
      </c>
      <c r="N37" s="20">
        <v>123.372542</v>
      </c>
      <c r="O37" s="20">
        <v>296.18137200000001</v>
      </c>
      <c r="P37" s="20">
        <v>3.4399929999999999</v>
      </c>
      <c r="Q37" s="14">
        <v>3842.7</v>
      </c>
      <c r="R37" s="26"/>
      <c r="S37" s="15">
        <v>4</v>
      </c>
      <c r="T37" s="19">
        <v>7.6700000000000004E-2</v>
      </c>
      <c r="U37" s="17">
        <v>3620.0160000000001</v>
      </c>
      <c r="V37" s="17">
        <v>829</v>
      </c>
      <c r="W37" s="17">
        <v>4.3667259999999999</v>
      </c>
      <c r="X37" s="17">
        <v>9.7993369999999995</v>
      </c>
      <c r="Y37" s="17">
        <v>4.88866E-7</v>
      </c>
      <c r="Z37" s="14">
        <v>3283</v>
      </c>
      <c r="AB37" s="15">
        <v>4</v>
      </c>
      <c r="AC37" s="19">
        <v>7.6700000000000004E-2</v>
      </c>
      <c r="AD37" s="17">
        <v>393686.35800000001</v>
      </c>
      <c r="AE37" s="17">
        <v>761</v>
      </c>
      <c r="AF37" s="17">
        <v>517.32767100000001</v>
      </c>
      <c r="AG37" s="17">
        <v>208.58052599999999</v>
      </c>
      <c r="AH37" s="17">
        <v>26.435404999999999</v>
      </c>
      <c r="AI37" s="17">
        <v>3488.2</v>
      </c>
    </row>
    <row r="38" spans="1:35">
      <c r="A38" s="15">
        <v>5</v>
      </c>
      <c r="B38" s="19">
        <v>1.4200000000000001E-2</v>
      </c>
      <c r="C38" s="20">
        <v>4.931</v>
      </c>
      <c r="D38" s="20">
        <v>139</v>
      </c>
      <c r="E38" s="20">
        <v>3.5474999999999998E-8</v>
      </c>
      <c r="F38" s="20">
        <v>2.7178E-8</v>
      </c>
      <c r="G38" s="20">
        <v>7.8999999999999999E-11</v>
      </c>
      <c r="H38" s="14">
        <v>0.17</v>
      </c>
      <c r="J38" s="15">
        <v>5</v>
      </c>
      <c r="K38" s="19">
        <v>1.4200000000000001E-2</v>
      </c>
      <c r="L38" s="20">
        <v>5.3159999999999998</v>
      </c>
      <c r="M38" s="20">
        <v>142</v>
      </c>
      <c r="N38" s="20">
        <v>3.7437E-8</v>
      </c>
      <c r="O38" s="20">
        <v>2.3383999999999999E-8</v>
      </c>
      <c r="P38" s="20">
        <v>1.8400000000000001E-10</v>
      </c>
      <c r="Q38" s="14">
        <v>0.18</v>
      </c>
      <c r="R38" s="26"/>
      <c r="S38" s="15">
        <v>5</v>
      </c>
      <c r="T38" s="19">
        <v>1.4200000000000001E-2</v>
      </c>
      <c r="U38" s="17">
        <v>3.4289999999999998</v>
      </c>
      <c r="V38" s="17">
        <v>148</v>
      </c>
      <c r="W38" s="17">
        <v>2.3168999999999997E-8</v>
      </c>
      <c r="X38" s="17">
        <v>1.6193999999999999E-8</v>
      </c>
      <c r="Y38" s="17">
        <v>4.63E-10</v>
      </c>
      <c r="Z38" s="14">
        <v>0</v>
      </c>
      <c r="AB38" s="15">
        <v>5</v>
      </c>
      <c r="AC38" s="19">
        <v>1.4200000000000001E-2</v>
      </c>
      <c r="AD38" s="17">
        <v>1.722</v>
      </c>
      <c r="AE38" s="17">
        <v>154</v>
      </c>
      <c r="AF38" s="17">
        <v>1.1181999999999999E-8</v>
      </c>
      <c r="AG38" s="17">
        <v>4.7630000000000002E-9</v>
      </c>
      <c r="AH38" s="17">
        <v>1.16E-10</v>
      </c>
      <c r="AI38" s="17">
        <v>0.01</v>
      </c>
    </row>
    <row r="39" spans="1:35">
      <c r="A39" s="15">
        <v>6</v>
      </c>
      <c r="B39" s="19">
        <v>0.38009999999999999</v>
      </c>
      <c r="C39" s="20">
        <v>636.73699999999997</v>
      </c>
      <c r="D39" s="20">
        <v>3886</v>
      </c>
      <c r="E39" s="20">
        <v>1.6385400000000001E-7</v>
      </c>
      <c r="F39" s="20">
        <v>1.6594600000000002E-7</v>
      </c>
      <c r="G39" s="20">
        <v>1.0193000000000001E-8</v>
      </c>
      <c r="H39" s="14">
        <v>1</v>
      </c>
      <c r="J39" s="15">
        <v>6</v>
      </c>
      <c r="K39" s="19">
        <v>0.38009999999999999</v>
      </c>
      <c r="L39" s="20">
        <v>757.43399999999997</v>
      </c>
      <c r="M39" s="20">
        <v>3964</v>
      </c>
      <c r="N39" s="20">
        <v>1.9107799999999999E-7</v>
      </c>
      <c r="O39" s="20">
        <v>1.6928299999999999E-7</v>
      </c>
      <c r="P39" s="20">
        <v>2.6169999999999999E-8</v>
      </c>
      <c r="Q39" s="14">
        <v>1</v>
      </c>
      <c r="R39" s="26"/>
      <c r="S39" s="15">
        <v>6</v>
      </c>
      <c r="T39" s="19">
        <v>0.38009999999999999</v>
      </c>
      <c r="U39" s="17">
        <v>938.97500000000002</v>
      </c>
      <c r="V39" s="17">
        <v>4079</v>
      </c>
      <c r="W39" s="17">
        <v>2.3019700000000001E-7</v>
      </c>
      <c r="X39" s="17">
        <v>1.7263400000000001E-7</v>
      </c>
      <c r="Y39" s="17">
        <v>1.26804E-7</v>
      </c>
      <c r="Z39" s="14">
        <v>1</v>
      </c>
      <c r="AB39" s="15">
        <v>6</v>
      </c>
      <c r="AC39" s="19">
        <v>0.38009999999999999</v>
      </c>
      <c r="AD39" s="17">
        <v>165.273</v>
      </c>
      <c r="AE39" s="17">
        <v>4047</v>
      </c>
      <c r="AF39" s="17">
        <v>4.0837999999999998E-8</v>
      </c>
      <c r="AG39" s="17">
        <v>6.4435000000000008E-8</v>
      </c>
      <c r="AH39" s="17">
        <v>1.1098E-8</v>
      </c>
      <c r="AI39" s="17">
        <v>1</v>
      </c>
    </row>
    <row r="40" spans="1:35">
      <c r="A40" s="15">
        <v>7</v>
      </c>
      <c r="B40" s="19">
        <v>4.53E-2</v>
      </c>
      <c r="C40" s="20">
        <v>4786249.92</v>
      </c>
      <c r="D40" s="20">
        <v>483</v>
      </c>
      <c r="E40" s="20">
        <v>9909.4201240000002</v>
      </c>
      <c r="F40" s="20">
        <v>4050.822917</v>
      </c>
      <c r="G40" s="20">
        <v>76.620407</v>
      </c>
      <c r="H40" s="14">
        <v>8715.7999999999993</v>
      </c>
      <c r="J40" s="15">
        <v>7</v>
      </c>
      <c r="K40" s="19">
        <v>4.53E-2</v>
      </c>
      <c r="L40" s="20">
        <v>1812630.284</v>
      </c>
      <c r="M40" s="20">
        <v>496</v>
      </c>
      <c r="N40" s="20">
        <v>3654.4965400000001</v>
      </c>
      <c r="O40" s="20">
        <v>1364.9548030000001</v>
      </c>
      <c r="P40" s="20">
        <v>62.628891000000003</v>
      </c>
      <c r="Q40" s="14">
        <v>9241</v>
      </c>
      <c r="R40" s="26"/>
      <c r="S40" s="15">
        <v>7</v>
      </c>
      <c r="T40" s="19">
        <v>4.53E-2</v>
      </c>
      <c r="U40" s="17">
        <v>254725.171</v>
      </c>
      <c r="V40" s="17">
        <v>463</v>
      </c>
      <c r="W40" s="17">
        <v>550.16235600000005</v>
      </c>
      <c r="X40" s="17">
        <v>983.88583200000005</v>
      </c>
      <c r="Y40" s="17">
        <v>34.399461000000002</v>
      </c>
      <c r="Z40" s="14">
        <v>9669</v>
      </c>
      <c r="AB40" s="15">
        <v>7</v>
      </c>
      <c r="AC40" s="19">
        <v>4.53E-2</v>
      </c>
      <c r="AD40" s="17">
        <v>692063.41500000004</v>
      </c>
      <c r="AE40" s="17">
        <v>451</v>
      </c>
      <c r="AF40" s="17">
        <v>1534.508681</v>
      </c>
      <c r="AG40" s="17">
        <v>2174.2692269999998</v>
      </c>
      <c r="AH40" s="17">
        <v>46.470942999999998</v>
      </c>
      <c r="AI40" s="17">
        <v>10176.4</v>
      </c>
    </row>
    <row r="41" spans="1:35">
      <c r="A41" s="15">
        <v>8</v>
      </c>
      <c r="B41" s="19">
        <v>8.2000000000000003E-2</v>
      </c>
      <c r="C41" s="20">
        <v>173.809</v>
      </c>
      <c r="D41" s="20">
        <v>895</v>
      </c>
      <c r="E41" s="20">
        <v>1.9420000000000001E-7</v>
      </c>
      <c r="F41" s="20">
        <v>2.08083E-7</v>
      </c>
      <c r="G41" s="20">
        <v>2.7820000000000001E-9</v>
      </c>
      <c r="H41" s="14">
        <v>0.64</v>
      </c>
      <c r="J41" s="15">
        <v>8</v>
      </c>
      <c r="K41" s="19">
        <v>8.2000000000000003E-2</v>
      </c>
      <c r="L41" s="20">
        <v>153.70699999999999</v>
      </c>
      <c r="M41" s="20">
        <v>902</v>
      </c>
      <c r="N41" s="20">
        <v>1.70407E-7</v>
      </c>
      <c r="O41" s="20">
        <v>1.5755E-7</v>
      </c>
      <c r="P41" s="20">
        <v>5.3109999999999995E-9</v>
      </c>
      <c r="Q41" s="14">
        <v>0.64</v>
      </c>
      <c r="R41" s="26"/>
      <c r="S41" s="15">
        <v>8</v>
      </c>
      <c r="T41" s="19">
        <v>8.2000000000000003E-2</v>
      </c>
      <c r="U41" s="17">
        <v>183.233</v>
      </c>
      <c r="V41" s="17">
        <v>858</v>
      </c>
      <c r="W41" s="17">
        <v>2.1355799999999999E-7</v>
      </c>
      <c r="X41" s="17">
        <v>1.8099199999999998E-7</v>
      </c>
      <c r="Y41" s="17">
        <v>2.4745000000000001E-8</v>
      </c>
      <c r="Z41" s="14">
        <v>0.64</v>
      </c>
      <c r="AB41" s="15">
        <v>8</v>
      </c>
      <c r="AC41" s="19">
        <v>8.2000000000000003E-2</v>
      </c>
      <c r="AD41" s="17">
        <v>14.778</v>
      </c>
      <c r="AE41" s="17">
        <v>804</v>
      </c>
      <c r="AF41" s="17">
        <v>1.8381000000000001E-8</v>
      </c>
      <c r="AG41" s="17">
        <v>1.9748000000000003E-8</v>
      </c>
      <c r="AH41" s="17">
        <v>9.9200000000000009E-10</v>
      </c>
      <c r="AI41" s="17">
        <v>0.13</v>
      </c>
    </row>
    <row r="42" spans="1:35">
      <c r="A42" s="15">
        <v>9</v>
      </c>
      <c r="B42" s="19">
        <v>6.1000000000000004E-3</v>
      </c>
      <c r="C42" s="20">
        <v>118452.363</v>
      </c>
      <c r="D42" s="20">
        <v>72</v>
      </c>
      <c r="E42" s="20">
        <v>1645.1717080000001</v>
      </c>
      <c r="F42" s="20">
        <v>498.36442199999999</v>
      </c>
      <c r="G42" s="20">
        <v>1.8962380000000001</v>
      </c>
      <c r="H42" s="14">
        <v>3940.9</v>
      </c>
      <c r="J42" s="15">
        <v>9</v>
      </c>
      <c r="K42" s="19">
        <v>6.1000000000000004E-3</v>
      </c>
      <c r="L42" s="20">
        <v>178472.39</v>
      </c>
      <c r="M42" s="20">
        <v>66</v>
      </c>
      <c r="N42" s="20">
        <v>2704.127121</v>
      </c>
      <c r="O42" s="20">
        <v>1089.722935</v>
      </c>
      <c r="P42" s="20">
        <v>6.1664690000000002</v>
      </c>
      <c r="Q42" s="14">
        <v>3552</v>
      </c>
      <c r="R42" s="26"/>
      <c r="S42" s="15">
        <v>9</v>
      </c>
      <c r="T42" s="19">
        <v>6.1000000000000004E-3</v>
      </c>
      <c r="U42" s="17">
        <v>3393.6550000000002</v>
      </c>
      <c r="V42" s="17">
        <v>62</v>
      </c>
      <c r="W42" s="20">
        <v>54.736370999999998</v>
      </c>
      <c r="X42" s="17">
        <v>99.199455</v>
      </c>
      <c r="Y42" s="17">
        <v>4.5829699999999999E-7</v>
      </c>
      <c r="Z42" s="14">
        <v>3577.6</v>
      </c>
      <c r="AB42" s="15">
        <v>9</v>
      </c>
      <c r="AC42" s="19">
        <v>6.1000000000000004E-3</v>
      </c>
      <c r="AD42" s="17">
        <v>59771.34</v>
      </c>
      <c r="AE42" s="17">
        <v>67</v>
      </c>
      <c r="AF42" s="20">
        <v>892.10955200000001</v>
      </c>
      <c r="AG42" s="17">
        <v>1722.465989</v>
      </c>
      <c r="AH42" s="17">
        <v>4.0135490000000003</v>
      </c>
      <c r="AI42" s="17">
        <v>3550.9</v>
      </c>
    </row>
    <row r="43" spans="1:35">
      <c r="A43" s="15">
        <v>10</v>
      </c>
      <c r="B43" s="19">
        <v>5.4999999999999997E-3</v>
      </c>
      <c r="C43" s="20">
        <v>116362.038</v>
      </c>
      <c r="D43" s="20">
        <v>70</v>
      </c>
      <c r="E43" s="20">
        <v>1662.3148289999999</v>
      </c>
      <c r="F43" s="20">
        <v>480.93154500000003</v>
      </c>
      <c r="G43" s="20">
        <v>1.8627750000000001</v>
      </c>
      <c r="H43" s="14">
        <v>3954.1</v>
      </c>
      <c r="J43" s="15">
        <v>10</v>
      </c>
      <c r="K43" s="19">
        <v>5.4999999999999997E-3</v>
      </c>
      <c r="L43" s="20">
        <v>151989.21299999999</v>
      </c>
      <c r="M43" s="20">
        <v>56</v>
      </c>
      <c r="N43" s="20">
        <v>2714.093089</v>
      </c>
      <c r="O43" s="20">
        <v>864.30380500000001</v>
      </c>
      <c r="P43" s="20">
        <v>5.2514380000000003</v>
      </c>
      <c r="Q43" s="14">
        <v>2027.2</v>
      </c>
      <c r="R43" s="26"/>
      <c r="S43" s="15">
        <v>10</v>
      </c>
      <c r="T43" s="19">
        <v>5.4999999999999997E-3</v>
      </c>
      <c r="U43" s="17">
        <v>2795.0509999999999</v>
      </c>
      <c r="V43" s="17">
        <v>65</v>
      </c>
      <c r="W43" s="17">
        <v>43.000785</v>
      </c>
      <c r="X43" s="17">
        <v>19.369022999999999</v>
      </c>
      <c r="Y43" s="17">
        <v>3.7745899999999997E-7</v>
      </c>
      <c r="Z43" s="14">
        <v>4338.8</v>
      </c>
      <c r="AB43" s="15">
        <v>10</v>
      </c>
      <c r="AC43" s="19">
        <v>5.4999999999999997E-3</v>
      </c>
      <c r="AD43" s="17">
        <v>16288.583000000001</v>
      </c>
      <c r="AE43" s="17">
        <v>49</v>
      </c>
      <c r="AF43" s="17">
        <v>332.42006099999998</v>
      </c>
      <c r="AG43" s="17">
        <v>268.87516699999998</v>
      </c>
      <c r="AH43" s="17">
        <v>1.0937520000000001</v>
      </c>
      <c r="AI43" s="17">
        <v>3633.9</v>
      </c>
    </row>
    <row r="44" spans="1:35">
      <c r="A44" s="15">
        <v>11</v>
      </c>
      <c r="B44" s="19">
        <v>9.7000000000000003E-3</v>
      </c>
      <c r="C44" s="20">
        <v>83629.521999999997</v>
      </c>
      <c r="D44" s="20">
        <v>102</v>
      </c>
      <c r="E44" s="20">
        <v>819.89727500000004</v>
      </c>
      <c r="F44" s="20">
        <v>14.50006</v>
      </c>
      <c r="G44" s="20">
        <v>1.338778</v>
      </c>
      <c r="H44" s="14">
        <v>1</v>
      </c>
      <c r="J44" s="15">
        <v>11</v>
      </c>
      <c r="K44" s="19">
        <v>9.7000000000000003E-3</v>
      </c>
      <c r="L44" s="20">
        <v>28401.687000000002</v>
      </c>
      <c r="M44" s="20">
        <v>86</v>
      </c>
      <c r="N44" s="20">
        <v>330.25217400000002</v>
      </c>
      <c r="O44" s="20">
        <v>12.928972</v>
      </c>
      <c r="P44" s="20">
        <v>9.8131800000000011E-7</v>
      </c>
      <c r="Q44" s="14">
        <v>1</v>
      </c>
      <c r="R44" s="26"/>
      <c r="S44" s="15">
        <v>11</v>
      </c>
      <c r="T44" s="19">
        <v>9.7000000000000003E-3</v>
      </c>
      <c r="U44" s="17">
        <v>672.20699999999999</v>
      </c>
      <c r="V44" s="17">
        <v>101</v>
      </c>
      <c r="W44" s="17">
        <v>6.6555150000000003</v>
      </c>
      <c r="X44" s="17">
        <v>4.3190879999999998</v>
      </c>
      <c r="Y44" s="17">
        <v>9.0777999999999994E-8</v>
      </c>
      <c r="Z44" s="14">
        <v>1</v>
      </c>
      <c r="AB44" s="15">
        <v>11</v>
      </c>
      <c r="AC44" s="19">
        <v>9.7000000000000003E-3</v>
      </c>
      <c r="AD44" s="17">
        <v>18304.471000000001</v>
      </c>
      <c r="AE44" s="17">
        <v>84</v>
      </c>
      <c r="AF44" s="17">
        <v>217.910369</v>
      </c>
      <c r="AG44" s="17">
        <v>8.5535709999999998</v>
      </c>
      <c r="AH44" s="17">
        <v>1.2291160000000001</v>
      </c>
      <c r="AI44" s="17">
        <v>1</v>
      </c>
    </row>
    <row r="45" spans="1:35">
      <c r="A45" s="15">
        <v>12</v>
      </c>
      <c r="B45" s="19">
        <v>6.1999999999999998E-3</v>
      </c>
      <c r="C45" s="20">
        <v>101664.01300000001</v>
      </c>
      <c r="D45" s="20">
        <v>64</v>
      </c>
      <c r="E45" s="20">
        <v>1588.5002030000001</v>
      </c>
      <c r="F45" s="20">
        <v>517.03240700000003</v>
      </c>
      <c r="G45" s="20">
        <v>1.627483</v>
      </c>
      <c r="H45" s="14">
        <v>1</v>
      </c>
      <c r="J45" s="15">
        <v>12</v>
      </c>
      <c r="K45" s="19">
        <v>6.1999999999999998E-3</v>
      </c>
      <c r="L45" s="20">
        <v>171736.848</v>
      </c>
      <c r="M45" s="20">
        <v>68</v>
      </c>
      <c r="N45" s="20">
        <v>2525.541882</v>
      </c>
      <c r="O45" s="20">
        <v>510.99542000000002</v>
      </c>
      <c r="P45" s="20">
        <v>5.9337460000000002</v>
      </c>
      <c r="Q45" s="14">
        <v>1</v>
      </c>
      <c r="R45" s="26"/>
      <c r="S45" s="15">
        <v>12</v>
      </c>
      <c r="T45" s="19">
        <v>6.1999999999999998E-3</v>
      </c>
      <c r="U45" s="17">
        <v>4781.982</v>
      </c>
      <c r="V45" s="17">
        <v>70</v>
      </c>
      <c r="W45" s="17">
        <v>68.314029000000005</v>
      </c>
      <c r="X45" s="17">
        <v>12.51304</v>
      </c>
      <c r="Y45" s="17">
        <v>6.4578500000000004E-7</v>
      </c>
      <c r="Z45" s="14">
        <v>1</v>
      </c>
      <c r="AB45" s="15">
        <v>12</v>
      </c>
      <c r="AC45" s="19">
        <v>6.1999999999999998E-3</v>
      </c>
      <c r="AD45" s="17">
        <v>36005.421999999999</v>
      </c>
      <c r="AE45" s="17">
        <v>73</v>
      </c>
      <c r="AF45" s="17">
        <v>493.22495900000001</v>
      </c>
      <c r="AG45" s="17">
        <v>196.06330299999999</v>
      </c>
      <c r="AH45" s="17">
        <v>2.4177059999999999</v>
      </c>
      <c r="AI45" s="17">
        <v>1</v>
      </c>
    </row>
    <row r="46" spans="1:35">
      <c r="A46" s="15">
        <v>13</v>
      </c>
      <c r="B46" s="19">
        <v>6.1000000000000004E-3</v>
      </c>
      <c r="C46" s="20">
        <v>484645.576</v>
      </c>
      <c r="D46" s="20">
        <v>91</v>
      </c>
      <c r="E46" s="20">
        <v>5325.77556</v>
      </c>
      <c r="F46" s="20">
        <v>1694.139874</v>
      </c>
      <c r="G46" s="20">
        <v>7.7584210000000002</v>
      </c>
      <c r="H46" s="14">
        <v>4170.6000000000004</v>
      </c>
      <c r="J46" s="15">
        <v>13</v>
      </c>
      <c r="K46" s="19">
        <v>6.1000000000000004E-3</v>
      </c>
      <c r="L46" s="20">
        <v>143296.30600000001</v>
      </c>
      <c r="M46" s="20">
        <v>56</v>
      </c>
      <c r="N46" s="20">
        <v>2558.862607</v>
      </c>
      <c r="O46" s="20">
        <v>466.26275900000002</v>
      </c>
      <c r="P46" s="20">
        <v>4.9510860000000001</v>
      </c>
      <c r="Q46" s="14">
        <v>2328.5500000000002</v>
      </c>
      <c r="R46" s="26"/>
      <c r="S46" s="15">
        <v>13</v>
      </c>
      <c r="T46" s="19">
        <v>6.1000000000000004E-3</v>
      </c>
      <c r="U46" s="17">
        <v>406167.18300000002</v>
      </c>
      <c r="V46" s="17">
        <v>73</v>
      </c>
      <c r="W46" s="17">
        <v>5563.9340140000004</v>
      </c>
      <c r="X46" s="17">
        <v>19783.101938</v>
      </c>
      <c r="Y46" s="17">
        <v>54.851007000000003</v>
      </c>
      <c r="Z46" s="14">
        <v>1532.2</v>
      </c>
      <c r="AB46" s="15">
        <v>13</v>
      </c>
      <c r="AC46" s="19">
        <v>6.1000000000000004E-3</v>
      </c>
      <c r="AD46" s="17">
        <v>189375.21299999999</v>
      </c>
      <c r="AE46" s="17">
        <v>71</v>
      </c>
      <c r="AF46" s="17">
        <v>2667.2565209999998</v>
      </c>
      <c r="AG46" s="17">
        <v>4253.3020630000001</v>
      </c>
      <c r="AH46" s="17">
        <v>12.716240000000001</v>
      </c>
      <c r="AI46" s="17">
        <v>2788.6</v>
      </c>
    </row>
    <row r="47" spans="1:35">
      <c r="A47" s="15">
        <v>14</v>
      </c>
      <c r="B47" s="19">
        <v>1.6199999999999999E-2</v>
      </c>
      <c r="C47" s="20">
        <v>1029.6790000000001</v>
      </c>
      <c r="D47" s="20">
        <v>165</v>
      </c>
      <c r="E47" s="20">
        <v>6.2404789999999997</v>
      </c>
      <c r="F47" s="20">
        <v>5.4604229999999996</v>
      </c>
      <c r="G47" s="20">
        <v>1.6483999999999997E-8</v>
      </c>
      <c r="H47" s="14">
        <v>47</v>
      </c>
      <c r="J47" s="15">
        <v>14</v>
      </c>
      <c r="K47" s="19">
        <v>1.6199999999999999E-2</v>
      </c>
      <c r="L47" s="20">
        <v>952.86699999999996</v>
      </c>
      <c r="M47" s="20">
        <v>152</v>
      </c>
      <c r="N47" s="20">
        <v>6.2688620000000004</v>
      </c>
      <c r="O47" s="20">
        <v>5.4402020000000002</v>
      </c>
      <c r="P47" s="20">
        <v>3.2923000000000003E-8</v>
      </c>
      <c r="Q47" s="14">
        <v>53.3</v>
      </c>
      <c r="R47" s="26"/>
      <c r="S47" s="15">
        <v>14</v>
      </c>
      <c r="T47" s="19">
        <v>1.6199999999999999E-2</v>
      </c>
      <c r="U47" s="17">
        <v>74.179000000000002</v>
      </c>
      <c r="V47" s="17">
        <v>159</v>
      </c>
      <c r="W47" s="17">
        <v>4.6653499999999996E-7</v>
      </c>
      <c r="X47" s="17">
        <v>7.9882900000000004E-7</v>
      </c>
      <c r="Y47" s="17">
        <v>1.0018000000000001E-8</v>
      </c>
      <c r="Z47" s="14">
        <v>50.66</v>
      </c>
      <c r="AB47" s="15">
        <v>14</v>
      </c>
      <c r="AC47" s="19">
        <v>1.6199999999999999E-2</v>
      </c>
      <c r="AD47" s="17">
        <v>787.41099999999994</v>
      </c>
      <c r="AE47" s="17">
        <v>169</v>
      </c>
      <c r="AF47" s="17">
        <v>4.6592370000000001</v>
      </c>
      <c r="AG47" s="17">
        <v>2.9970650000000001</v>
      </c>
      <c r="AH47" s="17">
        <v>5.2873000000000006E-8</v>
      </c>
      <c r="AI47" s="17">
        <v>50.6</v>
      </c>
    </row>
    <row r="48" spans="1:35">
      <c r="A48" s="15">
        <v>15</v>
      </c>
      <c r="B48" s="19">
        <v>7.6899999999999996E-2</v>
      </c>
      <c r="C48" s="20">
        <v>7311.26</v>
      </c>
      <c r="D48" s="20">
        <v>864</v>
      </c>
      <c r="E48" s="20">
        <v>8.4621060000000003</v>
      </c>
      <c r="F48" s="20">
        <v>5.9198690000000003</v>
      </c>
      <c r="G48" s="20">
        <v>1.17042E-7</v>
      </c>
      <c r="H48" s="14">
        <v>0.88</v>
      </c>
      <c r="J48" s="15">
        <v>15</v>
      </c>
      <c r="K48" s="19">
        <v>7.6899999999999996E-2</v>
      </c>
      <c r="L48" s="20">
        <v>7351.2960000000003</v>
      </c>
      <c r="M48" s="20">
        <v>798</v>
      </c>
      <c r="N48" s="20">
        <v>9.2121499999999994</v>
      </c>
      <c r="O48" s="20">
        <v>6.0061239999999998</v>
      </c>
      <c r="P48" s="20">
        <v>2.5399699999999999E-7</v>
      </c>
      <c r="Q48" s="14">
        <v>0.89</v>
      </c>
      <c r="R48" s="26"/>
      <c r="S48" s="15">
        <v>15</v>
      </c>
      <c r="T48" s="19">
        <v>7.6899999999999996E-2</v>
      </c>
      <c r="U48" s="17">
        <v>5463.357</v>
      </c>
      <c r="V48" s="17">
        <v>800</v>
      </c>
      <c r="W48" s="17">
        <v>6.8291959999999996</v>
      </c>
      <c r="X48" s="17">
        <v>4.8871390000000003</v>
      </c>
      <c r="Y48" s="17">
        <v>7.3780100000000008E-7</v>
      </c>
      <c r="Z48" s="14">
        <v>0.88</v>
      </c>
      <c r="AB48" s="15">
        <v>15</v>
      </c>
      <c r="AC48" s="19">
        <v>7.6899999999999996E-2</v>
      </c>
      <c r="AD48" s="17">
        <v>1332.163</v>
      </c>
      <c r="AE48" s="17">
        <v>818</v>
      </c>
      <c r="AF48" s="17">
        <v>1.6285609999999999</v>
      </c>
      <c r="AG48" s="17">
        <v>3.595958</v>
      </c>
      <c r="AH48" s="17">
        <v>8.9453E-8</v>
      </c>
      <c r="AI48" s="17">
        <v>0.18</v>
      </c>
    </row>
    <row r="49" spans="5:35">
      <c r="E49" s="13">
        <f>SUMPRODUCT(B34:B48,E34:E48)</f>
        <v>571.18080275875081</v>
      </c>
      <c r="H49" s="13">
        <f>SUMPRODUCT(B34:B48,H34:H48)</f>
        <v>843.01739599999985</v>
      </c>
      <c r="N49" s="13">
        <f>SUMPRODUCT(K34:K48,N34:N48)</f>
        <v>269.71695841167246</v>
      </c>
      <c r="Q49" s="13">
        <f>SUMPRODUCT(K34:K48,Q34:Q48)</f>
        <v>837.63239199999998</v>
      </c>
      <c r="R49" s="26"/>
      <c r="W49" s="13">
        <f>SUMPRODUCT(T34:T48,W34:W48)</f>
        <v>66.730691392396508</v>
      </c>
      <c r="Z49" s="13">
        <f>SUMPRODUCT(T34:T48,Z34:Z48)</f>
        <v>823.01294899999982</v>
      </c>
      <c r="AF49" s="13">
        <f>SUMPRODUCT(AC34:AC48,AF34:AF48)</f>
        <v>145.85330323118853</v>
      </c>
      <c r="AI49" s="13">
        <f>SUMPRODUCT(AC34:AC48,AI34:AI48)</f>
        <v>806.27608399999986</v>
      </c>
    </row>
    <row r="50" spans="5:35">
      <c r="AI50" s="17">
        <f>AVERAGEIF(AI34:AI48,"&gt;1")</f>
        <v>2988.6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BE08-8D6C-418A-913D-957647996473}">
  <dimension ref="A1:K13"/>
  <sheetViews>
    <sheetView zoomScale="115" zoomScaleNormal="115" workbookViewId="0"/>
  </sheetViews>
  <sheetFormatPr defaultColWidth="8.75" defaultRowHeight="14"/>
  <cols>
    <col min="1" max="1" width="15.33203125" style="1" bestFit="1" customWidth="1"/>
    <col min="2" max="2" width="12.08203125" style="1" bestFit="1" customWidth="1"/>
    <col min="3" max="3" width="13.83203125" style="1" bestFit="1" customWidth="1"/>
    <col min="4" max="4" width="15.08203125" style="1" customWidth="1"/>
    <col min="5" max="5" width="3" style="1" customWidth="1"/>
    <col min="6" max="6" width="14" style="1" bestFit="1" customWidth="1"/>
    <col min="7" max="7" width="15" style="1" customWidth="1"/>
    <col min="8" max="8" width="14.75" style="1" bestFit="1" customWidth="1"/>
    <col min="9" max="9" width="13.33203125" style="1" customWidth="1"/>
    <col min="10" max="10" width="3.08203125" style="1" customWidth="1"/>
    <col min="11" max="11" width="22.08203125" style="1" bestFit="1" customWidth="1"/>
    <col min="12" max="12" width="21.25" style="1" bestFit="1" customWidth="1"/>
    <col min="13" max="13" width="11.08203125" style="1" bestFit="1" customWidth="1"/>
    <col min="14" max="14" width="11.25" style="1" bestFit="1" customWidth="1"/>
    <col min="15" max="16" width="9.25" style="1" bestFit="1" customWidth="1"/>
    <col min="17" max="16384" width="8.75" style="1"/>
  </cols>
  <sheetData>
    <row r="1" spans="1:11" ht="28">
      <c r="A1" s="2" t="s">
        <v>22</v>
      </c>
      <c r="C1" s="6" t="s">
        <v>13</v>
      </c>
      <c r="D1" s="10" t="s">
        <v>26</v>
      </c>
      <c r="E1" s="2"/>
    </row>
    <row r="2" spans="1:11">
      <c r="A2" s="1" t="s">
        <v>23</v>
      </c>
      <c r="C2" s="1">
        <v>10000</v>
      </c>
      <c r="D2" s="1">
        <v>50333</v>
      </c>
    </row>
    <row r="3" spans="1:11">
      <c r="A3" s="1" t="s">
        <v>24</v>
      </c>
      <c r="C3" s="1">
        <v>10000</v>
      </c>
      <c r="D3" s="1">
        <v>1489126</v>
      </c>
    </row>
    <row r="4" spans="1:11">
      <c r="A4" s="1" t="s">
        <v>25</v>
      </c>
      <c r="C4" s="1">
        <v>10000</v>
      </c>
      <c r="D4" s="1">
        <v>3623390</v>
      </c>
    </row>
    <row r="6" spans="1:11" ht="42">
      <c r="A6" s="2" t="s">
        <v>27</v>
      </c>
      <c r="B6" s="2" t="s">
        <v>16</v>
      </c>
      <c r="C6" s="2" t="s">
        <v>30</v>
      </c>
      <c r="D6" s="2" t="s">
        <v>29</v>
      </c>
      <c r="E6" s="2"/>
      <c r="F6" s="2" t="s">
        <v>31</v>
      </c>
      <c r="G6" s="2" t="s">
        <v>32</v>
      </c>
      <c r="K6" s="2" t="s">
        <v>20</v>
      </c>
    </row>
    <row r="7" spans="1:11">
      <c r="A7" s="1" t="s">
        <v>14</v>
      </c>
      <c r="B7" s="3">
        <f>'Query 1x'!E30</f>
        <v>63.706097233782849</v>
      </c>
      <c r="C7" s="7">
        <f>$B7*C$3/1000</f>
        <v>637.0609723378285</v>
      </c>
      <c r="D7" s="9">
        <f>$B7*D$3/1000</f>
        <v>94866.405749354119</v>
      </c>
      <c r="E7" s="12"/>
      <c r="F7" s="8">
        <f>C7/60</f>
        <v>10.617682872297141</v>
      </c>
      <c r="G7" s="11">
        <f>D7/60</f>
        <v>1581.1067624892353</v>
      </c>
      <c r="H7" s="4"/>
      <c r="I7" s="4"/>
      <c r="J7" s="4"/>
    </row>
    <row r="8" spans="1:11">
      <c r="A8" s="1" t="s">
        <v>15</v>
      </c>
      <c r="B8" s="3">
        <f>'Query 1x'!N30</f>
        <v>1.4927656856626921</v>
      </c>
      <c r="C8" s="7">
        <f>$B8*C$3/1000</f>
        <v>14.927656856626921</v>
      </c>
      <c r="D8" s="9">
        <f>$B8*D$3/1000</f>
        <v>2222.9161944281423</v>
      </c>
      <c r="E8" s="12"/>
      <c r="F8" s="8">
        <f>C8/60</f>
        <v>0.24879428094378203</v>
      </c>
      <c r="G8" s="11">
        <f>D8/60</f>
        <v>37.048603240469035</v>
      </c>
      <c r="H8" s="4"/>
      <c r="I8" s="4"/>
      <c r="J8" s="4"/>
      <c r="K8" s="1">
        <v>55.1</v>
      </c>
    </row>
    <row r="10" spans="1:11" ht="42">
      <c r="A10" s="2" t="s">
        <v>28</v>
      </c>
      <c r="B10" s="2" t="s">
        <v>16</v>
      </c>
      <c r="C10" s="2" t="s">
        <v>30</v>
      </c>
      <c r="D10" s="2" t="s">
        <v>29</v>
      </c>
      <c r="E10" s="2"/>
      <c r="F10" s="2" t="s">
        <v>31</v>
      </c>
      <c r="G10" s="2" t="s">
        <v>32</v>
      </c>
      <c r="H10" s="2" t="s">
        <v>33</v>
      </c>
      <c r="I10" s="2" t="s">
        <v>34</v>
      </c>
      <c r="J10" s="2"/>
      <c r="K10" s="2" t="s">
        <v>21</v>
      </c>
    </row>
    <row r="11" spans="1:11">
      <c r="A11" s="1" t="s">
        <v>17</v>
      </c>
      <c r="B11" s="3">
        <f>'Query 1x'!E49</f>
        <v>571.18080275875081</v>
      </c>
      <c r="C11" s="7">
        <f t="shared" ref="C11:D13" si="0">$B11*C$4/1000</f>
        <v>5711.8080275875081</v>
      </c>
      <c r="D11" s="9">
        <f t="shared" si="0"/>
        <v>2069610.8089080299</v>
      </c>
      <c r="E11" s="12"/>
      <c r="F11" s="8">
        <f t="shared" ref="F11:G13" si="1">C11/60</f>
        <v>95.196800459791802</v>
      </c>
      <c r="G11" s="11">
        <f t="shared" si="1"/>
        <v>34493.513481800495</v>
      </c>
      <c r="H11" s="11">
        <f>G11/60</f>
        <v>574.89189136334164</v>
      </c>
      <c r="I11" s="11">
        <f>H11/24</f>
        <v>23.953828806805902</v>
      </c>
      <c r="J11" s="4"/>
      <c r="K11" s="5"/>
    </row>
    <row r="12" spans="1:11">
      <c r="A12" s="1" t="s">
        <v>18</v>
      </c>
      <c r="B12" s="3">
        <f>'Query 1x'!N49</f>
        <v>269.71695841167246</v>
      </c>
      <c r="C12" s="7">
        <f t="shared" si="0"/>
        <v>2697.1695841167248</v>
      </c>
      <c r="D12" s="9">
        <f t="shared" si="0"/>
        <v>977289.72993926995</v>
      </c>
      <c r="E12" s="12"/>
      <c r="F12" s="8">
        <f t="shared" si="1"/>
        <v>44.952826401945416</v>
      </c>
      <c r="G12" s="11">
        <f t="shared" si="1"/>
        <v>16288.162165654499</v>
      </c>
      <c r="H12" s="11">
        <f>G12/60</f>
        <v>271.46936942757497</v>
      </c>
      <c r="I12" s="11">
        <f>H12/24</f>
        <v>11.311223726148958</v>
      </c>
      <c r="J12" s="4"/>
      <c r="K12" s="5"/>
    </row>
    <row r="13" spans="1:11">
      <c r="A13" s="1" t="s">
        <v>19</v>
      </c>
      <c r="B13" s="3">
        <f>'Query 1x'!W49</f>
        <v>66.730691392396508</v>
      </c>
      <c r="C13" s="7">
        <f t="shared" si="0"/>
        <v>667.30691392396511</v>
      </c>
      <c r="D13" s="9">
        <f t="shared" si="0"/>
        <v>241791.31988429558</v>
      </c>
      <c r="E13" s="12"/>
      <c r="F13" s="8">
        <f t="shared" si="1"/>
        <v>11.121781898732753</v>
      </c>
      <c r="G13" s="11">
        <f t="shared" si="1"/>
        <v>4029.8553314049263</v>
      </c>
      <c r="H13" s="11">
        <f>G13/60</f>
        <v>67.164255523415434</v>
      </c>
      <c r="I13" s="11">
        <f>H13/24</f>
        <v>2.7985106468089764</v>
      </c>
      <c r="J13" s="4"/>
      <c r="K13" s="5"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4097-27B2-4865-90BD-DFB4E26E291F}">
  <dimension ref="A1:AE49"/>
  <sheetViews>
    <sheetView zoomScaleNormal="100" workbookViewId="0"/>
  </sheetViews>
  <sheetFormatPr defaultColWidth="28.08203125" defaultRowHeight="14"/>
  <cols>
    <col min="1" max="1" width="7.83203125" style="17" customWidth="1"/>
    <col min="2" max="2" width="6.25" style="17" bestFit="1" customWidth="1"/>
    <col min="3" max="7" width="12.58203125" style="17" customWidth="1"/>
    <col min="8" max="8" width="4.83203125" style="17" customWidth="1"/>
    <col min="9" max="9" width="7.33203125" style="17" customWidth="1"/>
    <col min="10" max="10" width="6.33203125" style="17" bestFit="1" customWidth="1"/>
    <col min="11" max="15" width="11.83203125" style="17" customWidth="1"/>
    <col min="16" max="16" width="5.75" style="17" customWidth="1"/>
    <col min="17" max="18" width="6.75" style="17" customWidth="1"/>
    <col min="19" max="21" width="12.33203125" style="17" customWidth="1"/>
    <col min="22" max="22" width="12.33203125" style="17" hidden="1" customWidth="1"/>
    <col min="23" max="23" width="12.33203125" style="17" customWidth="1"/>
    <col min="24" max="24" width="6.33203125" style="17" customWidth="1"/>
    <col min="25" max="25" width="6.58203125" style="17" customWidth="1"/>
    <col min="26" max="26" width="6.33203125" style="17" bestFit="1" customWidth="1"/>
    <col min="27" max="29" width="11.58203125" style="17" customWidth="1"/>
    <col min="30" max="30" width="11.58203125" style="17" hidden="1" customWidth="1"/>
    <col min="31" max="31" width="11.58203125" style="17" customWidth="1"/>
    <col min="32" max="16384" width="28.08203125" style="17"/>
  </cols>
  <sheetData>
    <row r="1" spans="1:7" ht="26">
      <c r="A1" s="15">
        <v>2003</v>
      </c>
      <c r="B1" s="15" t="s">
        <v>9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</row>
    <row r="2" spans="1:7" ht="26">
      <c r="A2" s="15" t="s">
        <v>5</v>
      </c>
      <c r="B2" s="15"/>
      <c r="C2" s="15"/>
      <c r="D2" s="15"/>
      <c r="E2" s="15"/>
      <c r="F2" s="15"/>
      <c r="G2" s="15"/>
    </row>
    <row r="3" spans="1:7">
      <c r="A3" s="15">
        <v>1</v>
      </c>
      <c r="B3" s="19">
        <v>0.60299999999999998</v>
      </c>
      <c r="C3" s="20">
        <v>422.07400000000001</v>
      </c>
      <c r="D3" s="20">
        <v>606</v>
      </c>
      <c r="E3" s="20">
        <v>6.9649200000000001E-7</v>
      </c>
      <c r="F3" s="20">
        <v>5.1492200000000001E-7</v>
      </c>
      <c r="G3" s="20">
        <v>5.9945400000000004E-7</v>
      </c>
    </row>
    <row r="4" spans="1:7">
      <c r="A4" s="15">
        <v>2</v>
      </c>
      <c r="B4" s="19">
        <v>0.22459999999999999</v>
      </c>
      <c r="C4" s="20">
        <v>37755.192999999999</v>
      </c>
      <c r="D4" s="20">
        <v>229</v>
      </c>
      <c r="E4" s="20">
        <v>164.86983799999999</v>
      </c>
      <c r="F4" s="20">
        <v>81.929844000000003</v>
      </c>
      <c r="G4" s="20">
        <v>53.622110999999997</v>
      </c>
    </row>
    <row r="5" spans="1:7">
      <c r="A5" s="15">
        <v>3</v>
      </c>
      <c r="B5" s="19">
        <v>4.7500000000000001E-2</v>
      </c>
      <c r="C5" s="20">
        <v>9367.6059999999998</v>
      </c>
      <c r="D5" s="20">
        <v>44</v>
      </c>
      <c r="E5" s="20">
        <v>212.900136</v>
      </c>
      <c r="F5" s="20">
        <v>158.20355799999999</v>
      </c>
      <c r="G5" s="20">
        <v>13.304417000000001</v>
      </c>
    </row>
    <row r="6" spans="1:7">
      <c r="A6" s="15">
        <v>4</v>
      </c>
      <c r="B6" s="19">
        <v>0.114</v>
      </c>
      <c r="C6" s="20">
        <v>22864.569</v>
      </c>
      <c r="D6" s="20">
        <v>108</v>
      </c>
      <c r="E6" s="20">
        <v>211.70897199999999</v>
      </c>
      <c r="F6" s="20">
        <v>153.71595300000001</v>
      </c>
      <c r="G6" s="20">
        <v>32.473585</v>
      </c>
    </row>
    <row r="7" spans="1:7">
      <c r="A7" s="15">
        <v>5</v>
      </c>
      <c r="B7" s="19">
        <v>1.09E-2</v>
      </c>
      <c r="C7" s="20">
        <v>3.0499999999999999E-4</v>
      </c>
      <c r="D7" s="20">
        <v>13</v>
      </c>
      <c r="E7" s="20">
        <v>2.3461999999999999E-8</v>
      </c>
      <c r="F7" s="20">
        <v>1.1949E-8</v>
      </c>
      <c r="G7" s="20">
        <v>4.33E-10</v>
      </c>
    </row>
    <row r="8" spans="1:7">
      <c r="B8" s="22"/>
      <c r="E8" s="13">
        <f>SUMPRODUCT(B3:B7,E3:E7)</f>
        <v>71.277345303040406</v>
      </c>
    </row>
    <row r="9" spans="1:7">
      <c r="B9" s="22"/>
      <c r="E9" s="13"/>
    </row>
    <row r="10" spans="1:7" ht="26">
      <c r="A10" s="15" t="s">
        <v>6</v>
      </c>
      <c r="B10" s="15" t="s">
        <v>9</v>
      </c>
      <c r="C10" s="15" t="s">
        <v>0</v>
      </c>
      <c r="D10" s="15" t="s">
        <v>1</v>
      </c>
      <c r="E10" s="15" t="s">
        <v>2</v>
      </c>
      <c r="F10" s="15" t="s">
        <v>3</v>
      </c>
      <c r="G10" s="15" t="s">
        <v>4</v>
      </c>
    </row>
    <row r="11" spans="1:7" ht="26">
      <c r="A11" s="15" t="s">
        <v>5</v>
      </c>
      <c r="B11" s="23"/>
      <c r="C11" s="15"/>
      <c r="D11" s="15"/>
      <c r="E11" s="15"/>
      <c r="F11" s="15"/>
      <c r="G11" s="15"/>
    </row>
    <row r="12" spans="1:7">
      <c r="A12" s="15">
        <v>1</v>
      </c>
      <c r="B12" s="19">
        <v>0.60299999999999998</v>
      </c>
      <c r="C12" s="20">
        <v>617.27599999999995</v>
      </c>
      <c r="D12" s="24">
        <v>623</v>
      </c>
      <c r="E12" s="24">
        <v>9.9081200000000002E-7</v>
      </c>
      <c r="F12" s="24">
        <v>9.0683899999999996E-7</v>
      </c>
      <c r="G12" s="24">
        <v>10.401206</v>
      </c>
    </row>
    <row r="13" spans="1:7">
      <c r="A13" s="15">
        <v>2</v>
      </c>
      <c r="B13" s="19">
        <v>0.22459999999999999</v>
      </c>
      <c r="C13" s="20">
        <v>1902.6079999999999</v>
      </c>
      <c r="D13" s="24">
        <v>187</v>
      </c>
      <c r="E13" s="24">
        <v>10.174374</v>
      </c>
      <c r="F13" s="24">
        <v>8.9871020000000001</v>
      </c>
      <c r="G13" s="24">
        <v>32.059269</v>
      </c>
    </row>
    <row r="14" spans="1:7">
      <c r="A14" s="15">
        <v>3</v>
      </c>
      <c r="B14" s="19">
        <v>4.7500000000000001E-2</v>
      </c>
      <c r="C14" s="20">
        <v>768.80499999999995</v>
      </c>
      <c r="D14" s="24">
        <v>54</v>
      </c>
      <c r="E14" s="24">
        <v>14.237130000000001</v>
      </c>
      <c r="F14" s="24">
        <v>19.181145000000001</v>
      </c>
      <c r="G14" s="24">
        <v>12.954495</v>
      </c>
    </row>
    <row r="15" spans="1:7">
      <c r="A15" s="15">
        <v>4</v>
      </c>
      <c r="B15" s="19">
        <v>0.114</v>
      </c>
      <c r="C15" s="20">
        <v>2645.3760000000002</v>
      </c>
      <c r="D15" s="24">
        <v>122</v>
      </c>
      <c r="E15" s="24">
        <v>21.683409999999999</v>
      </c>
      <c r="F15" s="24">
        <v>20.490525999999999</v>
      </c>
      <c r="G15" s="24">
        <v>44.575037000000002</v>
      </c>
    </row>
    <row r="16" spans="1:7">
      <c r="A16" s="15">
        <v>5</v>
      </c>
      <c r="B16" s="19">
        <v>1.09E-2</v>
      </c>
      <c r="C16" s="20">
        <v>5.9299999999999999E-4</v>
      </c>
      <c r="D16" s="24">
        <v>14</v>
      </c>
      <c r="E16" s="24">
        <v>4.2357E-8</v>
      </c>
      <c r="F16" s="24">
        <v>2.2687E-8</v>
      </c>
      <c r="G16" s="24">
        <v>9.9919999999999994E-9</v>
      </c>
    </row>
    <row r="17" spans="1:31">
      <c r="B17" s="22"/>
      <c r="E17" s="13">
        <f>SUMPRODUCT(B12:B16,E12:E16)</f>
        <v>5.4333374133213272</v>
      </c>
      <c r="F17" s="13">
        <f>SQRT(SUMPRODUCT(B12:B16,F12:F16)/SUM(B12:B16))</f>
        <v>2.2946738347249278</v>
      </c>
    </row>
    <row r="18" spans="1:31">
      <c r="B18" s="22"/>
    </row>
    <row r="19" spans="1:31" ht="39">
      <c r="A19" s="15" t="s">
        <v>7</v>
      </c>
      <c r="B19" s="15" t="s">
        <v>9</v>
      </c>
      <c r="C19" s="15" t="s">
        <v>0</v>
      </c>
      <c r="D19" s="15" t="s">
        <v>1</v>
      </c>
      <c r="E19" s="15" t="s">
        <v>2</v>
      </c>
      <c r="F19" s="15" t="s">
        <v>3</v>
      </c>
      <c r="G19" s="15" t="s">
        <v>4</v>
      </c>
      <c r="I19" s="15" t="s">
        <v>8</v>
      </c>
      <c r="J19" s="15" t="s">
        <v>9</v>
      </c>
      <c r="K19" s="15" t="s">
        <v>0</v>
      </c>
      <c r="L19" s="15" t="s">
        <v>1</v>
      </c>
      <c r="M19" s="15" t="s">
        <v>2</v>
      </c>
      <c r="N19" s="15" t="s">
        <v>3</v>
      </c>
      <c r="O19" s="15" t="s">
        <v>4</v>
      </c>
      <c r="Q19" s="15">
        <v>2013</v>
      </c>
      <c r="R19" s="15" t="s">
        <v>9</v>
      </c>
      <c r="S19" s="15" t="s">
        <v>0</v>
      </c>
      <c r="T19" s="15" t="s">
        <v>1</v>
      </c>
      <c r="U19" s="15" t="s">
        <v>2</v>
      </c>
      <c r="V19" s="15" t="s">
        <v>3</v>
      </c>
      <c r="W19" s="15" t="s">
        <v>4</v>
      </c>
    </row>
    <row r="20" spans="1:31" ht="26">
      <c r="A20" s="15" t="s">
        <v>5</v>
      </c>
      <c r="B20" s="23"/>
      <c r="C20" s="15"/>
      <c r="D20" s="15"/>
      <c r="E20" s="15"/>
      <c r="F20" s="15"/>
      <c r="G20" s="15"/>
      <c r="I20" s="15" t="s">
        <v>5</v>
      </c>
      <c r="J20" s="23"/>
      <c r="K20" s="15"/>
      <c r="L20" s="15"/>
      <c r="M20" s="15"/>
      <c r="N20" s="15"/>
      <c r="O20" s="15"/>
      <c r="Q20" s="15" t="s">
        <v>5</v>
      </c>
      <c r="R20" s="23"/>
      <c r="S20" s="15"/>
      <c r="T20" s="15"/>
      <c r="U20" s="15"/>
      <c r="V20" s="15"/>
      <c r="W20" s="15"/>
    </row>
    <row r="21" spans="1:31">
      <c r="A21" s="15">
        <v>1</v>
      </c>
      <c r="B21" s="19">
        <v>0.1066</v>
      </c>
      <c r="C21" s="20">
        <v>1250.309</v>
      </c>
      <c r="D21" s="20">
        <v>1925</v>
      </c>
      <c r="E21" s="20">
        <v>6.4951099999999997E-7</v>
      </c>
      <c r="F21" s="20">
        <v>7.1566300000000002E-7</v>
      </c>
      <c r="G21" s="20">
        <v>1.17152E-7</v>
      </c>
      <c r="I21" s="15">
        <v>1</v>
      </c>
      <c r="J21" s="19">
        <v>0.1066</v>
      </c>
      <c r="K21" s="20">
        <v>1601.902</v>
      </c>
      <c r="L21" s="20">
        <v>1942</v>
      </c>
      <c r="M21" s="20">
        <v>8.24872E-7</v>
      </c>
      <c r="N21" s="20">
        <v>4.8448200000000001E-7</v>
      </c>
      <c r="O21" s="20">
        <v>5.6410929999999997</v>
      </c>
      <c r="Q21" s="15">
        <v>1</v>
      </c>
      <c r="R21" s="19">
        <v>0.1066</v>
      </c>
      <c r="S21" s="20">
        <v>1212.402</v>
      </c>
      <c r="T21" s="20">
        <v>1940</v>
      </c>
      <c r="U21" s="20">
        <v>6.2494900000000002E-7</v>
      </c>
      <c r="V21" s="20">
        <v>4.4747199999999997E-7</v>
      </c>
      <c r="W21" s="20">
        <v>2.48188E-7</v>
      </c>
    </row>
    <row r="22" spans="1:31">
      <c r="A22" s="15">
        <v>2</v>
      </c>
      <c r="B22" s="19">
        <v>1.3299999999999999E-2</v>
      </c>
      <c r="C22" s="20">
        <v>2465.7730000000001</v>
      </c>
      <c r="D22" s="20">
        <v>224</v>
      </c>
      <c r="E22" s="20">
        <v>11.007915000000001</v>
      </c>
      <c r="F22" s="20">
        <v>9.4221029999999999</v>
      </c>
      <c r="G22" s="20">
        <v>2.3103899999999998E-7</v>
      </c>
      <c r="I22" s="15">
        <v>2</v>
      </c>
      <c r="J22" s="19">
        <v>1.3299999999999999E-2</v>
      </c>
      <c r="K22" s="20">
        <v>3550.2860000000001</v>
      </c>
      <c r="L22" s="20">
        <v>206</v>
      </c>
      <c r="M22" s="20">
        <v>17.234397999999999</v>
      </c>
      <c r="N22" s="20">
        <v>8.6265900000000002</v>
      </c>
      <c r="O22" s="20">
        <v>12.502321</v>
      </c>
      <c r="Q22" s="15">
        <v>2</v>
      </c>
      <c r="R22" s="19">
        <v>1.3299999999999999E-2</v>
      </c>
      <c r="S22" s="20">
        <v>64886.811000000002</v>
      </c>
      <c r="T22" s="20">
        <v>228</v>
      </c>
      <c r="U22" s="20">
        <v>284.59127599999999</v>
      </c>
      <c r="V22" s="20">
        <v>132.459373</v>
      </c>
      <c r="W22" s="20">
        <v>13.28285</v>
      </c>
    </row>
    <row r="23" spans="1:31">
      <c r="A23" s="15">
        <v>3</v>
      </c>
      <c r="B23" s="19">
        <v>0.14130000000000001</v>
      </c>
      <c r="C23" s="20">
        <v>1050905.8829999999</v>
      </c>
      <c r="D23" s="20">
        <v>2501</v>
      </c>
      <c r="E23" s="20">
        <v>420.194275</v>
      </c>
      <c r="F23" s="20">
        <v>225.007305</v>
      </c>
      <c r="G23" s="20">
        <v>98.468305000000001</v>
      </c>
      <c r="I23" s="15">
        <v>3</v>
      </c>
      <c r="J23" s="19">
        <v>0.14130000000000001</v>
      </c>
      <c r="K23" s="20">
        <v>18066.353999999999</v>
      </c>
      <c r="L23" s="20">
        <v>2579</v>
      </c>
      <c r="M23" s="20">
        <v>7.0051779999999999</v>
      </c>
      <c r="N23" s="20">
        <v>3.9873349999999999</v>
      </c>
      <c r="O23" s="20">
        <v>63.620607</v>
      </c>
      <c r="Q23" s="15">
        <v>3</v>
      </c>
      <c r="R23" s="19">
        <v>0.14130000000000001</v>
      </c>
      <c r="S23" s="20">
        <v>422313.88299999997</v>
      </c>
      <c r="T23" s="20">
        <v>2654</v>
      </c>
      <c r="U23" s="20">
        <v>159.12354300000001</v>
      </c>
      <c r="V23" s="20">
        <v>89.085865999999996</v>
      </c>
      <c r="W23" s="20">
        <v>86.451036000000002</v>
      </c>
    </row>
    <row r="24" spans="1:31">
      <c r="A24" s="15">
        <v>4</v>
      </c>
      <c r="B24" s="19">
        <v>5.4699999999999999E-2</v>
      </c>
      <c r="C24" s="20">
        <v>806.48800000000006</v>
      </c>
      <c r="D24" s="20">
        <v>961</v>
      </c>
      <c r="E24" s="20">
        <v>8.3921699999999999E-7</v>
      </c>
      <c r="F24" s="20">
        <v>20.694286000000002</v>
      </c>
      <c r="G24" s="20">
        <v>7.5566999999999991E-8</v>
      </c>
      <c r="I24" s="15">
        <v>4</v>
      </c>
      <c r="J24" s="19">
        <v>5.4699999999999999E-2</v>
      </c>
      <c r="K24" s="20">
        <v>129.65899999999999</v>
      </c>
      <c r="L24" s="20">
        <v>951</v>
      </c>
      <c r="M24" s="20">
        <v>1.3633999999999999E-7</v>
      </c>
      <c r="N24" s="20">
        <v>1.1448160000000001</v>
      </c>
      <c r="O24" s="20">
        <v>4.5659399999999999E-7</v>
      </c>
      <c r="Q24" s="15">
        <v>4</v>
      </c>
      <c r="R24" s="19">
        <v>5.4699999999999999E-2</v>
      </c>
      <c r="S24" s="20">
        <v>20.693000000000001</v>
      </c>
      <c r="T24" s="20">
        <v>979</v>
      </c>
      <c r="U24" s="20">
        <v>2.1136999999999999E-8</v>
      </c>
      <c r="V24" s="20">
        <v>1.2507000000000001E-8</v>
      </c>
      <c r="W24" s="20">
        <v>4.2359999999999998E-9</v>
      </c>
    </row>
    <row r="25" spans="1:31">
      <c r="A25" s="15">
        <v>5</v>
      </c>
      <c r="B25" s="19">
        <v>4.6800000000000001E-2</v>
      </c>
      <c r="C25" s="20">
        <v>22.492000000000001</v>
      </c>
      <c r="D25" s="20">
        <v>826</v>
      </c>
      <c r="E25" s="20">
        <v>2.723E-8</v>
      </c>
      <c r="F25" s="20">
        <v>1.9897000000000003E-8</v>
      </c>
      <c r="G25" s="20">
        <v>2.1069999999999999E-9</v>
      </c>
      <c r="I25" s="15">
        <v>5</v>
      </c>
      <c r="J25" s="19">
        <v>4.6800000000000001E-2</v>
      </c>
      <c r="K25" s="20">
        <v>565.20299999999997</v>
      </c>
      <c r="L25" s="20">
        <v>808</v>
      </c>
      <c r="M25" s="20">
        <v>6.9950900000000007E-7</v>
      </c>
      <c r="N25" s="20">
        <v>3.7846009999999999</v>
      </c>
      <c r="O25" s="20">
        <v>1.990361</v>
      </c>
      <c r="Q25" s="15">
        <v>5</v>
      </c>
      <c r="R25" s="19">
        <v>4.6800000000000001E-2</v>
      </c>
      <c r="S25" s="20">
        <v>8.91</v>
      </c>
      <c r="T25" s="20">
        <v>788</v>
      </c>
      <c r="U25" s="20">
        <v>1.1307E-8</v>
      </c>
      <c r="V25" s="20">
        <v>6.631E-9</v>
      </c>
      <c r="W25" s="20">
        <v>1.8240000000000001E-9</v>
      </c>
    </row>
    <row r="26" spans="1:31">
      <c r="A26" s="15">
        <v>6</v>
      </c>
      <c r="B26" s="19">
        <v>0.10780000000000001</v>
      </c>
      <c r="C26" s="20">
        <v>4326.3689999999997</v>
      </c>
      <c r="D26" s="20">
        <v>1992</v>
      </c>
      <c r="E26" s="20">
        <v>2.171872</v>
      </c>
      <c r="F26" s="20">
        <v>34.158247000000003</v>
      </c>
      <c r="G26" s="20">
        <v>4.0537399999999999E-7</v>
      </c>
      <c r="I26" s="15">
        <v>6</v>
      </c>
      <c r="J26" s="19">
        <v>0.10780000000000001</v>
      </c>
      <c r="K26" s="20">
        <v>3339.2910000000002</v>
      </c>
      <c r="L26" s="20">
        <v>1939</v>
      </c>
      <c r="M26" s="20">
        <v>1.722172</v>
      </c>
      <c r="N26" s="20">
        <v>7.5847740000000003</v>
      </c>
      <c r="O26" s="20">
        <v>11.759302</v>
      </c>
      <c r="Q26" s="15">
        <v>6</v>
      </c>
      <c r="R26" s="19">
        <v>0.10780000000000001</v>
      </c>
      <c r="S26" s="20">
        <v>26.081</v>
      </c>
      <c r="T26" s="20">
        <v>1888</v>
      </c>
      <c r="U26" s="20">
        <v>1.3814E-8</v>
      </c>
      <c r="V26" s="20">
        <v>7.4660000000000005E-9</v>
      </c>
      <c r="W26" s="20">
        <v>5.3389999999999999E-9</v>
      </c>
    </row>
    <row r="27" spans="1:31">
      <c r="A27" s="15">
        <v>7</v>
      </c>
      <c r="B27" s="19">
        <v>3.49E-2</v>
      </c>
      <c r="C27" s="20">
        <v>6284.9989999999998</v>
      </c>
      <c r="D27" s="20">
        <v>617</v>
      </c>
      <c r="E27" s="20">
        <v>10.186384</v>
      </c>
      <c r="F27" s="20">
        <v>64.420383999999999</v>
      </c>
      <c r="G27" s="20">
        <v>5.8889499999999995E-7</v>
      </c>
      <c r="I27" s="15">
        <v>7</v>
      </c>
      <c r="J27" s="19">
        <v>3.49E-2</v>
      </c>
      <c r="K27" s="20">
        <v>849.84400000000005</v>
      </c>
      <c r="L27" s="20">
        <v>599</v>
      </c>
      <c r="M27" s="20">
        <v>1.418771</v>
      </c>
      <c r="N27" s="20">
        <v>6.4237580000000003</v>
      </c>
      <c r="O27" s="20">
        <v>2.9927229999999998</v>
      </c>
      <c r="Q27" s="15">
        <v>7</v>
      </c>
      <c r="R27" s="19">
        <v>3.49E-2</v>
      </c>
      <c r="S27" s="20">
        <v>12.557</v>
      </c>
      <c r="T27" s="20">
        <v>580</v>
      </c>
      <c r="U27" s="20">
        <v>2.1649999999999999E-8</v>
      </c>
      <c r="V27" s="20">
        <v>1.1171E-8</v>
      </c>
      <c r="W27" s="20">
        <v>2.5709999999999999E-9</v>
      </c>
    </row>
    <row r="28" spans="1:31">
      <c r="A28" s="15">
        <v>8</v>
      </c>
      <c r="B28" s="19">
        <v>2.63E-2</v>
      </c>
      <c r="C28" s="20">
        <v>10.929</v>
      </c>
      <c r="D28" s="20">
        <v>464</v>
      </c>
      <c r="E28" s="20">
        <v>2.3553999999999997E-8</v>
      </c>
      <c r="F28" s="20">
        <v>1.5492000000000001E-8</v>
      </c>
      <c r="G28" s="20">
        <v>1.024E-9</v>
      </c>
      <c r="I28" s="15">
        <v>8</v>
      </c>
      <c r="J28" s="19">
        <v>2.63E-2</v>
      </c>
      <c r="K28" s="20">
        <v>75.558999999999997</v>
      </c>
      <c r="L28" s="20">
        <v>468</v>
      </c>
      <c r="M28" s="20">
        <v>1.6145100000000001E-7</v>
      </c>
      <c r="N28" s="20">
        <v>1.5640069999999999</v>
      </c>
      <c r="O28" s="20">
        <v>2.6608099999999999E-7</v>
      </c>
      <c r="Q28" s="15">
        <v>8</v>
      </c>
      <c r="R28" s="19">
        <v>2.63E-2</v>
      </c>
      <c r="S28" s="20">
        <v>9.2620000000000005</v>
      </c>
      <c r="T28" s="20">
        <v>450</v>
      </c>
      <c r="U28" s="20">
        <v>2.0581999999999999E-8</v>
      </c>
      <c r="V28" s="20">
        <v>1.0417E-8</v>
      </c>
      <c r="W28" s="20">
        <v>1.8960000000000001E-9</v>
      </c>
    </row>
    <row r="29" spans="1:31">
      <c r="A29" s="15">
        <v>9</v>
      </c>
      <c r="B29" s="19">
        <v>2.7300000000000001E-2</v>
      </c>
      <c r="C29" s="20">
        <v>1179.6980000000001</v>
      </c>
      <c r="D29" s="20">
        <v>490</v>
      </c>
      <c r="E29" s="20">
        <v>2.4075470000000001</v>
      </c>
      <c r="F29" s="20">
        <v>25.608864000000001</v>
      </c>
      <c r="G29" s="20">
        <v>1.1053599999999999E-7</v>
      </c>
      <c r="I29" s="15">
        <v>9</v>
      </c>
      <c r="J29" s="19">
        <v>2.7300000000000001E-2</v>
      </c>
      <c r="K29" s="20">
        <v>218.91800000000001</v>
      </c>
      <c r="L29" s="20">
        <v>508</v>
      </c>
      <c r="M29" s="20">
        <v>4.3094099999999999E-7</v>
      </c>
      <c r="N29" s="20">
        <v>2.76023</v>
      </c>
      <c r="O29" s="20">
        <v>7.70919E-7</v>
      </c>
      <c r="Q29" s="15">
        <v>9</v>
      </c>
      <c r="R29" s="19">
        <v>2.7300000000000001E-2</v>
      </c>
      <c r="S29" s="20">
        <v>10.063000000000001</v>
      </c>
      <c r="T29" s="20">
        <v>493</v>
      </c>
      <c r="U29" s="20">
        <v>2.0412000000000001E-8</v>
      </c>
      <c r="V29" s="20">
        <v>1.09E-8</v>
      </c>
      <c r="W29" s="20">
        <v>2.0600000000000003E-9</v>
      </c>
    </row>
    <row r="30" spans="1:31">
      <c r="B30" s="22"/>
      <c r="E30" s="13">
        <f>SUMPRODUCT(B21:B29,E21:E29)</f>
        <v>60.175215080336883</v>
      </c>
      <c r="M30" s="13">
        <f>SUMPRODUCT(J21:J29,M21:M29)</f>
        <v>1.4542145384370246</v>
      </c>
      <c r="N30" s="13">
        <f>SQRT(SUMPRODUCT(J21:J29,N21:N29)/SUM(J21:J29))</f>
        <v>1.9272086048277106</v>
      </c>
      <c r="U30" s="13">
        <f>SUMPRODUCT(R21:R29,U21:U29)</f>
        <v>26.269220668348211</v>
      </c>
    </row>
    <row r="31" spans="1:31">
      <c r="B31" s="22"/>
    </row>
    <row r="32" spans="1:31" ht="39">
      <c r="A32" s="15" t="s">
        <v>10</v>
      </c>
      <c r="B32" s="15" t="s">
        <v>9</v>
      </c>
      <c r="C32" s="15" t="s">
        <v>0</v>
      </c>
      <c r="D32" s="15" t="s">
        <v>1</v>
      </c>
      <c r="E32" s="15" t="s">
        <v>2</v>
      </c>
      <c r="F32" s="15" t="s">
        <v>3</v>
      </c>
      <c r="G32" s="15" t="s">
        <v>4</v>
      </c>
      <c r="I32" s="15" t="s">
        <v>11</v>
      </c>
      <c r="J32" s="15" t="s">
        <v>9</v>
      </c>
      <c r="K32" s="15" t="s">
        <v>0</v>
      </c>
      <c r="L32" s="15" t="s">
        <v>1</v>
      </c>
      <c r="M32" s="15" t="s">
        <v>2</v>
      </c>
      <c r="N32" s="15" t="s">
        <v>3</v>
      </c>
      <c r="O32" s="15" t="s">
        <v>4</v>
      </c>
      <c r="Q32" s="15" t="s">
        <v>12</v>
      </c>
      <c r="R32" s="15" t="s">
        <v>9</v>
      </c>
      <c r="S32" s="15" t="s">
        <v>0</v>
      </c>
      <c r="T32" s="15" t="s">
        <v>1</v>
      </c>
      <c r="U32" s="15" t="s">
        <v>2</v>
      </c>
      <c r="V32" s="15" t="s">
        <v>3</v>
      </c>
      <c r="W32" s="15" t="s">
        <v>4</v>
      </c>
      <c r="Y32" s="15">
        <v>2023</v>
      </c>
      <c r="Z32" s="15" t="s">
        <v>9</v>
      </c>
      <c r="AA32" s="15" t="s">
        <v>0</v>
      </c>
      <c r="AB32" s="15" t="s">
        <v>1</v>
      </c>
      <c r="AC32" s="15" t="s">
        <v>2</v>
      </c>
      <c r="AD32" s="15" t="s">
        <v>3</v>
      </c>
      <c r="AE32" s="15" t="s">
        <v>4</v>
      </c>
    </row>
    <row r="33" spans="1:31" ht="26">
      <c r="A33" s="15" t="s">
        <v>5</v>
      </c>
      <c r="B33" s="23"/>
      <c r="C33" s="15"/>
      <c r="D33" s="15"/>
      <c r="E33" s="15"/>
      <c r="F33" s="15"/>
      <c r="G33" s="15"/>
      <c r="I33" s="15" t="s">
        <v>5</v>
      </c>
      <c r="J33" s="23"/>
      <c r="K33" s="15"/>
      <c r="L33" s="15"/>
      <c r="M33" s="15"/>
      <c r="N33" s="15"/>
      <c r="O33" s="15"/>
      <c r="Q33" s="15" t="s">
        <v>5</v>
      </c>
      <c r="R33" s="23"/>
      <c r="S33" s="15"/>
      <c r="T33" s="15"/>
      <c r="U33" s="15"/>
      <c r="V33" s="15"/>
      <c r="W33" s="15"/>
      <c r="Y33" s="15" t="s">
        <v>5</v>
      </c>
      <c r="Z33" s="23"/>
      <c r="AA33" s="15"/>
      <c r="AB33" s="15"/>
      <c r="AC33" s="15"/>
      <c r="AD33" s="15"/>
      <c r="AE33" s="15"/>
    </row>
    <row r="34" spans="1:31">
      <c r="A34" s="15">
        <v>1</v>
      </c>
      <c r="B34" s="19">
        <v>7.9299999999999995E-2</v>
      </c>
      <c r="C34" s="20">
        <v>677.26499999999999</v>
      </c>
      <c r="D34" s="20">
        <v>65</v>
      </c>
      <c r="E34" s="20">
        <v>10.419461999999999</v>
      </c>
      <c r="F34" s="20">
        <v>8.2835940000000008</v>
      </c>
      <c r="G34" s="20">
        <v>6.5806E-8</v>
      </c>
      <c r="I34" s="15">
        <v>1</v>
      </c>
      <c r="J34" s="19">
        <v>7.9299999999999995E-2</v>
      </c>
      <c r="K34" s="20">
        <v>51899.985000000001</v>
      </c>
      <c r="L34" s="20">
        <v>75</v>
      </c>
      <c r="M34" s="20">
        <v>691.99980000000005</v>
      </c>
      <c r="N34" s="20">
        <v>81.663264999999996</v>
      </c>
      <c r="O34" s="20">
        <v>9.4296579999999999</v>
      </c>
      <c r="Q34" s="15">
        <v>1</v>
      </c>
      <c r="R34" s="19">
        <v>7.9299999999999995E-2</v>
      </c>
      <c r="S34" s="17">
        <v>1458.0909999999999</v>
      </c>
      <c r="T34" s="17">
        <v>80</v>
      </c>
      <c r="U34" s="17">
        <v>18.226137999999999</v>
      </c>
      <c r="V34" s="17">
        <v>12.761842</v>
      </c>
      <c r="W34" s="17">
        <v>2.915959</v>
      </c>
      <c r="Y34" s="15">
        <v>1</v>
      </c>
      <c r="Z34" s="19">
        <v>7.9299999999999995E-2</v>
      </c>
      <c r="AA34" s="17">
        <v>259934.42199999999</v>
      </c>
      <c r="AB34" s="17">
        <v>901</v>
      </c>
      <c r="AC34" s="17">
        <v>288.495474</v>
      </c>
      <c r="AD34" s="17">
        <v>140.060924</v>
      </c>
      <c r="AE34" s="17">
        <v>9.0107769999999991</v>
      </c>
    </row>
    <row r="35" spans="1:31">
      <c r="A35" s="15">
        <v>2</v>
      </c>
      <c r="B35" s="19">
        <v>6.1600000000000002E-2</v>
      </c>
      <c r="C35" s="20">
        <v>32.441000000000003</v>
      </c>
      <c r="D35" s="20">
        <v>67</v>
      </c>
      <c r="E35" s="20">
        <v>4.84194E-7</v>
      </c>
      <c r="F35" s="20">
        <v>4.7274100000000001E-7</v>
      </c>
      <c r="G35" s="20">
        <v>3.1519999999999999E-9</v>
      </c>
      <c r="I35" s="15">
        <v>2</v>
      </c>
      <c r="J35" s="19">
        <v>6.1600000000000002E-2</v>
      </c>
      <c r="K35" s="20">
        <v>19.242000000000001</v>
      </c>
      <c r="L35" s="20">
        <v>71</v>
      </c>
      <c r="M35" s="20">
        <v>2.7101399999999999E-7</v>
      </c>
      <c r="N35" s="20">
        <v>5.6140199999999999E-7</v>
      </c>
      <c r="O35" s="20">
        <v>3.4959999999999999E-9</v>
      </c>
      <c r="Q35" s="15">
        <v>2</v>
      </c>
      <c r="R35" s="19">
        <v>6.1600000000000002E-2</v>
      </c>
      <c r="S35" s="17">
        <v>39.311</v>
      </c>
      <c r="T35" s="17">
        <v>69</v>
      </c>
      <c r="U35" s="17">
        <v>5.6972500000000008E-7</v>
      </c>
      <c r="V35" s="17">
        <v>4.7860000000000006E-7</v>
      </c>
      <c r="W35" s="17">
        <v>7.8616000000000007E-8</v>
      </c>
      <c r="Y35" s="15">
        <v>2</v>
      </c>
      <c r="Z35" s="19">
        <v>6.1600000000000002E-2</v>
      </c>
      <c r="AA35" s="17">
        <v>385.49400000000003</v>
      </c>
      <c r="AB35" s="17">
        <v>631</v>
      </c>
      <c r="AC35" s="17">
        <v>6.1092599999999992E-7</v>
      </c>
      <c r="AD35" s="17">
        <v>4.5235300000000003E-7</v>
      </c>
      <c r="AE35" s="17">
        <v>1.3363E-8</v>
      </c>
    </row>
    <row r="36" spans="1:31">
      <c r="A36" s="15">
        <v>3</v>
      </c>
      <c r="B36" s="19">
        <v>9.0300000000000005E-2</v>
      </c>
      <c r="C36" s="20">
        <v>24951.17</v>
      </c>
      <c r="D36" s="20">
        <v>98</v>
      </c>
      <c r="E36" s="20">
        <v>254.60377600000001</v>
      </c>
      <c r="F36" s="20">
        <v>356.67767199999997</v>
      </c>
      <c r="G36" s="20">
        <v>2.4243700000000001</v>
      </c>
      <c r="I36" s="15">
        <v>3</v>
      </c>
      <c r="J36" s="19">
        <v>9.0300000000000005E-2</v>
      </c>
      <c r="K36" s="20">
        <v>1580.1959999999999</v>
      </c>
      <c r="L36" s="20">
        <v>100</v>
      </c>
      <c r="M36" s="20">
        <v>15.801959999999999</v>
      </c>
      <c r="N36" s="20">
        <v>15.437245000000001</v>
      </c>
      <c r="O36" s="20">
        <v>2.8710400000000003E-7</v>
      </c>
      <c r="Q36" s="15">
        <v>3</v>
      </c>
      <c r="R36" s="19">
        <v>9.0300000000000005E-2</v>
      </c>
      <c r="S36" s="17">
        <v>12340.065000000001</v>
      </c>
      <c r="T36" s="17">
        <v>115</v>
      </c>
      <c r="U36" s="17">
        <v>107.304913</v>
      </c>
      <c r="V36" s="17">
        <v>145.87512699999999</v>
      </c>
      <c r="W36" s="17">
        <v>24.678239000000001</v>
      </c>
      <c r="Y36" s="15">
        <v>3</v>
      </c>
      <c r="Z36" s="19">
        <v>9.0300000000000005E-2</v>
      </c>
      <c r="AA36" s="17">
        <v>51349.296999999999</v>
      </c>
      <c r="AB36" s="17">
        <v>918</v>
      </c>
      <c r="AC36" s="17">
        <v>55.936053000000001</v>
      </c>
      <c r="AD36" s="17">
        <v>108.343593</v>
      </c>
      <c r="AE36" s="17">
        <v>1.7800530000000001</v>
      </c>
    </row>
    <row r="37" spans="1:31">
      <c r="A37" s="15">
        <v>4</v>
      </c>
      <c r="B37" s="19">
        <v>7.6700000000000004E-2</v>
      </c>
      <c r="C37" s="20">
        <v>82973.376999999993</v>
      </c>
      <c r="D37" s="20">
        <v>84</v>
      </c>
      <c r="E37" s="20">
        <v>987.77829799999995</v>
      </c>
      <c r="F37" s="20">
        <v>334.42307799999998</v>
      </c>
      <c r="G37" s="20">
        <v>8.0620729999999998</v>
      </c>
      <c r="I37" s="15">
        <v>4</v>
      </c>
      <c r="J37" s="19">
        <v>7.6700000000000004E-2</v>
      </c>
      <c r="K37" s="20">
        <v>23499.771000000001</v>
      </c>
      <c r="L37" s="20">
        <v>79</v>
      </c>
      <c r="M37" s="20">
        <v>297.46545600000002</v>
      </c>
      <c r="N37" s="20">
        <v>671.28152599999999</v>
      </c>
      <c r="O37" s="20">
        <v>4.2696509999999996</v>
      </c>
      <c r="Q37" s="15">
        <v>4</v>
      </c>
      <c r="R37" s="19">
        <v>7.6700000000000004E-2</v>
      </c>
      <c r="S37" s="17">
        <v>521.71600000000001</v>
      </c>
      <c r="T37" s="17">
        <v>75</v>
      </c>
      <c r="U37" s="17">
        <v>6.956213</v>
      </c>
      <c r="V37" s="17">
        <v>14.32982</v>
      </c>
      <c r="W37" s="17">
        <v>1.0433520000000001</v>
      </c>
      <c r="Y37" s="15">
        <v>4</v>
      </c>
      <c r="Z37" s="19">
        <v>7.6700000000000004E-2</v>
      </c>
      <c r="AA37" s="17">
        <v>807973.76100000006</v>
      </c>
      <c r="AB37" s="17">
        <v>766</v>
      </c>
      <c r="AC37" s="17">
        <v>1054.7960330000001</v>
      </c>
      <c r="AD37" s="17">
        <v>401.768349</v>
      </c>
      <c r="AE37" s="17">
        <v>28.008879</v>
      </c>
    </row>
    <row r="38" spans="1:31">
      <c r="A38" s="15">
        <v>5</v>
      </c>
      <c r="B38" s="19">
        <v>1.4200000000000001E-2</v>
      </c>
      <c r="C38" s="20">
        <v>4.08E-4</v>
      </c>
      <c r="D38" s="20">
        <v>14</v>
      </c>
      <c r="E38" s="20">
        <v>2.9142999999999998E-8</v>
      </c>
      <c r="F38" s="20">
        <v>5.5589999999999995E-9</v>
      </c>
      <c r="G38" s="20">
        <v>4.0000000000000004E-11</v>
      </c>
      <c r="I38" s="15">
        <v>5</v>
      </c>
      <c r="J38" s="19">
        <v>1.4200000000000001E-2</v>
      </c>
      <c r="K38" s="20">
        <v>3.8500000000000003E-4</v>
      </c>
      <c r="L38" s="20">
        <v>13</v>
      </c>
      <c r="M38" s="20">
        <v>2.9614999999999998E-8</v>
      </c>
      <c r="N38" s="20">
        <v>8.5880000000000005E-9</v>
      </c>
      <c r="O38" s="20">
        <v>6.9999999999999991E-11</v>
      </c>
      <c r="Q38" s="15">
        <v>5</v>
      </c>
      <c r="R38" s="19">
        <v>1.4200000000000001E-2</v>
      </c>
      <c r="S38" s="17">
        <v>4.7399999999999997E-4</v>
      </c>
      <c r="T38" s="17">
        <v>16</v>
      </c>
      <c r="U38" s="17">
        <v>2.9624999999999999E-8</v>
      </c>
      <c r="V38" s="17">
        <v>2.3799E-8</v>
      </c>
      <c r="W38" s="17">
        <v>9.4800000000000004E-10</v>
      </c>
      <c r="Y38" s="15">
        <v>5</v>
      </c>
      <c r="Z38" s="19">
        <v>1.4200000000000001E-2</v>
      </c>
      <c r="AA38" s="17">
        <v>2.5289999999999999</v>
      </c>
      <c r="AB38" s="17">
        <v>148</v>
      </c>
      <c r="AC38" s="17">
        <v>1.7088000000000001E-8</v>
      </c>
      <c r="AD38" s="17">
        <v>1.0876000000000001E-8</v>
      </c>
      <c r="AE38" s="17">
        <v>8.7999999999999993E-11</v>
      </c>
    </row>
    <row r="39" spans="1:31">
      <c r="A39" s="15">
        <v>6</v>
      </c>
      <c r="B39" s="19">
        <v>0.38009999999999999</v>
      </c>
      <c r="C39" s="20">
        <v>54.573999999999998</v>
      </c>
      <c r="D39" s="20">
        <v>415</v>
      </c>
      <c r="E39" s="20">
        <v>1.3150400000000001E-7</v>
      </c>
      <c r="F39" s="20">
        <v>1.1376899999999999E-7</v>
      </c>
      <c r="G39" s="20">
        <v>5.3030000000000004E-9</v>
      </c>
      <c r="I39" s="15">
        <v>6</v>
      </c>
      <c r="J39" s="19">
        <v>0.38009999999999999</v>
      </c>
      <c r="K39" s="20">
        <v>70.576999999999998</v>
      </c>
      <c r="L39" s="20">
        <v>389</v>
      </c>
      <c r="M39" s="20">
        <v>1.8143200000000001E-7</v>
      </c>
      <c r="N39" s="20">
        <v>1.6826E-7</v>
      </c>
      <c r="O39" s="20">
        <v>1.2823E-8</v>
      </c>
      <c r="Q39" s="15">
        <v>6</v>
      </c>
      <c r="R39" s="19">
        <v>0.38009999999999999</v>
      </c>
      <c r="S39" s="17">
        <v>83.435000000000002</v>
      </c>
      <c r="T39" s="17">
        <v>390</v>
      </c>
      <c r="U39" s="17">
        <v>2.1393599999999999E-7</v>
      </c>
      <c r="V39" s="17">
        <v>1.78529E-7</v>
      </c>
      <c r="W39" s="17">
        <v>1.66857E-7</v>
      </c>
      <c r="Y39" s="15">
        <v>6</v>
      </c>
      <c r="Z39" s="19">
        <v>0.38009999999999999</v>
      </c>
      <c r="AA39" s="17">
        <v>683.84100000000001</v>
      </c>
      <c r="AB39" s="17">
        <v>4032</v>
      </c>
      <c r="AC39" s="17">
        <v>1.6960300000000001E-7</v>
      </c>
      <c r="AD39" s="17">
        <v>9.9705000000000005E-8</v>
      </c>
      <c r="AE39" s="17">
        <v>2.3706000000000001E-8</v>
      </c>
    </row>
    <row r="40" spans="1:31">
      <c r="A40" s="15">
        <v>7</v>
      </c>
      <c r="B40" s="19">
        <v>4.53E-2</v>
      </c>
      <c r="C40" s="20">
        <v>772960.27500000002</v>
      </c>
      <c r="D40" s="20">
        <v>40</v>
      </c>
      <c r="E40" s="20">
        <v>19324.006874999999</v>
      </c>
      <c r="F40" s="20">
        <v>7442.785758</v>
      </c>
      <c r="G40" s="20">
        <v>75.104356999999993</v>
      </c>
      <c r="I40" s="15">
        <v>7</v>
      </c>
      <c r="J40" s="19">
        <v>4.53E-2</v>
      </c>
      <c r="K40" s="20">
        <v>358213.60700000002</v>
      </c>
      <c r="L40" s="20">
        <v>53</v>
      </c>
      <c r="M40" s="20">
        <v>6758.7473019999998</v>
      </c>
      <c r="N40" s="20">
        <v>2403.9389409999999</v>
      </c>
      <c r="O40" s="20">
        <v>65.083482000000004</v>
      </c>
      <c r="Q40" s="15">
        <v>7</v>
      </c>
      <c r="R40" s="19">
        <v>4.53E-2</v>
      </c>
      <c r="S40" s="17">
        <v>18131.53</v>
      </c>
      <c r="T40" s="17">
        <v>48</v>
      </c>
      <c r="U40" s="17">
        <v>377.740208</v>
      </c>
      <c r="V40" s="17">
        <v>782.17475400000001</v>
      </c>
      <c r="W40" s="17">
        <v>36.260280999999999</v>
      </c>
      <c r="Y40" s="15">
        <v>7</v>
      </c>
      <c r="Z40" s="19">
        <v>4.53E-2</v>
      </c>
      <c r="AA40" s="17">
        <v>1199798.8670000001</v>
      </c>
      <c r="AB40" s="17">
        <v>446</v>
      </c>
      <c r="AC40" s="17">
        <v>2690.131989</v>
      </c>
      <c r="AD40" s="17">
        <v>3691.9875069999998</v>
      </c>
      <c r="AE40" s="17">
        <v>41.591723000000002</v>
      </c>
    </row>
    <row r="41" spans="1:31">
      <c r="A41" s="15">
        <v>8</v>
      </c>
      <c r="B41" s="19">
        <v>8.2000000000000003E-2</v>
      </c>
      <c r="C41" s="20">
        <v>11.648</v>
      </c>
      <c r="D41" s="20">
        <v>77</v>
      </c>
      <c r="E41" s="20">
        <v>1.5127299999999998E-7</v>
      </c>
      <c r="F41" s="20">
        <v>1.01089E-7</v>
      </c>
      <c r="G41" s="20">
        <v>1.132E-9</v>
      </c>
      <c r="I41" s="15">
        <v>8</v>
      </c>
      <c r="J41" s="19">
        <v>8.2000000000000003E-2</v>
      </c>
      <c r="K41" s="20">
        <v>13.765000000000001</v>
      </c>
      <c r="L41" s="20">
        <v>78</v>
      </c>
      <c r="M41" s="20">
        <v>1.76474E-7</v>
      </c>
      <c r="N41" s="20">
        <v>1.8353600000000001E-7</v>
      </c>
      <c r="O41" s="20">
        <v>2.5010000000000004E-9</v>
      </c>
      <c r="Q41" s="15">
        <v>8</v>
      </c>
      <c r="R41" s="19">
        <v>8.2000000000000003E-2</v>
      </c>
      <c r="S41" s="17">
        <v>15.606999999999999</v>
      </c>
      <c r="T41" s="17">
        <v>75</v>
      </c>
      <c r="U41" s="17">
        <v>2.0809300000000001E-7</v>
      </c>
      <c r="V41" s="17">
        <v>1.6196300000000001E-7</v>
      </c>
      <c r="W41" s="17">
        <v>3.1212000000000002E-8</v>
      </c>
      <c r="Y41" s="15">
        <v>8</v>
      </c>
      <c r="Z41" s="19">
        <v>8.2000000000000003E-2</v>
      </c>
      <c r="AA41" s="17">
        <v>48.006</v>
      </c>
      <c r="AB41" s="17">
        <v>832</v>
      </c>
      <c r="AC41" s="17">
        <v>5.7700000000000001E-8</v>
      </c>
      <c r="AD41" s="17">
        <v>3.0587000000000001E-8</v>
      </c>
      <c r="AE41" s="17">
        <v>1.6639999999999998E-9</v>
      </c>
    </row>
    <row r="42" spans="1:31">
      <c r="A42" s="15">
        <v>9</v>
      </c>
      <c r="B42" s="19">
        <v>6.1000000000000004E-3</v>
      </c>
      <c r="C42" s="20">
        <v>14899.731</v>
      </c>
      <c r="D42" s="20">
        <v>5</v>
      </c>
      <c r="E42" s="20">
        <v>2979.9461999999999</v>
      </c>
      <c r="F42" s="20">
        <v>728.64027799999997</v>
      </c>
      <c r="G42" s="20">
        <v>1.4477260000000001</v>
      </c>
      <c r="I42" s="15">
        <v>9</v>
      </c>
      <c r="J42" s="19">
        <v>6.1000000000000004E-3</v>
      </c>
      <c r="K42" s="20">
        <v>21543.946</v>
      </c>
      <c r="L42" s="20">
        <v>6</v>
      </c>
      <c r="M42" s="20">
        <v>3590.6576669999999</v>
      </c>
      <c r="N42" s="20">
        <v>1168.2414229999999</v>
      </c>
      <c r="O42" s="20">
        <v>3.9142990000000002</v>
      </c>
      <c r="Q42" s="15">
        <v>9</v>
      </c>
      <c r="R42" s="19">
        <v>6.1000000000000004E-3</v>
      </c>
      <c r="S42" s="17">
        <v>2542.0300000000002</v>
      </c>
      <c r="T42" s="17">
        <v>10</v>
      </c>
      <c r="U42" s="20">
        <v>254.203</v>
      </c>
      <c r="V42" s="17">
        <v>641.07768199999998</v>
      </c>
      <c r="W42" s="17">
        <v>5.0836699999999997</v>
      </c>
      <c r="Y42" s="15">
        <v>9</v>
      </c>
      <c r="Z42" s="19">
        <v>6.1000000000000004E-3</v>
      </c>
      <c r="AA42" s="17">
        <v>101159.698</v>
      </c>
      <c r="AB42" s="17">
        <v>69</v>
      </c>
      <c r="AC42" s="20">
        <v>1466.08258</v>
      </c>
      <c r="AD42" s="17">
        <v>2389.029857</v>
      </c>
      <c r="AE42" s="17">
        <v>3.5067599999999999</v>
      </c>
    </row>
    <row r="43" spans="1:31">
      <c r="A43" s="15">
        <v>10</v>
      </c>
      <c r="B43" s="19">
        <v>5.4999999999999997E-3</v>
      </c>
      <c r="C43" s="20">
        <v>12877.596</v>
      </c>
      <c r="D43" s="20">
        <v>5</v>
      </c>
      <c r="E43" s="20">
        <v>2575.5192000000002</v>
      </c>
      <c r="F43" s="20">
        <v>384.58791600000001</v>
      </c>
      <c r="G43" s="20">
        <v>1.2512460000000001</v>
      </c>
      <c r="I43" s="15">
        <v>10</v>
      </c>
      <c r="J43" s="19">
        <v>5.4999999999999997E-3</v>
      </c>
      <c r="K43" s="20">
        <v>16404.585999999999</v>
      </c>
      <c r="L43" s="20">
        <v>5</v>
      </c>
      <c r="M43" s="20">
        <v>3280.9171999999999</v>
      </c>
      <c r="N43" s="20">
        <v>964.41263900000001</v>
      </c>
      <c r="O43" s="20">
        <v>2.9805329999999999</v>
      </c>
      <c r="Q43" s="15">
        <v>10</v>
      </c>
      <c r="R43" s="19">
        <v>5.4999999999999997E-3</v>
      </c>
      <c r="S43" s="17">
        <v>158.011</v>
      </c>
      <c r="T43" s="17">
        <v>4</v>
      </c>
      <c r="U43" s="17">
        <v>39.502749999999999</v>
      </c>
      <c r="V43" s="17">
        <v>16.667940000000002</v>
      </c>
      <c r="W43" s="17">
        <v>3.1599800000000002E-7</v>
      </c>
      <c r="Y43" s="15">
        <v>10</v>
      </c>
      <c r="Z43" s="19">
        <v>5.4999999999999997E-3</v>
      </c>
      <c r="AA43" s="17">
        <v>48440.343999999997</v>
      </c>
      <c r="AB43" s="17">
        <v>74</v>
      </c>
      <c r="AC43" s="17">
        <v>654.599243</v>
      </c>
      <c r="AD43" s="17">
        <v>473.79763600000001</v>
      </c>
      <c r="AE43" s="17">
        <v>1.6792130000000001</v>
      </c>
    </row>
    <row r="44" spans="1:31">
      <c r="A44" s="15">
        <v>11</v>
      </c>
      <c r="B44" s="19">
        <v>9.7000000000000003E-3</v>
      </c>
      <c r="C44" s="20">
        <v>22784.842000000001</v>
      </c>
      <c r="D44" s="20">
        <v>14</v>
      </c>
      <c r="E44" s="20">
        <v>1627.4887140000001</v>
      </c>
      <c r="F44" s="20">
        <v>20.023875</v>
      </c>
      <c r="G44" s="20">
        <v>2.2138789999999999</v>
      </c>
      <c r="I44" s="15">
        <v>11</v>
      </c>
      <c r="J44" s="19">
        <v>9.7000000000000003E-3</v>
      </c>
      <c r="K44" s="20">
        <v>7472.25</v>
      </c>
      <c r="L44" s="20">
        <v>9</v>
      </c>
      <c r="M44" s="20">
        <v>830.25</v>
      </c>
      <c r="N44" s="20">
        <v>19.940591999999999</v>
      </c>
      <c r="O44" s="20">
        <v>1.357626</v>
      </c>
      <c r="Q44" s="15">
        <v>11</v>
      </c>
      <c r="R44" s="19">
        <v>9.7000000000000003E-3</v>
      </c>
      <c r="S44" s="17">
        <v>80.415000000000006</v>
      </c>
      <c r="T44" s="17">
        <v>7</v>
      </c>
      <c r="U44" s="17">
        <v>11.487857</v>
      </c>
      <c r="V44" s="17">
        <v>6.2657980000000002</v>
      </c>
      <c r="W44" s="17">
        <v>1.6081799999999998E-7</v>
      </c>
      <c r="Y44" s="15">
        <v>11</v>
      </c>
      <c r="Z44" s="19">
        <v>9.7000000000000003E-3</v>
      </c>
      <c r="AA44" s="17">
        <v>45476.998</v>
      </c>
      <c r="AB44" s="17">
        <v>101</v>
      </c>
      <c r="AC44" s="17">
        <v>450.26730700000002</v>
      </c>
      <c r="AD44" s="17">
        <v>9.6609499999999997</v>
      </c>
      <c r="AE44" s="17">
        <v>1.5764860000000001</v>
      </c>
    </row>
    <row r="45" spans="1:31">
      <c r="A45" s="15">
        <v>12</v>
      </c>
      <c r="B45" s="19">
        <v>6.1999999999999998E-3</v>
      </c>
      <c r="C45" s="20">
        <v>31841.401000000002</v>
      </c>
      <c r="D45" s="20">
        <v>9</v>
      </c>
      <c r="E45" s="20">
        <v>3537.9334439999998</v>
      </c>
      <c r="F45" s="20">
        <v>1013.381292</v>
      </c>
      <c r="G45" s="20">
        <v>3.0938560000000002</v>
      </c>
      <c r="I45" s="15">
        <v>12</v>
      </c>
      <c r="J45" s="19">
        <v>6.1999999999999998E-3</v>
      </c>
      <c r="K45" s="20">
        <v>39964.139000000003</v>
      </c>
      <c r="L45" s="20">
        <v>9</v>
      </c>
      <c r="M45" s="20">
        <v>4440.4598889999997</v>
      </c>
      <c r="N45" s="20">
        <v>740.67542700000001</v>
      </c>
      <c r="O45" s="20">
        <v>7.2610460000000003</v>
      </c>
      <c r="Q45" s="15">
        <v>12</v>
      </c>
      <c r="R45" s="19">
        <v>6.1999999999999998E-3</v>
      </c>
      <c r="S45" s="17">
        <v>490.41699999999997</v>
      </c>
      <c r="T45" s="17">
        <v>6</v>
      </c>
      <c r="U45" s="17">
        <v>81.736166999999995</v>
      </c>
      <c r="V45" s="17">
        <v>12.606175</v>
      </c>
      <c r="W45" s="17">
        <v>9.8075900000000013E-7</v>
      </c>
      <c r="Y45" s="15">
        <v>12</v>
      </c>
      <c r="Z45" s="19">
        <v>6.1999999999999998E-3</v>
      </c>
      <c r="AA45" s="17">
        <v>86343</v>
      </c>
      <c r="AB45" s="17">
        <v>77</v>
      </c>
      <c r="AC45" s="17">
        <v>1121.3376619999999</v>
      </c>
      <c r="AD45" s="17">
        <v>511.721317</v>
      </c>
      <c r="AE45" s="17">
        <v>2.9931299999999998</v>
      </c>
    </row>
    <row r="46" spans="1:31">
      <c r="A46" s="15">
        <v>13</v>
      </c>
      <c r="B46" s="19">
        <v>6.1000000000000004E-3</v>
      </c>
      <c r="C46" s="20">
        <v>65032.997000000003</v>
      </c>
      <c r="D46" s="20">
        <v>5</v>
      </c>
      <c r="E46" s="20">
        <v>13006.599399999999</v>
      </c>
      <c r="F46" s="20">
        <v>2386.8109669999999</v>
      </c>
      <c r="G46" s="20">
        <v>6.3189039999999999</v>
      </c>
      <c r="I46" s="15">
        <v>13</v>
      </c>
      <c r="J46" s="19">
        <v>6.1000000000000004E-3</v>
      </c>
      <c r="K46" s="20">
        <v>29524.234</v>
      </c>
      <c r="L46" s="20">
        <v>6</v>
      </c>
      <c r="M46" s="20">
        <v>4920.7056670000002</v>
      </c>
      <c r="N46" s="20">
        <v>1076.259916</v>
      </c>
      <c r="O46" s="20">
        <v>5.3642289999999999</v>
      </c>
      <c r="Q46" s="15">
        <v>13</v>
      </c>
      <c r="R46" s="19">
        <v>6.1000000000000004E-3</v>
      </c>
      <c r="S46" s="17">
        <v>14125.422</v>
      </c>
      <c r="T46" s="17">
        <v>6</v>
      </c>
      <c r="U46" s="17">
        <v>2354.2370000000001</v>
      </c>
      <c r="V46" s="17">
        <v>2714.4491750000002</v>
      </c>
      <c r="W46" s="17">
        <v>28.248678999999999</v>
      </c>
      <c r="Y46" s="15">
        <v>13</v>
      </c>
      <c r="Z46" s="19">
        <v>6.1000000000000004E-3</v>
      </c>
      <c r="AA46" s="17">
        <v>282130.57799999998</v>
      </c>
      <c r="AB46" s="17">
        <v>56</v>
      </c>
      <c r="AC46" s="17">
        <v>5038.0460359999997</v>
      </c>
      <c r="AD46" s="17">
        <v>7920.8931750000002</v>
      </c>
      <c r="AE46" s="17">
        <v>9.7802199999999999</v>
      </c>
    </row>
    <row r="47" spans="1:31">
      <c r="A47" s="15">
        <v>14</v>
      </c>
      <c r="B47" s="19">
        <v>1.6199999999999999E-2</v>
      </c>
      <c r="C47" s="20">
        <v>75.962999999999994</v>
      </c>
      <c r="D47" s="20">
        <v>15</v>
      </c>
      <c r="E47" s="20">
        <v>5.0641999999999996</v>
      </c>
      <c r="F47" s="20">
        <v>3.7441529999999998</v>
      </c>
      <c r="G47" s="20">
        <v>7.3810000000000001E-9</v>
      </c>
      <c r="I47" s="15">
        <v>14</v>
      </c>
      <c r="J47" s="19">
        <v>1.6199999999999999E-2</v>
      </c>
      <c r="K47" s="20">
        <v>176.43100000000001</v>
      </c>
      <c r="L47" s="20">
        <v>32</v>
      </c>
      <c r="M47" s="20">
        <v>5.5134689999999997</v>
      </c>
      <c r="N47" s="20">
        <v>5.4869279999999998</v>
      </c>
      <c r="O47" s="20">
        <v>3.2055999999999999E-8</v>
      </c>
      <c r="Q47" s="15">
        <v>14</v>
      </c>
      <c r="R47" s="19">
        <v>1.6199999999999999E-2</v>
      </c>
      <c r="S47" s="17">
        <v>9.8469999999999995</v>
      </c>
      <c r="T47" s="17">
        <v>14</v>
      </c>
      <c r="U47" s="17">
        <v>7.0335699999999999E-7</v>
      </c>
      <c r="V47" s="17">
        <v>1.298154</v>
      </c>
      <c r="W47" s="17">
        <v>1.9692000000000002E-8</v>
      </c>
      <c r="Y47" s="15">
        <v>14</v>
      </c>
      <c r="Z47" s="19">
        <v>1.6199999999999999E-2</v>
      </c>
      <c r="AA47" s="17">
        <v>909.86800000000005</v>
      </c>
      <c r="AB47" s="17">
        <v>174</v>
      </c>
      <c r="AC47" s="17">
        <v>5.2291259999999999</v>
      </c>
      <c r="AD47" s="17">
        <v>4.6961149999999998</v>
      </c>
      <c r="AE47" s="17">
        <v>3.1540999999999998E-8</v>
      </c>
    </row>
    <row r="48" spans="1:31">
      <c r="A48" s="15">
        <v>15</v>
      </c>
      <c r="B48" s="19">
        <v>7.6899999999999996E-2</v>
      </c>
      <c r="C48" s="20">
        <v>7.9880000000000004</v>
      </c>
      <c r="D48" s="20">
        <v>87</v>
      </c>
      <c r="E48" s="20">
        <v>9.1815999999999993E-8</v>
      </c>
      <c r="F48" s="20">
        <v>5.0472999999999998E-8</v>
      </c>
      <c r="G48" s="20">
        <v>7.7600000000000001E-10</v>
      </c>
      <c r="I48" s="15">
        <v>15</v>
      </c>
      <c r="J48" s="19">
        <v>7.6899999999999996E-2</v>
      </c>
      <c r="K48" s="20">
        <v>7.8540000000000001</v>
      </c>
      <c r="L48" s="20">
        <v>75</v>
      </c>
      <c r="M48" s="20">
        <v>1.0471999999999999E-7</v>
      </c>
      <c r="N48" s="20">
        <v>7.9217000000000001E-8</v>
      </c>
      <c r="O48" s="20">
        <v>1.4270000000000001E-9</v>
      </c>
      <c r="Q48" s="15">
        <v>15</v>
      </c>
      <c r="R48" s="19">
        <v>7.6899999999999996E-2</v>
      </c>
      <c r="S48" s="17">
        <v>7.4610000000000003</v>
      </c>
      <c r="T48" s="17">
        <v>85</v>
      </c>
      <c r="U48" s="17">
        <v>8.7776000000000005E-8</v>
      </c>
      <c r="V48" s="17">
        <v>6.4220000000000002E-8</v>
      </c>
      <c r="W48" s="17">
        <v>1.4921000000000002E-8</v>
      </c>
      <c r="Y48" s="15">
        <v>15</v>
      </c>
      <c r="Z48" s="19">
        <v>7.6899999999999996E-2</v>
      </c>
      <c r="AA48" s="17">
        <v>69.153999999999996</v>
      </c>
      <c r="AB48" s="17">
        <v>775</v>
      </c>
      <c r="AC48" s="17">
        <v>8.9231E-8</v>
      </c>
      <c r="AD48" s="17">
        <v>5.2707999999999998E-8</v>
      </c>
      <c r="AE48" s="17">
        <v>2.3969999999999999E-9</v>
      </c>
    </row>
    <row r="49" spans="5:29">
      <c r="E49" s="13">
        <f>SUMPRODUCT(B34:B48,E34:E48)</f>
        <v>1124.4442429817898</v>
      </c>
      <c r="M49" s="13">
        <f>SUMPRODUCT(J34:J48,M34:M48)</f>
        <v>490.92730993940114</v>
      </c>
      <c r="U49" s="13">
        <f>SUMPRODUCT(R34:R48,U34:U48)</f>
        <v>45.527085072140785</v>
      </c>
      <c r="AC49" s="13">
        <f>SUMPRODUCT(Z34:Z48,AC34:AC48)</f>
        <v>285.37463023843503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6F6-0B6F-48F2-BBBB-E0CC77A83875}">
  <dimension ref="A1:K13"/>
  <sheetViews>
    <sheetView zoomScale="130" zoomScaleNormal="130" workbookViewId="0"/>
  </sheetViews>
  <sheetFormatPr defaultColWidth="8.75" defaultRowHeight="14"/>
  <cols>
    <col min="1" max="1" width="15.33203125" style="1" bestFit="1" customWidth="1"/>
    <col min="2" max="2" width="12.08203125" style="1" bestFit="1" customWidth="1"/>
    <col min="3" max="3" width="13.83203125" style="1" bestFit="1" customWidth="1"/>
    <col min="4" max="4" width="15.08203125" style="1" customWidth="1"/>
    <col min="5" max="5" width="3" style="1" customWidth="1"/>
    <col min="6" max="6" width="14" style="1" bestFit="1" customWidth="1"/>
    <col min="7" max="7" width="15" style="1" customWidth="1"/>
    <col min="8" max="8" width="14.75" style="1" bestFit="1" customWidth="1"/>
    <col min="9" max="9" width="13.33203125" style="1" customWidth="1"/>
    <col min="10" max="10" width="3.08203125" style="1" customWidth="1"/>
    <col min="11" max="11" width="22.08203125" style="1" bestFit="1" customWidth="1"/>
    <col min="12" max="12" width="21.25" style="1" bestFit="1" customWidth="1"/>
    <col min="13" max="13" width="11.08203125" style="1" bestFit="1" customWidth="1"/>
    <col min="14" max="14" width="11.25" style="1" bestFit="1" customWidth="1"/>
    <col min="15" max="16" width="9.25" style="1" bestFit="1" customWidth="1"/>
    <col min="17" max="16384" width="8.75" style="1"/>
  </cols>
  <sheetData>
    <row r="1" spans="1:11" ht="28">
      <c r="A1" s="2" t="s">
        <v>22</v>
      </c>
      <c r="C1" s="6" t="s">
        <v>13</v>
      </c>
      <c r="D1" s="10" t="s">
        <v>26</v>
      </c>
      <c r="E1" s="2"/>
    </row>
    <row r="2" spans="1:11">
      <c r="A2" s="1" t="s">
        <v>23</v>
      </c>
      <c r="C2" s="1">
        <v>10000</v>
      </c>
      <c r="D2" s="1">
        <v>50333</v>
      </c>
    </row>
    <row r="3" spans="1:11">
      <c r="A3" s="1" t="s">
        <v>24</v>
      </c>
      <c r="C3" s="1">
        <v>10000</v>
      </c>
      <c r="D3" s="1">
        <v>1489126</v>
      </c>
    </row>
    <row r="4" spans="1:11">
      <c r="A4" s="1" t="s">
        <v>25</v>
      </c>
      <c r="C4" s="1">
        <v>10000</v>
      </c>
      <c r="D4" s="1">
        <v>3623390</v>
      </c>
    </row>
    <row r="6" spans="1:11" ht="42">
      <c r="A6" s="2" t="s">
        <v>27</v>
      </c>
      <c r="B6" s="2" t="s">
        <v>16</v>
      </c>
      <c r="C6" s="2" t="s">
        <v>30</v>
      </c>
      <c r="D6" s="2" t="s">
        <v>29</v>
      </c>
      <c r="E6" s="2"/>
      <c r="F6" s="2" t="s">
        <v>31</v>
      </c>
      <c r="G6" s="2" t="s">
        <v>32</v>
      </c>
      <c r="K6" s="2" t="s">
        <v>35</v>
      </c>
    </row>
    <row r="7" spans="1:11">
      <c r="A7" s="1" t="s">
        <v>14</v>
      </c>
      <c r="B7" s="3">
        <f>'Query 2x'!E30</f>
        <v>60.175215080336883</v>
      </c>
      <c r="C7" s="7">
        <f>$B7*C$3/1000</f>
        <v>601.75215080336886</v>
      </c>
      <c r="D7" s="9">
        <f>$B7*D$3/1000</f>
        <v>89608.477331721733</v>
      </c>
      <c r="E7" s="12"/>
      <c r="F7" s="8">
        <f>C7/60</f>
        <v>10.029202513389482</v>
      </c>
      <c r="G7" s="11">
        <f>D7/60</f>
        <v>1493.4746221953621</v>
      </c>
      <c r="H7" s="4"/>
      <c r="I7" s="4"/>
      <c r="J7" s="4"/>
    </row>
    <row r="8" spans="1:11">
      <c r="A8" s="1" t="s">
        <v>15</v>
      </c>
      <c r="B8" s="3">
        <f>'Query 2x'!M30</f>
        <v>1.4542145384370246</v>
      </c>
      <c r="C8" s="7">
        <f>$B8*C$3/1000</f>
        <v>14.542145384370246</v>
      </c>
      <c r="D8" s="9">
        <f>$B8*D$3/1000</f>
        <v>2165.5086787645728</v>
      </c>
      <c r="E8" s="12"/>
      <c r="F8" s="8">
        <f>C8/60</f>
        <v>0.24236908973950408</v>
      </c>
      <c r="G8" s="11">
        <f>D8/60</f>
        <v>36.091811312742877</v>
      </c>
      <c r="H8" s="4"/>
      <c r="I8" s="4"/>
      <c r="J8" s="4"/>
      <c r="K8" s="1">
        <v>127.1</v>
      </c>
    </row>
    <row r="10" spans="1:11" ht="42">
      <c r="A10" s="2" t="s">
        <v>28</v>
      </c>
      <c r="B10" s="2" t="s">
        <v>16</v>
      </c>
      <c r="C10" s="2" t="s">
        <v>30</v>
      </c>
      <c r="D10" s="2" t="s">
        <v>29</v>
      </c>
      <c r="E10" s="2"/>
      <c r="F10" s="2" t="s">
        <v>31</v>
      </c>
      <c r="G10" s="2" t="s">
        <v>32</v>
      </c>
      <c r="H10" s="2" t="s">
        <v>33</v>
      </c>
      <c r="I10" s="2" t="s">
        <v>34</v>
      </c>
      <c r="J10" s="2"/>
      <c r="K10" s="2" t="s">
        <v>36</v>
      </c>
    </row>
    <row r="11" spans="1:11">
      <c r="A11" s="1" t="s">
        <v>17</v>
      </c>
      <c r="B11" s="3">
        <f>'Query 2x'!E49</f>
        <v>1124.4442429817898</v>
      </c>
      <c r="C11" s="7">
        <f t="shared" ref="C11:D13" si="0">$B11*C$4/1000</f>
        <v>11244.442429817898</v>
      </c>
      <c r="D11" s="9">
        <f t="shared" si="0"/>
        <v>4074300.0255777873</v>
      </c>
      <c r="E11" s="12"/>
      <c r="F11" s="8">
        <f t="shared" ref="F11:G13" si="1">C11/60</f>
        <v>187.4073738302983</v>
      </c>
      <c r="G11" s="11">
        <f t="shared" si="1"/>
        <v>67905.00042629645</v>
      </c>
      <c r="H11" s="11">
        <f>G11/60</f>
        <v>1131.7500071049408</v>
      </c>
      <c r="I11" s="11">
        <f>H11/24</f>
        <v>47.156250296039197</v>
      </c>
      <c r="J11" s="4"/>
      <c r="K11" s="5"/>
    </row>
    <row r="12" spans="1:11">
      <c r="A12" s="1" t="s">
        <v>18</v>
      </c>
      <c r="B12" s="3">
        <f>'Query 2x'!M49</f>
        <v>490.92730993940114</v>
      </c>
      <c r="C12" s="7">
        <f t="shared" si="0"/>
        <v>4909.2730993940113</v>
      </c>
      <c r="D12" s="9">
        <f t="shared" si="0"/>
        <v>1778821.1055613267</v>
      </c>
      <c r="E12" s="12"/>
      <c r="F12" s="8">
        <f t="shared" si="1"/>
        <v>81.821218323233524</v>
      </c>
      <c r="G12" s="11">
        <f t="shared" si="1"/>
        <v>29647.01842602211</v>
      </c>
      <c r="H12" s="11">
        <f>G12/60</f>
        <v>494.11697376703518</v>
      </c>
      <c r="I12" s="11">
        <f>H12/24</f>
        <v>20.588207240293134</v>
      </c>
      <c r="J12" s="4"/>
      <c r="K12" s="5"/>
    </row>
    <row r="13" spans="1:11">
      <c r="A13" s="1" t="s">
        <v>19</v>
      </c>
      <c r="B13" s="3">
        <f>'Query 2x'!U49</f>
        <v>45.527085072140785</v>
      </c>
      <c r="C13" s="7">
        <f t="shared" si="0"/>
        <v>455.27085072140784</v>
      </c>
      <c r="D13" s="9">
        <f t="shared" si="0"/>
        <v>164962.3847795442</v>
      </c>
      <c r="E13" s="12"/>
      <c r="F13" s="8">
        <f t="shared" si="1"/>
        <v>7.5878475120234636</v>
      </c>
      <c r="G13" s="11">
        <f t="shared" si="1"/>
        <v>2749.3730796590698</v>
      </c>
      <c r="H13" s="11">
        <f>G13/60</f>
        <v>45.822884660984499</v>
      </c>
      <c r="I13" s="11">
        <f>H13/24</f>
        <v>1.9092868608743541</v>
      </c>
      <c r="J13" s="4"/>
      <c r="K13" s="5">
        <v>233.3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B206-3452-44F6-80E0-8B59E5B46EFD}">
  <dimension ref="A1:AE49"/>
  <sheetViews>
    <sheetView zoomScaleNormal="100" workbookViewId="0"/>
  </sheetViews>
  <sheetFormatPr defaultColWidth="28.08203125" defaultRowHeight="14"/>
  <cols>
    <col min="1" max="1" width="7.83203125" style="17" customWidth="1"/>
    <col min="2" max="2" width="6.25" style="17" bestFit="1" customWidth="1"/>
    <col min="3" max="7" width="12.58203125" style="17" customWidth="1"/>
    <col min="8" max="8" width="4.83203125" style="17" customWidth="1"/>
    <col min="9" max="9" width="7.33203125" style="17" customWidth="1"/>
    <col min="10" max="10" width="6.33203125" style="17" bestFit="1" customWidth="1"/>
    <col min="11" max="15" width="11.83203125" style="17" customWidth="1"/>
    <col min="16" max="16" width="5.75" style="17" customWidth="1"/>
    <col min="17" max="18" width="6.75" style="17" customWidth="1"/>
    <col min="19" max="21" width="12.33203125" style="17" customWidth="1"/>
    <col min="22" max="22" width="12.33203125" style="17" hidden="1" customWidth="1"/>
    <col min="23" max="23" width="12.33203125" style="17" customWidth="1"/>
    <col min="24" max="24" width="6.33203125" style="17" customWidth="1"/>
    <col min="25" max="25" width="6.58203125" style="17" customWidth="1"/>
    <col min="26" max="26" width="6.33203125" style="17" bestFit="1" customWidth="1"/>
    <col min="27" max="29" width="11.58203125" style="17" customWidth="1"/>
    <col min="30" max="30" width="11.58203125" style="17" hidden="1" customWidth="1"/>
    <col min="31" max="31" width="11.58203125" style="17" customWidth="1"/>
    <col min="32" max="16384" width="28.08203125" style="17"/>
  </cols>
  <sheetData>
    <row r="1" spans="1:7" ht="26">
      <c r="A1" s="15">
        <v>2003</v>
      </c>
      <c r="B1" s="15" t="s">
        <v>9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</row>
    <row r="2" spans="1:7" ht="26">
      <c r="A2" s="15" t="s">
        <v>5</v>
      </c>
      <c r="B2" s="15"/>
      <c r="C2" s="15"/>
      <c r="D2" s="15"/>
      <c r="E2" s="15"/>
      <c r="F2" s="15"/>
      <c r="G2" s="15"/>
    </row>
    <row r="3" spans="1:7">
      <c r="A3" s="15">
        <v>1</v>
      </c>
      <c r="B3" s="19">
        <v>0.60299999999999998</v>
      </c>
      <c r="C3" s="20">
        <v>11766.534</v>
      </c>
      <c r="D3" s="20">
        <v>6036</v>
      </c>
      <c r="E3" s="20">
        <v>1.9493929999999999</v>
      </c>
      <c r="F3" s="20">
        <v>1.900345</v>
      </c>
      <c r="G3" s="20">
        <v>1.827869</v>
      </c>
    </row>
    <row r="4" spans="1:7">
      <c r="A4" s="15">
        <v>2</v>
      </c>
      <c r="B4" s="19">
        <v>0.22459999999999999</v>
      </c>
      <c r="C4" s="20">
        <v>273720.28600000002</v>
      </c>
      <c r="D4" s="20">
        <v>2233</v>
      </c>
      <c r="E4" s="20">
        <v>122.579618</v>
      </c>
      <c r="F4" s="20">
        <v>47.309742</v>
      </c>
      <c r="G4" s="20">
        <v>42.521009999999997</v>
      </c>
    </row>
    <row r="5" spans="1:7">
      <c r="A5" s="15">
        <v>3</v>
      </c>
      <c r="B5" s="19">
        <v>4.7500000000000001E-2</v>
      </c>
      <c r="C5" s="20">
        <v>105330.6</v>
      </c>
      <c r="D5" s="20">
        <v>471</v>
      </c>
      <c r="E5" s="20">
        <v>223.63184699999999</v>
      </c>
      <c r="F5" s="20">
        <v>149.71257900000001</v>
      </c>
      <c r="G5" s="20">
        <v>16.362556000000001</v>
      </c>
    </row>
    <row r="6" spans="1:7">
      <c r="A6" s="15">
        <v>4</v>
      </c>
      <c r="B6" s="19">
        <v>0.114</v>
      </c>
      <c r="C6" s="20">
        <v>252908.95</v>
      </c>
      <c r="D6" s="20">
        <v>1149</v>
      </c>
      <c r="E6" s="20">
        <v>220.11222799999999</v>
      </c>
      <c r="F6" s="20">
        <v>148.48736400000001</v>
      </c>
      <c r="G6" s="20">
        <v>39.288077999999999</v>
      </c>
    </row>
    <row r="7" spans="1:7">
      <c r="A7" s="15">
        <v>5</v>
      </c>
      <c r="B7" s="19">
        <v>1.09E-2</v>
      </c>
      <c r="C7" s="20">
        <v>3.1280000000000001</v>
      </c>
      <c r="D7" s="20">
        <v>111</v>
      </c>
      <c r="E7" s="20">
        <v>2.8180000000000002E-8</v>
      </c>
      <c r="F7" s="20">
        <v>1.6517000000000002E-8</v>
      </c>
      <c r="G7" s="20">
        <v>4.8599999999999998E-10</v>
      </c>
    </row>
    <row r="8" spans="1:7">
      <c r="B8" s="22"/>
      <c r="E8" s="13">
        <f>SUMPRODUCT(B3:B7,E3:E7)</f>
        <v>64.422172906607173</v>
      </c>
    </row>
    <row r="9" spans="1:7">
      <c r="B9" s="22"/>
      <c r="E9" s="13"/>
    </row>
    <row r="10" spans="1:7" ht="26">
      <c r="A10" s="15" t="s">
        <v>6</v>
      </c>
      <c r="B10" s="15" t="s">
        <v>9</v>
      </c>
      <c r="C10" s="15" t="s">
        <v>0</v>
      </c>
      <c r="D10" s="15" t="s">
        <v>1</v>
      </c>
      <c r="E10" s="15" t="s">
        <v>2</v>
      </c>
      <c r="F10" s="15" t="s">
        <v>3</v>
      </c>
      <c r="G10" s="15" t="s">
        <v>4</v>
      </c>
    </row>
    <row r="11" spans="1:7" ht="26">
      <c r="A11" s="15" t="s">
        <v>5</v>
      </c>
      <c r="B11" s="23"/>
      <c r="C11" s="15"/>
      <c r="D11" s="15"/>
      <c r="E11" s="15"/>
      <c r="F11" s="15"/>
      <c r="G11" s="15"/>
    </row>
    <row r="12" spans="1:7">
      <c r="A12" s="15">
        <v>1</v>
      </c>
      <c r="B12" s="19">
        <v>0.60299999999999998</v>
      </c>
      <c r="C12" s="20">
        <v>4990.027</v>
      </c>
      <c r="D12" s="24">
        <v>6104</v>
      </c>
      <c r="E12" s="24">
        <v>8.1750100000000004E-7</v>
      </c>
      <c r="F12" s="24">
        <v>7.0529100000000001E-7</v>
      </c>
      <c r="G12" s="24">
        <v>9.2245679999999997</v>
      </c>
    </row>
    <row r="13" spans="1:7">
      <c r="A13" s="15">
        <v>2</v>
      </c>
      <c r="B13" s="19">
        <v>0.22459999999999999</v>
      </c>
      <c r="C13" s="20">
        <v>16426.294000000002</v>
      </c>
      <c r="D13" s="24">
        <v>2165</v>
      </c>
      <c r="E13" s="24">
        <v>7.5872029999999997</v>
      </c>
      <c r="F13" s="24">
        <v>5.225244</v>
      </c>
      <c r="G13" s="24">
        <v>30.365662</v>
      </c>
    </row>
    <row r="14" spans="1:7">
      <c r="A14" s="15">
        <v>3</v>
      </c>
      <c r="B14" s="19">
        <v>4.7500000000000001E-2</v>
      </c>
      <c r="C14" s="20">
        <v>9779.8919999999998</v>
      </c>
      <c r="D14" s="24">
        <v>489</v>
      </c>
      <c r="E14" s="24">
        <v>19.999779</v>
      </c>
      <c r="F14" s="24">
        <v>21.725107999999999</v>
      </c>
      <c r="G14" s="24">
        <v>18.079117</v>
      </c>
    </row>
    <row r="15" spans="1:7">
      <c r="A15" s="15">
        <v>4</v>
      </c>
      <c r="B15" s="19">
        <v>0.114</v>
      </c>
      <c r="C15" s="20">
        <v>22893.451000000001</v>
      </c>
      <c r="D15" s="24">
        <v>1119</v>
      </c>
      <c r="E15" s="24">
        <v>20.458848</v>
      </c>
      <c r="F15" s="24">
        <v>19.964324000000001</v>
      </c>
      <c r="G15" s="24">
        <v>42.320853999999997</v>
      </c>
    </row>
    <row r="16" spans="1:7">
      <c r="A16" s="15">
        <v>5</v>
      </c>
      <c r="B16" s="19">
        <v>1.09E-2</v>
      </c>
      <c r="C16" s="20">
        <v>5.3</v>
      </c>
      <c r="D16" s="24">
        <v>123</v>
      </c>
      <c r="E16" s="24">
        <v>4.3089000000000003E-8</v>
      </c>
      <c r="F16" s="24">
        <v>2.0423E-8</v>
      </c>
      <c r="G16" s="24">
        <v>9.7979999999999995E-9</v>
      </c>
    </row>
    <row r="17" spans="1:31">
      <c r="B17" s="22"/>
      <c r="E17" s="13">
        <f>SUMPRODUCT(B12:B16,E12:E16)</f>
        <v>4.9863844617227731</v>
      </c>
      <c r="F17" s="13">
        <f>SQRT(SUMPRODUCT(B12:B16,F12:F16)/SUM(B12:B16))</f>
        <v>2.1169472817982697</v>
      </c>
    </row>
    <row r="18" spans="1:31">
      <c r="B18" s="22"/>
    </row>
    <row r="19" spans="1:31" ht="39">
      <c r="A19" s="15" t="s">
        <v>7</v>
      </c>
      <c r="B19" s="15" t="s">
        <v>9</v>
      </c>
      <c r="C19" s="15" t="s">
        <v>0</v>
      </c>
      <c r="D19" s="15" t="s">
        <v>1</v>
      </c>
      <c r="E19" s="15" t="s">
        <v>2</v>
      </c>
      <c r="F19" s="15" t="s">
        <v>3</v>
      </c>
      <c r="G19" s="15" t="s">
        <v>4</v>
      </c>
      <c r="I19" s="15" t="s">
        <v>8</v>
      </c>
      <c r="J19" s="15" t="s">
        <v>9</v>
      </c>
      <c r="K19" s="15" t="s">
        <v>0</v>
      </c>
      <c r="L19" s="15" t="s">
        <v>1</v>
      </c>
      <c r="M19" s="15" t="s">
        <v>2</v>
      </c>
      <c r="N19" s="15" t="s">
        <v>3</v>
      </c>
      <c r="O19" s="15" t="s">
        <v>4</v>
      </c>
      <c r="Q19" s="15">
        <v>2013</v>
      </c>
      <c r="R19" s="15" t="s">
        <v>9</v>
      </c>
      <c r="S19" s="15" t="s">
        <v>0</v>
      </c>
      <c r="T19" s="15" t="s">
        <v>1</v>
      </c>
      <c r="U19" s="15" t="s">
        <v>2</v>
      </c>
      <c r="V19" s="15" t="s">
        <v>3</v>
      </c>
      <c r="W19" s="15" t="s">
        <v>4</v>
      </c>
    </row>
    <row r="20" spans="1:31" ht="26">
      <c r="A20" s="15" t="s">
        <v>5</v>
      </c>
      <c r="B20" s="23"/>
      <c r="C20" s="15"/>
      <c r="D20" s="15"/>
      <c r="E20" s="15"/>
      <c r="F20" s="15"/>
      <c r="G20" s="15"/>
      <c r="I20" s="15" t="s">
        <v>5</v>
      </c>
      <c r="J20" s="23"/>
      <c r="K20" s="15"/>
      <c r="L20" s="15"/>
      <c r="M20" s="15"/>
      <c r="N20" s="15"/>
      <c r="O20" s="15"/>
      <c r="Q20" s="15" t="s">
        <v>5</v>
      </c>
      <c r="R20" s="23"/>
      <c r="S20" s="15"/>
      <c r="T20" s="15"/>
      <c r="U20" s="15"/>
      <c r="V20" s="15"/>
      <c r="W20" s="15"/>
    </row>
    <row r="21" spans="1:31">
      <c r="A21" s="15">
        <v>1</v>
      </c>
      <c r="B21" s="19">
        <v>0.1066</v>
      </c>
      <c r="C21" s="20">
        <v>1058.2719999999999</v>
      </c>
      <c r="D21" s="20">
        <v>1916</v>
      </c>
      <c r="E21" s="20">
        <v>5.5233399999999997E-7</v>
      </c>
      <c r="F21" s="20">
        <v>5.4834099999999997E-7</v>
      </c>
      <c r="G21" s="20">
        <v>9.2299000000000011E-8</v>
      </c>
      <c r="I21" s="15">
        <v>1</v>
      </c>
      <c r="J21" s="19">
        <v>0.1066</v>
      </c>
      <c r="K21" s="20">
        <v>1722.325</v>
      </c>
      <c r="L21" s="20">
        <v>1997</v>
      </c>
      <c r="M21" s="20">
        <v>8.6245599999999995E-7</v>
      </c>
      <c r="N21" s="20">
        <v>5.1556199999999999E-7</v>
      </c>
      <c r="O21" s="20">
        <v>4.7494940000000003</v>
      </c>
      <c r="Q21" s="15">
        <v>1</v>
      </c>
      <c r="R21" s="19">
        <v>0.1066</v>
      </c>
      <c r="S21" s="20">
        <v>3823.8679999999999</v>
      </c>
      <c r="T21" s="20">
        <v>1953</v>
      </c>
      <c r="U21" s="20">
        <v>1.957946</v>
      </c>
      <c r="V21" s="20">
        <v>2.0620210000000001</v>
      </c>
      <c r="W21" s="20">
        <v>8.6011999999999995E-7</v>
      </c>
    </row>
    <row r="22" spans="1:31">
      <c r="A22" s="15">
        <v>2</v>
      </c>
      <c r="B22" s="19">
        <v>1.3299999999999999E-2</v>
      </c>
      <c r="C22" s="20">
        <v>1466</v>
      </c>
      <c r="D22" s="20">
        <v>209</v>
      </c>
      <c r="E22" s="20">
        <v>7.014354</v>
      </c>
      <c r="F22" s="20">
        <v>5.1938950000000004</v>
      </c>
      <c r="G22" s="20">
        <v>1.2786000000000001E-7</v>
      </c>
      <c r="I22" s="15">
        <v>2</v>
      </c>
      <c r="J22" s="19">
        <v>1.3299999999999999E-2</v>
      </c>
      <c r="K22" s="20">
        <v>6022.4189999999999</v>
      </c>
      <c r="L22" s="20">
        <v>261</v>
      </c>
      <c r="M22" s="20">
        <v>23.074401999999999</v>
      </c>
      <c r="N22" s="20">
        <v>12.227681</v>
      </c>
      <c r="O22" s="20">
        <v>16.607458999999999</v>
      </c>
      <c r="Q22" s="15">
        <v>2</v>
      </c>
      <c r="R22" s="19">
        <v>1.3299999999999999E-2</v>
      </c>
      <c r="S22" s="20">
        <v>45594.711000000003</v>
      </c>
      <c r="T22" s="20">
        <v>225</v>
      </c>
      <c r="U22" s="20">
        <v>202.64315999999999</v>
      </c>
      <c r="V22" s="20">
        <v>81.587408999999994</v>
      </c>
      <c r="W22" s="20">
        <v>10.255822999999999</v>
      </c>
    </row>
    <row r="23" spans="1:31">
      <c r="A23" s="15">
        <v>3</v>
      </c>
      <c r="B23" s="19">
        <v>0.14130000000000001</v>
      </c>
      <c r="C23" s="20">
        <v>1143761.9680000001</v>
      </c>
      <c r="D23" s="20">
        <v>2583</v>
      </c>
      <c r="E23" s="20">
        <v>442.80370399999998</v>
      </c>
      <c r="F23" s="20">
        <v>253.032893</v>
      </c>
      <c r="G23" s="20">
        <v>99.755307999999999</v>
      </c>
      <c r="I23" s="15">
        <v>3</v>
      </c>
      <c r="J23" s="19">
        <v>0.14130000000000001</v>
      </c>
      <c r="K23" s="20">
        <v>26718.795999999998</v>
      </c>
      <c r="L23" s="20">
        <v>2483</v>
      </c>
      <c r="M23" s="20">
        <v>10.760691</v>
      </c>
      <c r="N23" s="20">
        <v>8.9144860000000001</v>
      </c>
      <c r="O23" s="20">
        <v>73.679914999999994</v>
      </c>
      <c r="Q23" s="15">
        <v>3</v>
      </c>
      <c r="R23" s="19">
        <v>0.14130000000000001</v>
      </c>
      <c r="S23" s="20">
        <v>394366.01899999997</v>
      </c>
      <c r="T23" s="20">
        <v>2462</v>
      </c>
      <c r="U23" s="20">
        <v>160.181161</v>
      </c>
      <c r="V23" s="20">
        <v>91.958650000000006</v>
      </c>
      <c r="W23" s="20">
        <v>88.706519999999998</v>
      </c>
    </row>
    <row r="24" spans="1:31">
      <c r="A24" s="15">
        <v>4</v>
      </c>
      <c r="B24" s="19">
        <v>5.4699999999999999E-2</v>
      </c>
      <c r="C24" s="20">
        <v>35.201999999999998</v>
      </c>
      <c r="D24" s="20">
        <v>986</v>
      </c>
      <c r="E24" s="20">
        <v>3.5701999999999998E-8</v>
      </c>
      <c r="F24" s="20">
        <v>1.8846000000000002E-8</v>
      </c>
      <c r="G24" s="20">
        <v>3.0699999999999999E-9</v>
      </c>
      <c r="I24" s="15">
        <v>4</v>
      </c>
      <c r="J24" s="19">
        <v>5.4699999999999999E-2</v>
      </c>
      <c r="K24" s="20">
        <v>195.636</v>
      </c>
      <c r="L24" s="20">
        <v>948</v>
      </c>
      <c r="M24" s="20">
        <v>2.0636699999999998E-7</v>
      </c>
      <c r="N24" s="20">
        <v>5.008661</v>
      </c>
      <c r="O24" s="20">
        <v>5.3948700000000005E-7</v>
      </c>
      <c r="Q24" s="15">
        <v>4</v>
      </c>
      <c r="R24" s="19">
        <v>5.4699999999999999E-2</v>
      </c>
      <c r="S24" s="20">
        <v>603.85599999999999</v>
      </c>
      <c r="T24" s="20">
        <v>929</v>
      </c>
      <c r="U24" s="20">
        <v>6.5000599999999998E-7</v>
      </c>
      <c r="V24" s="20">
        <v>10.756586</v>
      </c>
      <c r="W24" s="20">
        <v>1.3582800000000002E-7</v>
      </c>
    </row>
    <row r="25" spans="1:31">
      <c r="A25" s="15">
        <v>5</v>
      </c>
      <c r="B25" s="19">
        <v>4.6800000000000001E-2</v>
      </c>
      <c r="C25" s="20">
        <v>20.298999999999999</v>
      </c>
      <c r="D25" s="20">
        <v>844</v>
      </c>
      <c r="E25" s="20">
        <v>2.4050999999999998E-8</v>
      </c>
      <c r="F25" s="20">
        <v>1.3055E-8</v>
      </c>
      <c r="G25" s="20">
        <v>1.7700000000000001E-9</v>
      </c>
      <c r="I25" s="15">
        <v>5</v>
      </c>
      <c r="J25" s="19">
        <v>4.6800000000000001E-2</v>
      </c>
      <c r="K25" s="20">
        <v>1401.6980000000001</v>
      </c>
      <c r="L25" s="20">
        <v>826</v>
      </c>
      <c r="M25" s="20">
        <v>1.696971</v>
      </c>
      <c r="N25" s="20">
        <v>26.132981999999998</v>
      </c>
      <c r="O25" s="20">
        <v>3.8653309999999999</v>
      </c>
      <c r="Q25" s="15">
        <v>5</v>
      </c>
      <c r="R25" s="19">
        <v>4.6800000000000001E-2</v>
      </c>
      <c r="S25" s="20">
        <v>10.670999999999999</v>
      </c>
      <c r="T25" s="20">
        <v>841</v>
      </c>
      <c r="U25" s="20">
        <v>1.2687999999999999E-8</v>
      </c>
      <c r="V25" s="20">
        <v>8.163E-9</v>
      </c>
      <c r="W25" s="20">
        <v>2.4E-9</v>
      </c>
    </row>
    <row r="26" spans="1:31">
      <c r="A26" s="15">
        <v>6</v>
      </c>
      <c r="B26" s="19">
        <v>0.10780000000000001</v>
      </c>
      <c r="C26" s="20">
        <v>190.51599999999999</v>
      </c>
      <c r="D26" s="20">
        <v>1892</v>
      </c>
      <c r="E26" s="20">
        <v>1.0069599999999999E-7</v>
      </c>
      <c r="F26" s="20">
        <v>1.0138800000000001E-7</v>
      </c>
      <c r="G26" s="20">
        <v>1.6615999999999998E-8</v>
      </c>
      <c r="I26" s="15">
        <v>6</v>
      </c>
      <c r="J26" s="19">
        <v>0.10780000000000001</v>
      </c>
      <c r="K26" s="20">
        <v>163.416</v>
      </c>
      <c r="L26" s="20">
        <v>1887</v>
      </c>
      <c r="M26" s="20">
        <v>8.6600999999999996E-8</v>
      </c>
      <c r="N26" s="20">
        <v>6.3121899999999998E-7</v>
      </c>
      <c r="O26" s="20">
        <v>4.5063699999999999E-7</v>
      </c>
      <c r="Q26" s="15">
        <v>6</v>
      </c>
      <c r="R26" s="19">
        <v>0.10780000000000001</v>
      </c>
      <c r="S26" s="20">
        <v>33.808999999999997</v>
      </c>
      <c r="T26" s="20">
        <v>2036</v>
      </c>
      <c r="U26" s="20">
        <v>1.6606E-8</v>
      </c>
      <c r="V26" s="20">
        <v>1.0132000000000001E-8</v>
      </c>
      <c r="W26" s="20">
        <v>7.6049999999999993E-9</v>
      </c>
    </row>
    <row r="27" spans="1:31">
      <c r="A27" s="15">
        <v>7</v>
      </c>
      <c r="B27" s="19">
        <v>3.49E-2</v>
      </c>
      <c r="C27" s="20">
        <v>14.06</v>
      </c>
      <c r="D27" s="20">
        <v>624</v>
      </c>
      <c r="E27" s="20">
        <v>2.2532E-8</v>
      </c>
      <c r="F27" s="20">
        <v>1.2529999999999999E-8</v>
      </c>
      <c r="G27" s="20">
        <v>1.2260000000000001E-9</v>
      </c>
      <c r="I27" s="15">
        <v>7</v>
      </c>
      <c r="J27" s="19">
        <v>3.49E-2</v>
      </c>
      <c r="K27" s="20">
        <v>16.239000000000001</v>
      </c>
      <c r="L27" s="20">
        <v>599</v>
      </c>
      <c r="M27" s="20">
        <v>2.7109999999999999E-8</v>
      </c>
      <c r="N27" s="20">
        <v>1.4146000000000001E-8</v>
      </c>
      <c r="O27" s="20">
        <v>4.4781000000000002E-8</v>
      </c>
      <c r="Q27" s="15">
        <v>7</v>
      </c>
      <c r="R27" s="19">
        <v>3.49E-2</v>
      </c>
      <c r="S27" s="20">
        <v>106.977</v>
      </c>
      <c r="T27" s="20">
        <v>634</v>
      </c>
      <c r="U27" s="20">
        <v>1.6873300000000001E-7</v>
      </c>
      <c r="V27" s="20">
        <v>3.6085630000000002</v>
      </c>
      <c r="W27" s="20">
        <v>2.4063000000000002E-8</v>
      </c>
    </row>
    <row r="28" spans="1:31">
      <c r="A28" s="15">
        <v>8</v>
      </c>
      <c r="B28" s="19">
        <v>2.63E-2</v>
      </c>
      <c r="C28" s="20">
        <v>10.529</v>
      </c>
      <c r="D28" s="20">
        <v>496</v>
      </c>
      <c r="E28" s="20">
        <v>2.1228E-8</v>
      </c>
      <c r="F28" s="20">
        <v>1.1704E-8</v>
      </c>
      <c r="G28" s="20">
        <v>9.1799999999999993E-10</v>
      </c>
      <c r="I28" s="15">
        <v>8</v>
      </c>
      <c r="J28" s="19">
        <v>2.63E-2</v>
      </c>
      <c r="K28" s="20">
        <v>9.4139999999999997</v>
      </c>
      <c r="L28" s="20">
        <v>506</v>
      </c>
      <c r="M28" s="20">
        <v>1.8605E-8</v>
      </c>
      <c r="N28" s="20">
        <v>9.352E-9</v>
      </c>
      <c r="O28" s="20">
        <v>2.5959999999999999E-8</v>
      </c>
      <c r="Q28" s="15">
        <v>8</v>
      </c>
      <c r="R28" s="19">
        <v>2.63E-2</v>
      </c>
      <c r="S28" s="20">
        <v>9.6240000000000006</v>
      </c>
      <c r="T28" s="20">
        <v>454</v>
      </c>
      <c r="U28" s="20">
        <v>2.1198000000000002E-8</v>
      </c>
      <c r="V28" s="20">
        <v>1.0985E-8</v>
      </c>
      <c r="W28" s="20">
        <v>2.1649999999999999E-9</v>
      </c>
    </row>
    <row r="29" spans="1:31">
      <c r="A29" s="15">
        <v>9</v>
      </c>
      <c r="B29" s="19">
        <v>2.7300000000000001E-2</v>
      </c>
      <c r="C29" s="20">
        <v>10.679</v>
      </c>
      <c r="D29" s="20">
        <v>450</v>
      </c>
      <c r="E29" s="20">
        <v>2.3730999999999999E-8</v>
      </c>
      <c r="F29" s="20">
        <v>1.2948E-8</v>
      </c>
      <c r="G29" s="20">
        <v>9.3099999999999999E-10</v>
      </c>
      <c r="I29" s="15">
        <v>9</v>
      </c>
      <c r="J29" s="19">
        <v>2.7300000000000001E-2</v>
      </c>
      <c r="K29" s="20">
        <v>13.394</v>
      </c>
      <c r="L29" s="20">
        <v>493</v>
      </c>
      <c r="M29" s="20">
        <v>2.7168000000000002E-8</v>
      </c>
      <c r="N29" s="20">
        <v>2.9565999999999998E-8</v>
      </c>
      <c r="O29" s="20">
        <v>3.6935E-8</v>
      </c>
      <c r="Q29" s="15">
        <v>9</v>
      </c>
      <c r="R29" s="19">
        <v>2.7300000000000001E-2</v>
      </c>
      <c r="S29" s="20">
        <v>24.347999999999999</v>
      </c>
      <c r="T29" s="20">
        <v>466</v>
      </c>
      <c r="U29" s="20">
        <v>5.2248999999999994E-8</v>
      </c>
      <c r="V29" s="20">
        <v>1.2195599999999998E-7</v>
      </c>
      <c r="W29" s="20">
        <v>5.477E-9</v>
      </c>
    </row>
    <row r="30" spans="1:31">
      <c r="B30" s="22"/>
      <c r="E30" s="13">
        <f>SUMPRODUCT(B21:B29,E21:E29)</f>
        <v>62.661454358204836</v>
      </c>
      <c r="M30" s="13">
        <f>SUMPRODUCT(J21:J29,M21:M29)</f>
        <v>1.9067935424388094</v>
      </c>
      <c r="N30" s="13">
        <f>SQRT(SUMPRODUCT(J21:J29,N21:N29)/SUM(J21:J29))</f>
        <v>2.2852261244752388</v>
      </c>
      <c r="U30" s="13">
        <f>SUMPRODUCT(R21:R29,U21:U29)</f>
        <v>25.53746916671194</v>
      </c>
    </row>
    <row r="31" spans="1:31">
      <c r="B31" s="22"/>
    </row>
    <row r="32" spans="1:31" ht="39">
      <c r="A32" s="15" t="s">
        <v>10</v>
      </c>
      <c r="B32" s="15" t="s">
        <v>9</v>
      </c>
      <c r="C32" s="15" t="s">
        <v>0</v>
      </c>
      <c r="D32" s="15" t="s">
        <v>1</v>
      </c>
      <c r="E32" s="15" t="s">
        <v>2</v>
      </c>
      <c r="F32" s="15" t="s">
        <v>3</v>
      </c>
      <c r="G32" s="15" t="s">
        <v>4</v>
      </c>
      <c r="I32" s="15" t="s">
        <v>11</v>
      </c>
      <c r="J32" s="15" t="s">
        <v>9</v>
      </c>
      <c r="K32" s="15" t="s">
        <v>0</v>
      </c>
      <c r="L32" s="15" t="s">
        <v>1</v>
      </c>
      <c r="M32" s="15" t="s">
        <v>2</v>
      </c>
      <c r="N32" s="15" t="s">
        <v>3</v>
      </c>
      <c r="O32" s="15" t="s">
        <v>4</v>
      </c>
      <c r="Q32" s="15" t="s">
        <v>12</v>
      </c>
      <c r="R32" s="15" t="s">
        <v>9</v>
      </c>
      <c r="S32" s="15" t="s">
        <v>0</v>
      </c>
      <c r="T32" s="15" t="s">
        <v>1</v>
      </c>
      <c r="U32" s="15" t="s">
        <v>2</v>
      </c>
      <c r="V32" s="15" t="s">
        <v>3</v>
      </c>
      <c r="W32" s="15" t="s">
        <v>4</v>
      </c>
      <c r="Y32" s="15">
        <v>2023</v>
      </c>
      <c r="Z32" s="15" t="s">
        <v>9</v>
      </c>
      <c r="AA32" s="15" t="s">
        <v>0</v>
      </c>
      <c r="AB32" s="15" t="s">
        <v>1</v>
      </c>
      <c r="AC32" s="15" t="s">
        <v>2</v>
      </c>
      <c r="AD32" s="15" t="s">
        <v>3</v>
      </c>
      <c r="AE32" s="15" t="s">
        <v>4</v>
      </c>
    </row>
    <row r="33" spans="1:31" ht="26">
      <c r="A33" s="15" t="s">
        <v>5</v>
      </c>
      <c r="B33" s="23"/>
      <c r="C33" s="15"/>
      <c r="D33" s="15"/>
      <c r="E33" s="15"/>
      <c r="F33" s="15"/>
      <c r="G33" s="15"/>
      <c r="I33" s="15" t="s">
        <v>5</v>
      </c>
      <c r="J33" s="23"/>
      <c r="K33" s="15"/>
      <c r="L33" s="15"/>
      <c r="M33" s="15"/>
      <c r="N33" s="15"/>
      <c r="O33" s="15"/>
      <c r="Q33" s="15" t="s">
        <v>5</v>
      </c>
      <c r="R33" s="23"/>
      <c r="S33" s="15"/>
      <c r="T33" s="15"/>
      <c r="U33" s="15"/>
      <c r="V33" s="15"/>
      <c r="W33" s="15"/>
      <c r="Y33" s="15" t="s">
        <v>5</v>
      </c>
      <c r="Z33" s="23"/>
      <c r="AA33" s="15"/>
      <c r="AB33" s="15"/>
      <c r="AC33" s="15"/>
      <c r="AD33" s="15"/>
      <c r="AE33" s="15"/>
    </row>
    <row r="34" spans="1:31">
      <c r="A34" s="15">
        <v>1</v>
      </c>
      <c r="B34" s="19">
        <v>7.9299999999999995E-2</v>
      </c>
      <c r="C34" s="20">
        <v>6487699</v>
      </c>
      <c r="D34" s="20">
        <v>833</v>
      </c>
      <c r="E34" s="20">
        <v>7.788354</v>
      </c>
      <c r="F34" s="20">
        <v>9.5107590000000002</v>
      </c>
      <c r="G34" s="20">
        <v>4.0685999999999998E-8</v>
      </c>
      <c r="I34" s="15">
        <v>1</v>
      </c>
      <c r="J34" s="19">
        <v>7.9299999999999995E-2</v>
      </c>
      <c r="K34" s="20">
        <v>528020.21900000004</v>
      </c>
      <c r="L34" s="20">
        <v>840</v>
      </c>
      <c r="M34" s="20">
        <v>628.59549900000002</v>
      </c>
      <c r="N34" s="20">
        <v>812.84328000000005</v>
      </c>
      <c r="O34" s="20">
        <v>4.3428560000000003</v>
      </c>
      <c r="Q34" s="15">
        <v>1</v>
      </c>
      <c r="R34" s="19">
        <v>7.9299999999999995E-2</v>
      </c>
      <c r="S34" s="17">
        <v>16172.704</v>
      </c>
      <c r="T34" s="17">
        <v>792</v>
      </c>
      <c r="U34" s="17">
        <v>20.420081</v>
      </c>
      <c r="V34" s="17">
        <v>10.430300000000001</v>
      </c>
      <c r="W34" s="17">
        <v>1.2136020000000001</v>
      </c>
      <c r="Y34" s="15">
        <v>1</v>
      </c>
      <c r="Z34" s="19">
        <v>7.9299999999999995E-2</v>
      </c>
      <c r="AA34" s="17">
        <v>171503.08300000001</v>
      </c>
      <c r="AB34" s="17">
        <v>839</v>
      </c>
      <c r="AC34" s="17">
        <v>204.41368700000001</v>
      </c>
      <c r="AD34" s="17">
        <v>81.219211999999999</v>
      </c>
      <c r="AE34" s="17">
        <v>2.2883300000000002</v>
      </c>
    </row>
    <row r="35" spans="1:31">
      <c r="A35" s="15">
        <v>2</v>
      </c>
      <c r="B35" s="19">
        <v>6.1600000000000002E-2</v>
      </c>
      <c r="C35" s="20">
        <v>391568</v>
      </c>
      <c r="D35" s="20">
        <v>670</v>
      </c>
      <c r="E35" s="20">
        <v>5.8443000000000005E-7</v>
      </c>
      <c r="F35" s="20">
        <v>5.9112799999999997E-7</v>
      </c>
      <c r="G35" s="20">
        <v>2.4559999999999998E-9</v>
      </c>
      <c r="I35" s="15">
        <v>2</v>
      </c>
      <c r="J35" s="19">
        <v>6.1600000000000002E-2</v>
      </c>
      <c r="K35" s="20">
        <v>377.517</v>
      </c>
      <c r="L35" s="20">
        <v>656</v>
      </c>
      <c r="M35" s="20">
        <v>5.7548299999999999E-7</v>
      </c>
      <c r="N35" s="20">
        <v>4.06736E-7</v>
      </c>
      <c r="O35" s="20">
        <v>3.1049999999999999E-9</v>
      </c>
      <c r="Q35" s="15">
        <v>2</v>
      </c>
      <c r="R35" s="19">
        <v>6.1600000000000002E-2</v>
      </c>
      <c r="S35" s="17">
        <v>553.83199999999999</v>
      </c>
      <c r="T35" s="17">
        <v>676</v>
      </c>
      <c r="U35" s="17">
        <v>8.1927799999999996E-7</v>
      </c>
      <c r="V35" s="17">
        <v>5.8605300000000007E-7</v>
      </c>
      <c r="W35" s="17">
        <v>4.1560000000000003E-8</v>
      </c>
      <c r="Y35" s="15">
        <v>2</v>
      </c>
      <c r="Z35" s="19">
        <v>6.1600000000000002E-2</v>
      </c>
      <c r="AA35" s="17">
        <v>1175.172</v>
      </c>
      <c r="AB35" s="17">
        <v>661</v>
      </c>
      <c r="AC35" s="17">
        <v>1.7778700000000001</v>
      </c>
      <c r="AD35" s="17">
        <v>1.603755</v>
      </c>
      <c r="AE35" s="17">
        <v>1.5679999999999999E-8</v>
      </c>
    </row>
    <row r="36" spans="1:31">
      <c r="A36" s="15">
        <v>3</v>
      </c>
      <c r="B36" s="19">
        <v>9.0300000000000005E-2</v>
      </c>
      <c r="C36" s="20">
        <v>197201600</v>
      </c>
      <c r="D36" s="20">
        <v>926</v>
      </c>
      <c r="E36" s="20">
        <v>212.96067400000001</v>
      </c>
      <c r="F36" s="20">
        <v>246.40833499999999</v>
      </c>
      <c r="G36" s="20">
        <v>1.236699</v>
      </c>
      <c r="I36" s="15">
        <v>3</v>
      </c>
      <c r="J36" s="19">
        <v>9.0300000000000005E-2</v>
      </c>
      <c r="K36" s="20">
        <v>28887.762999999999</v>
      </c>
      <c r="L36" s="20">
        <v>970</v>
      </c>
      <c r="M36" s="20">
        <v>29.781199000000001</v>
      </c>
      <c r="N36" s="20">
        <v>18.370908</v>
      </c>
      <c r="O36" s="20">
        <v>2.3759600000000001E-7</v>
      </c>
      <c r="Q36" s="15">
        <v>3</v>
      </c>
      <c r="R36" s="19">
        <v>9.0300000000000005E-2</v>
      </c>
      <c r="S36" s="17">
        <v>60353.347999999998</v>
      </c>
      <c r="T36" s="17">
        <v>996</v>
      </c>
      <c r="U36" s="17">
        <v>60.595731000000001</v>
      </c>
      <c r="V36" s="17">
        <v>104.944209</v>
      </c>
      <c r="W36" s="17">
        <v>4.5289239999999999</v>
      </c>
      <c r="Y36" s="15">
        <v>3</v>
      </c>
      <c r="Z36" s="19">
        <v>9.0300000000000005E-2</v>
      </c>
      <c r="AA36" s="17">
        <v>50316.241000000002</v>
      </c>
      <c r="AB36" s="17">
        <v>949</v>
      </c>
      <c r="AC36" s="17">
        <v>53.020274999999998</v>
      </c>
      <c r="AD36" s="17">
        <v>108.087625</v>
      </c>
      <c r="AE36" s="17">
        <v>6.7135900000000008E-7</v>
      </c>
    </row>
    <row r="37" spans="1:31">
      <c r="A37" s="15">
        <v>4</v>
      </c>
      <c r="B37" s="19">
        <v>7.6700000000000004E-2</v>
      </c>
      <c r="C37" s="20">
        <v>796218600</v>
      </c>
      <c r="D37" s="20">
        <v>787</v>
      </c>
      <c r="E37" s="20">
        <v>1011.713535</v>
      </c>
      <c r="F37" s="20">
        <v>393.91319499999997</v>
      </c>
      <c r="G37" s="20">
        <v>4.9932809999999996</v>
      </c>
      <c r="I37" s="15">
        <v>4</v>
      </c>
      <c r="J37" s="19">
        <v>7.6700000000000004E-2</v>
      </c>
      <c r="K37" s="20">
        <v>553639.625</v>
      </c>
      <c r="L37" s="20">
        <v>771</v>
      </c>
      <c r="M37" s="20">
        <v>718.07992899999999</v>
      </c>
      <c r="N37" s="20">
        <v>1658.8355409999999</v>
      </c>
      <c r="O37" s="20">
        <v>4.5535699999999997</v>
      </c>
      <c r="Q37" s="15">
        <v>4</v>
      </c>
      <c r="R37" s="19">
        <v>7.6700000000000004E-2</v>
      </c>
      <c r="S37" s="17">
        <v>13368.735000000001</v>
      </c>
      <c r="T37" s="17">
        <v>817</v>
      </c>
      <c r="U37" s="17">
        <v>16.363201</v>
      </c>
      <c r="V37" s="17">
        <v>33.475006</v>
      </c>
      <c r="W37" s="17">
        <v>1.0031920000000001</v>
      </c>
      <c r="Y37" s="15">
        <v>4</v>
      </c>
      <c r="Z37" s="19">
        <v>7.6700000000000004E-2</v>
      </c>
      <c r="AA37" s="17">
        <v>2106806.2889999999</v>
      </c>
      <c r="AB37" s="17">
        <v>760</v>
      </c>
      <c r="AC37" s="17">
        <v>2772.1135380000001</v>
      </c>
      <c r="AD37" s="17">
        <v>1049.753882</v>
      </c>
      <c r="AE37" s="17">
        <v>28.110672999999998</v>
      </c>
    </row>
    <row r="38" spans="1:31">
      <c r="A38" s="15">
        <v>5</v>
      </c>
      <c r="B38" s="19">
        <v>1.4200000000000001E-2</v>
      </c>
      <c r="C38" s="20">
        <v>5186</v>
      </c>
      <c r="D38" s="20">
        <v>151</v>
      </c>
      <c r="E38" s="20">
        <v>3.4344E-8</v>
      </c>
      <c r="F38" s="20">
        <v>1.3549999999999999E-8</v>
      </c>
      <c r="G38" s="20">
        <v>3.3000000000000002E-11</v>
      </c>
      <c r="I38" s="15">
        <v>5</v>
      </c>
      <c r="J38" s="19">
        <v>1.4200000000000001E-2</v>
      </c>
      <c r="K38" s="20">
        <v>3.9929999999999999</v>
      </c>
      <c r="L38" s="20">
        <v>130</v>
      </c>
      <c r="M38" s="20">
        <v>3.0715000000000001E-8</v>
      </c>
      <c r="N38" s="20">
        <v>1.1865000000000001E-8</v>
      </c>
      <c r="O38" s="20">
        <v>3.3000000000000002E-11</v>
      </c>
      <c r="Q38" s="15">
        <v>5</v>
      </c>
      <c r="R38" s="19">
        <v>1.4200000000000001E-2</v>
      </c>
      <c r="S38" s="17">
        <v>2.6869999999999998</v>
      </c>
      <c r="T38" s="17">
        <v>132</v>
      </c>
      <c r="U38" s="17">
        <v>2.0356E-8</v>
      </c>
      <c r="V38" s="17">
        <v>9.2599999999999999E-9</v>
      </c>
      <c r="W38" s="17">
        <v>2.02E-10</v>
      </c>
      <c r="Y38" s="15">
        <v>5</v>
      </c>
      <c r="Z38" s="19">
        <v>1.4200000000000001E-2</v>
      </c>
      <c r="AA38" s="17">
        <v>2.278</v>
      </c>
      <c r="AB38" s="17">
        <v>144</v>
      </c>
      <c r="AC38" s="17">
        <v>1.5819000000000001E-8</v>
      </c>
      <c r="AD38" s="17">
        <v>7.5469999999999997E-9</v>
      </c>
      <c r="AE38" s="17">
        <v>3E-11</v>
      </c>
    </row>
    <row r="39" spans="1:31">
      <c r="A39" s="15">
        <v>6</v>
      </c>
      <c r="B39" s="19">
        <v>0.38009999999999999</v>
      </c>
      <c r="C39" s="20">
        <v>540205</v>
      </c>
      <c r="D39" s="20">
        <v>3918</v>
      </c>
      <c r="E39" s="20">
        <v>1.3787800000000001E-7</v>
      </c>
      <c r="F39" s="20">
        <v>1.11407E-7</v>
      </c>
      <c r="G39" s="20">
        <v>3.3879999999999999E-9</v>
      </c>
      <c r="I39" s="15">
        <v>6</v>
      </c>
      <c r="J39" s="19">
        <v>0.38009999999999999</v>
      </c>
      <c r="K39" s="20">
        <v>587.44299999999998</v>
      </c>
      <c r="L39" s="20">
        <v>3979</v>
      </c>
      <c r="M39" s="20">
        <v>1.4763599999999999E-7</v>
      </c>
      <c r="N39" s="20">
        <v>9.7044000000000005E-8</v>
      </c>
      <c r="O39" s="20">
        <v>4.8320000000000007E-9</v>
      </c>
      <c r="Q39" s="15">
        <v>6</v>
      </c>
      <c r="R39" s="19">
        <v>0.38009999999999999</v>
      </c>
      <c r="S39" s="17">
        <v>720.68399999999997</v>
      </c>
      <c r="T39" s="17">
        <v>4003</v>
      </c>
      <c r="U39" s="17">
        <v>1.8003600000000001E-7</v>
      </c>
      <c r="V39" s="17">
        <v>1.0052300000000001E-7</v>
      </c>
      <c r="W39" s="17">
        <v>5.4080000000000005E-8</v>
      </c>
      <c r="Y39" s="15">
        <v>6</v>
      </c>
      <c r="Z39" s="19">
        <v>0.38009999999999999</v>
      </c>
      <c r="AA39" s="17">
        <v>658.68700000000001</v>
      </c>
      <c r="AB39" s="17">
        <v>3993</v>
      </c>
      <c r="AC39" s="17">
        <v>1.6495999999999999E-7</v>
      </c>
      <c r="AD39" s="17">
        <v>7.8259E-8</v>
      </c>
      <c r="AE39" s="17">
        <v>8.7890000000000002E-9</v>
      </c>
    </row>
    <row r="40" spans="1:31">
      <c r="A40" s="15">
        <v>7</v>
      </c>
      <c r="B40" s="19">
        <v>4.53E-2</v>
      </c>
      <c r="C40" s="20">
        <v>11277410000</v>
      </c>
      <c r="D40" s="20">
        <v>462</v>
      </c>
      <c r="E40" s="20">
        <v>24409.971699000002</v>
      </c>
      <c r="F40" s="20">
        <v>14434.159915</v>
      </c>
      <c r="G40" s="20">
        <v>70.723371</v>
      </c>
      <c r="I40" s="15">
        <v>7</v>
      </c>
      <c r="J40" s="19">
        <v>4.53E-2</v>
      </c>
      <c r="K40" s="20">
        <v>8709268.1610000003</v>
      </c>
      <c r="L40" s="20">
        <v>504</v>
      </c>
      <c r="M40" s="20">
        <v>17280.293969999999</v>
      </c>
      <c r="N40" s="20">
        <v>6253.0849280000002</v>
      </c>
      <c r="O40" s="20">
        <v>71.631907999999996</v>
      </c>
      <c r="Q40" s="15">
        <v>7</v>
      </c>
      <c r="R40" s="19">
        <v>4.53E-2</v>
      </c>
      <c r="S40" s="17">
        <v>588599.81400000001</v>
      </c>
      <c r="T40" s="17">
        <v>495</v>
      </c>
      <c r="U40" s="17">
        <v>1189.0905330000001</v>
      </c>
      <c r="V40" s="17">
        <v>1875.6620789999999</v>
      </c>
      <c r="W40" s="17">
        <v>44.168613000000001</v>
      </c>
      <c r="Y40" s="15">
        <v>7</v>
      </c>
      <c r="Z40" s="19">
        <v>4.53E-2</v>
      </c>
      <c r="AA40" s="17">
        <v>3705459.3879999998</v>
      </c>
      <c r="AB40" s="17">
        <v>493</v>
      </c>
      <c r="AC40" s="17">
        <v>7516.1448030000001</v>
      </c>
      <c r="AD40" s="17">
        <v>11780.573103999999</v>
      </c>
      <c r="AE40" s="17">
        <v>49.441164999999998</v>
      </c>
    </row>
    <row r="41" spans="1:31">
      <c r="A41" s="15">
        <v>8</v>
      </c>
      <c r="B41" s="19">
        <v>8.2000000000000003E-2</v>
      </c>
      <c r="C41" s="20">
        <v>165230</v>
      </c>
      <c r="D41" s="20">
        <v>903</v>
      </c>
      <c r="E41" s="20">
        <v>1.8297900000000001E-7</v>
      </c>
      <c r="F41" s="20">
        <v>1.6026000000000001E-7</v>
      </c>
      <c r="G41" s="20">
        <v>1.0359999999999999E-9</v>
      </c>
      <c r="I41" s="15">
        <v>8</v>
      </c>
      <c r="J41" s="19">
        <v>8.2000000000000003E-2</v>
      </c>
      <c r="K41" s="20">
        <v>117.524</v>
      </c>
      <c r="L41" s="20">
        <v>862</v>
      </c>
      <c r="M41" s="20">
        <v>1.3633899999999999E-7</v>
      </c>
      <c r="N41" s="20">
        <v>9.9482000000000004E-8</v>
      </c>
      <c r="O41" s="20">
        <v>9.6700000000000007E-10</v>
      </c>
      <c r="Q41" s="15">
        <v>8</v>
      </c>
      <c r="R41" s="19">
        <v>8.2000000000000003E-2</v>
      </c>
      <c r="S41" s="17">
        <v>145.03399999999999</v>
      </c>
      <c r="T41" s="17">
        <v>800</v>
      </c>
      <c r="U41" s="17">
        <v>1.8129200000000001E-7</v>
      </c>
      <c r="V41" s="17">
        <v>1.4555199999999998E-7</v>
      </c>
      <c r="W41" s="17">
        <v>1.0883000000000001E-8</v>
      </c>
      <c r="Y41" s="15">
        <v>8</v>
      </c>
      <c r="Z41" s="19">
        <v>8.2000000000000003E-2</v>
      </c>
      <c r="AA41" s="17">
        <v>49.347999999999999</v>
      </c>
      <c r="AB41" s="17">
        <v>838</v>
      </c>
      <c r="AC41" s="17">
        <v>5.8888000000000004E-8</v>
      </c>
      <c r="AD41" s="17">
        <v>2.7917999999999999E-8</v>
      </c>
      <c r="AE41" s="17">
        <v>6.579999999999999E-10</v>
      </c>
    </row>
    <row r="42" spans="1:31">
      <c r="A42" s="15">
        <v>9</v>
      </c>
      <c r="B42" s="19">
        <v>6.1000000000000004E-3</v>
      </c>
      <c r="C42" s="20">
        <v>577427900</v>
      </c>
      <c r="D42" s="20">
        <v>71</v>
      </c>
      <c r="E42" s="20">
        <v>8132.7880139999997</v>
      </c>
      <c r="F42" s="20">
        <v>2271.5446010000001</v>
      </c>
      <c r="G42" s="20">
        <v>3.6211920000000002</v>
      </c>
      <c r="I42" s="15">
        <v>9</v>
      </c>
      <c r="J42" s="19">
        <v>6.1000000000000004E-3</v>
      </c>
      <c r="K42" s="20">
        <v>529017.522</v>
      </c>
      <c r="L42" s="20">
        <v>60</v>
      </c>
      <c r="M42" s="20">
        <v>8816.9586999999992</v>
      </c>
      <c r="N42" s="20">
        <v>2499.252086</v>
      </c>
      <c r="O42" s="20">
        <v>4.3510580000000001</v>
      </c>
      <c r="Q42" s="15">
        <v>9</v>
      </c>
      <c r="R42" s="19">
        <v>6.1000000000000004E-3</v>
      </c>
      <c r="S42" s="17">
        <v>15148.761</v>
      </c>
      <c r="T42" s="17">
        <v>65</v>
      </c>
      <c r="U42" s="20">
        <v>233.057862</v>
      </c>
      <c r="V42" s="17">
        <v>658.22432500000002</v>
      </c>
      <c r="W42" s="17">
        <v>1.136765</v>
      </c>
      <c r="Y42" s="15">
        <v>9</v>
      </c>
      <c r="Z42" s="19">
        <v>6.1000000000000004E-3</v>
      </c>
      <c r="AA42" s="17">
        <v>293722.58</v>
      </c>
      <c r="AB42" s="17">
        <v>54</v>
      </c>
      <c r="AC42" s="20">
        <v>5439.3070369999996</v>
      </c>
      <c r="AD42" s="17">
        <v>6223.7169700000004</v>
      </c>
      <c r="AE42" s="17">
        <v>3.919079</v>
      </c>
    </row>
    <row r="43" spans="1:31">
      <c r="A43" s="15">
        <v>10</v>
      </c>
      <c r="B43" s="19">
        <v>5.4999999999999997E-3</v>
      </c>
      <c r="C43" s="20">
        <v>362968500</v>
      </c>
      <c r="D43" s="20">
        <v>47</v>
      </c>
      <c r="E43" s="20">
        <v>7722.7350429999997</v>
      </c>
      <c r="F43" s="20">
        <v>2258.036732</v>
      </c>
      <c r="G43" s="20">
        <v>2.2762639999999998</v>
      </c>
      <c r="I43" s="15">
        <v>10</v>
      </c>
      <c r="J43" s="19">
        <v>5.4999999999999997E-3</v>
      </c>
      <c r="K43" s="20">
        <v>476992.22399999999</v>
      </c>
      <c r="L43" s="20">
        <v>51</v>
      </c>
      <c r="M43" s="20">
        <v>9352.7887059999994</v>
      </c>
      <c r="N43" s="20">
        <v>2686.451251</v>
      </c>
      <c r="O43" s="20">
        <v>3.9231609999999999</v>
      </c>
      <c r="Q43" s="15">
        <v>10</v>
      </c>
      <c r="R43" s="19">
        <v>5.4999999999999997E-3</v>
      </c>
      <c r="S43" s="17">
        <v>14283.398999999999</v>
      </c>
      <c r="T43" s="17">
        <v>51</v>
      </c>
      <c r="U43" s="17">
        <v>280.06664699999999</v>
      </c>
      <c r="V43" s="17">
        <v>814.08557499999995</v>
      </c>
      <c r="W43" s="17">
        <v>1.071828</v>
      </c>
      <c r="Y43" s="15">
        <v>10</v>
      </c>
      <c r="Z43" s="19">
        <v>5.4999999999999997E-3</v>
      </c>
      <c r="AA43" s="17">
        <v>200860.421</v>
      </c>
      <c r="AB43" s="17">
        <v>60</v>
      </c>
      <c r="AC43" s="17">
        <v>3347.673683</v>
      </c>
      <c r="AD43" s="17">
        <v>4345.6787560000002</v>
      </c>
      <c r="AE43" s="17">
        <v>2.6800380000000001</v>
      </c>
    </row>
    <row r="44" spans="1:31">
      <c r="A44" s="15">
        <v>11</v>
      </c>
      <c r="B44" s="19">
        <v>9.7000000000000003E-3</v>
      </c>
      <c r="C44" s="20">
        <v>435033100</v>
      </c>
      <c r="D44" s="20">
        <v>103</v>
      </c>
      <c r="E44" s="20">
        <v>4223.6224849999999</v>
      </c>
      <c r="F44" s="20">
        <v>67.235319000000004</v>
      </c>
      <c r="G44" s="20">
        <v>2.728199</v>
      </c>
      <c r="I44" s="15">
        <v>11</v>
      </c>
      <c r="J44" s="19">
        <v>9.7000000000000003E-3</v>
      </c>
      <c r="K44" s="20">
        <v>323806.43199999997</v>
      </c>
      <c r="L44" s="20">
        <v>93</v>
      </c>
      <c r="M44" s="20">
        <v>3481.7895910000002</v>
      </c>
      <c r="N44" s="20">
        <v>36.989241999999997</v>
      </c>
      <c r="O44" s="20">
        <v>2.6632400000000001</v>
      </c>
      <c r="Q44" s="15">
        <v>11</v>
      </c>
      <c r="R44" s="19">
        <v>9.7000000000000003E-3</v>
      </c>
      <c r="S44" s="17">
        <v>1868.5309999999999</v>
      </c>
      <c r="T44" s="17">
        <v>85</v>
      </c>
      <c r="U44" s="17">
        <v>21.982717999999998</v>
      </c>
      <c r="V44" s="17">
        <v>7.4886699999999999</v>
      </c>
      <c r="W44" s="17">
        <v>1.4021500000000002E-7</v>
      </c>
      <c r="Y44" s="15">
        <v>11</v>
      </c>
      <c r="Z44" s="19">
        <v>9.7000000000000003E-3</v>
      </c>
      <c r="AA44" s="17">
        <v>134761.09</v>
      </c>
      <c r="AB44" s="17">
        <v>115</v>
      </c>
      <c r="AC44" s="17">
        <v>1171.8355650000001</v>
      </c>
      <c r="AD44" s="17">
        <v>22.046621999999999</v>
      </c>
      <c r="AE44" s="17">
        <v>1.798089</v>
      </c>
    </row>
    <row r="45" spans="1:31">
      <c r="A45" s="15">
        <v>12</v>
      </c>
      <c r="B45" s="19">
        <v>6.1999999999999998E-3</v>
      </c>
      <c r="C45" s="20">
        <v>514741500</v>
      </c>
      <c r="D45" s="20">
        <v>63</v>
      </c>
      <c r="E45" s="20">
        <v>8170.5007299999997</v>
      </c>
      <c r="F45" s="20">
        <v>2940.5389449999998</v>
      </c>
      <c r="G45" s="20">
        <v>3.2280700000000002</v>
      </c>
      <c r="I45" s="15">
        <v>12</v>
      </c>
      <c r="J45" s="19">
        <v>6.1999999999999998E-3</v>
      </c>
      <c r="K45" s="20">
        <v>380412.22499999998</v>
      </c>
      <c r="L45" s="20">
        <v>78</v>
      </c>
      <c r="M45" s="20">
        <v>4877.0798080000004</v>
      </c>
      <c r="N45" s="20">
        <v>1657.4241709999999</v>
      </c>
      <c r="O45" s="20">
        <v>3.1288109999999998</v>
      </c>
      <c r="Q45" s="15">
        <v>12</v>
      </c>
      <c r="R45" s="19">
        <v>6.1999999999999998E-3</v>
      </c>
      <c r="S45" s="17">
        <v>10344.276</v>
      </c>
      <c r="T45" s="17">
        <v>65</v>
      </c>
      <c r="U45" s="17">
        <v>159.142708</v>
      </c>
      <c r="V45" s="17">
        <v>15.527756999999999</v>
      </c>
      <c r="W45" s="17">
        <v>7.7623600000000002E-7</v>
      </c>
      <c r="Y45" s="15">
        <v>12</v>
      </c>
      <c r="Z45" s="19">
        <v>6.1999999999999998E-3</v>
      </c>
      <c r="AA45" s="17">
        <v>211605.891</v>
      </c>
      <c r="AB45" s="17">
        <v>79</v>
      </c>
      <c r="AC45" s="17">
        <v>2678.555582</v>
      </c>
      <c r="AD45" s="17">
        <v>1156.713716</v>
      </c>
      <c r="AE45" s="17">
        <v>2.823413</v>
      </c>
    </row>
    <row r="46" spans="1:31">
      <c r="A46" s="15">
        <v>13</v>
      </c>
      <c r="B46" s="19">
        <v>6.1000000000000004E-3</v>
      </c>
      <c r="C46" s="20">
        <v>1776324000</v>
      </c>
      <c r="D46" s="20">
        <v>68</v>
      </c>
      <c r="E46" s="20">
        <v>26122.416249999998</v>
      </c>
      <c r="F46" s="20">
        <v>7290.7312030000003</v>
      </c>
      <c r="G46" s="20">
        <v>11.139763</v>
      </c>
      <c r="I46" s="15">
        <v>13</v>
      </c>
      <c r="J46" s="19">
        <v>6.1000000000000004E-3</v>
      </c>
      <c r="K46" s="20">
        <v>626312.23199999996</v>
      </c>
      <c r="L46" s="20">
        <v>51</v>
      </c>
      <c r="M46" s="20">
        <v>12280.632</v>
      </c>
      <c r="N46" s="20">
        <v>9247.6582799999996</v>
      </c>
      <c r="O46" s="20">
        <v>5.1512869999999999</v>
      </c>
      <c r="Q46" s="15">
        <v>13</v>
      </c>
      <c r="R46" s="19">
        <v>6.1000000000000004E-3</v>
      </c>
      <c r="S46" s="17">
        <v>610923.09499999997</v>
      </c>
      <c r="T46" s="17">
        <v>63</v>
      </c>
      <c r="U46" s="17">
        <v>9697.1919839999991</v>
      </c>
      <c r="V46" s="17">
        <v>10582.016167</v>
      </c>
      <c r="W46" s="17">
        <v>45.843755999999999</v>
      </c>
      <c r="Y46" s="15">
        <v>13</v>
      </c>
      <c r="Z46" s="19">
        <v>6.1000000000000004E-3</v>
      </c>
      <c r="AA46" s="17">
        <v>616663.93999999994</v>
      </c>
      <c r="AB46" s="17">
        <v>62</v>
      </c>
      <c r="AC46" s="17">
        <v>9946.1925809999993</v>
      </c>
      <c r="AD46" s="17">
        <v>17690.482263000002</v>
      </c>
      <c r="AE46" s="17">
        <v>8.2280169999999995</v>
      </c>
    </row>
    <row r="47" spans="1:31">
      <c r="A47" s="15">
        <v>14</v>
      </c>
      <c r="B47" s="19">
        <v>1.6199999999999999E-2</v>
      </c>
      <c r="C47" s="20">
        <v>793584</v>
      </c>
      <c r="D47" s="20">
        <v>161</v>
      </c>
      <c r="E47" s="20">
        <v>4.9290929999999999</v>
      </c>
      <c r="F47" s="20">
        <v>3.6855570000000002</v>
      </c>
      <c r="G47" s="20">
        <v>4.9769999999999997E-9</v>
      </c>
      <c r="I47" s="15">
        <v>14</v>
      </c>
      <c r="J47" s="19">
        <v>1.6199999999999999E-2</v>
      </c>
      <c r="K47" s="20">
        <v>847.18700000000001</v>
      </c>
      <c r="L47" s="20">
        <v>172</v>
      </c>
      <c r="M47" s="20">
        <v>4.9255060000000004</v>
      </c>
      <c r="N47" s="20">
        <v>3.6290849999999999</v>
      </c>
      <c r="O47" s="20">
        <v>6.9679999999999999E-9</v>
      </c>
      <c r="Q47" s="15">
        <v>14</v>
      </c>
      <c r="R47" s="19">
        <v>1.6199999999999999E-2</v>
      </c>
      <c r="S47" s="17">
        <v>70.991</v>
      </c>
      <c r="T47" s="17">
        <v>172</v>
      </c>
      <c r="U47" s="17">
        <v>4.1273799999999997E-7</v>
      </c>
      <c r="V47" s="17">
        <v>4.9086999999999995E-7</v>
      </c>
      <c r="W47" s="17">
        <v>5.3270000000000003E-9</v>
      </c>
      <c r="Y47" s="15">
        <v>14</v>
      </c>
      <c r="Z47" s="19">
        <v>1.6199999999999999E-2</v>
      </c>
      <c r="AA47" s="17">
        <v>1026.24</v>
      </c>
      <c r="AB47" s="17">
        <v>179</v>
      </c>
      <c r="AC47" s="17">
        <v>5.7331839999999996</v>
      </c>
      <c r="AD47" s="17">
        <v>4.3935259999999996</v>
      </c>
      <c r="AE47" s="17">
        <v>1.3693000000000001E-8</v>
      </c>
    </row>
    <row r="48" spans="1:31">
      <c r="A48" s="15">
        <v>15</v>
      </c>
      <c r="B48" s="19">
        <v>7.6899999999999996E-2</v>
      </c>
      <c r="C48" s="20">
        <v>93380</v>
      </c>
      <c r="D48" s="20">
        <v>837</v>
      </c>
      <c r="E48" s="20">
        <v>1.1156499999999999E-7</v>
      </c>
      <c r="F48" s="20">
        <v>6.6726999999999999E-8</v>
      </c>
      <c r="G48" s="20">
        <v>5.8600000000000004E-10</v>
      </c>
      <c r="I48" s="15">
        <v>15</v>
      </c>
      <c r="J48" s="19">
        <v>7.6899999999999996E-2</v>
      </c>
      <c r="K48" s="20">
        <v>73.984999999999999</v>
      </c>
      <c r="L48" s="20">
        <v>783</v>
      </c>
      <c r="M48" s="20">
        <v>9.4489000000000007E-8</v>
      </c>
      <c r="N48" s="20">
        <v>4.7693000000000002E-8</v>
      </c>
      <c r="O48" s="20">
        <v>6.0899999999999996E-10</v>
      </c>
      <c r="Q48" s="15">
        <v>15</v>
      </c>
      <c r="R48" s="19">
        <v>7.6899999999999996E-2</v>
      </c>
      <c r="S48" s="17">
        <v>64.195999999999998</v>
      </c>
      <c r="T48" s="17">
        <v>788</v>
      </c>
      <c r="U48" s="17">
        <v>8.1466999999999998E-8</v>
      </c>
      <c r="V48" s="17">
        <v>4.3400999999999999E-8</v>
      </c>
      <c r="W48" s="17">
        <v>4.8170000000000002E-9</v>
      </c>
      <c r="Y48" s="15">
        <v>15</v>
      </c>
      <c r="Z48" s="19">
        <v>7.6899999999999996E-2</v>
      </c>
      <c r="AA48" s="17">
        <v>73.909000000000006</v>
      </c>
      <c r="AB48" s="17">
        <v>774</v>
      </c>
      <c r="AC48" s="17">
        <v>9.5490000000000003E-8</v>
      </c>
      <c r="AD48" s="17">
        <v>3.8768999999999995E-8</v>
      </c>
      <c r="AE48" s="17">
        <v>9.859999999999999E-10</v>
      </c>
    </row>
    <row r="49" spans="5:29">
      <c r="E49" s="13">
        <f>SUMPRODUCT(B34:B48,E34:E48)</f>
        <v>1546.3559942300797</v>
      </c>
      <c r="M49" s="13">
        <f>SUMPRODUCT(J34:J48,M34:M48)</f>
        <v>1134.6376010386482</v>
      </c>
      <c r="U49" s="13">
        <f>SUMPRODUCT(R34:R48,U34:U48)</f>
        <v>125.52677351450538</v>
      </c>
      <c r="AC49" s="13">
        <f>SUMPRODUCT(Z34:Z48,AC34:AC48)</f>
        <v>714.54020111519787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042B-5D4F-46DA-BAD6-CA3999FE608D}">
  <dimension ref="A1:K13"/>
  <sheetViews>
    <sheetView zoomScale="130" zoomScaleNormal="130" workbookViewId="0"/>
  </sheetViews>
  <sheetFormatPr defaultColWidth="8.75" defaultRowHeight="14"/>
  <cols>
    <col min="1" max="1" width="15.33203125" style="1" bestFit="1" customWidth="1"/>
    <col min="2" max="2" width="12.08203125" style="1" bestFit="1" customWidth="1"/>
    <col min="3" max="3" width="13.83203125" style="1" bestFit="1" customWidth="1"/>
    <col min="4" max="4" width="15.08203125" style="1" customWidth="1"/>
    <col min="5" max="5" width="3" style="1" customWidth="1"/>
    <col min="6" max="6" width="14" style="1" bestFit="1" customWidth="1"/>
    <col min="7" max="7" width="15" style="1" customWidth="1"/>
    <col min="8" max="8" width="14.75" style="1" bestFit="1" customWidth="1"/>
    <col min="9" max="9" width="13.33203125" style="1" customWidth="1"/>
    <col min="10" max="10" width="3.08203125" style="1" customWidth="1"/>
    <col min="11" max="11" width="22.08203125" style="1" bestFit="1" customWidth="1"/>
    <col min="12" max="12" width="21.25" style="1" bestFit="1" customWidth="1"/>
    <col min="13" max="13" width="11.08203125" style="1" bestFit="1" customWidth="1"/>
    <col min="14" max="14" width="11.25" style="1" bestFit="1" customWidth="1"/>
    <col min="15" max="16" width="9.25" style="1" bestFit="1" customWidth="1"/>
    <col min="17" max="16384" width="8.75" style="1"/>
  </cols>
  <sheetData>
    <row r="1" spans="1:11" ht="28">
      <c r="A1" s="2" t="s">
        <v>22</v>
      </c>
      <c r="C1" s="6" t="s">
        <v>13</v>
      </c>
      <c r="D1" s="10" t="s">
        <v>26</v>
      </c>
      <c r="E1" s="2"/>
    </row>
    <row r="2" spans="1:11">
      <c r="A2" s="1" t="s">
        <v>23</v>
      </c>
      <c r="C2" s="1">
        <v>10000</v>
      </c>
      <c r="D2" s="1">
        <v>50333</v>
      </c>
    </row>
    <row r="3" spans="1:11">
      <c r="A3" s="1" t="s">
        <v>24</v>
      </c>
      <c r="C3" s="1">
        <v>10000</v>
      </c>
      <c r="D3" s="1">
        <v>1489126</v>
      </c>
    </row>
    <row r="4" spans="1:11">
      <c r="A4" s="1" t="s">
        <v>25</v>
      </c>
      <c r="C4" s="1">
        <v>10000</v>
      </c>
      <c r="D4" s="1">
        <v>3623390</v>
      </c>
    </row>
    <row r="6" spans="1:11" ht="42">
      <c r="A6" s="2" t="s">
        <v>27</v>
      </c>
      <c r="B6" s="2" t="s">
        <v>16</v>
      </c>
      <c r="C6" s="2" t="s">
        <v>30</v>
      </c>
      <c r="D6" s="2" t="s">
        <v>29</v>
      </c>
      <c r="E6" s="2"/>
      <c r="F6" s="2" t="s">
        <v>31</v>
      </c>
      <c r="G6" s="2" t="s">
        <v>32</v>
      </c>
      <c r="K6" s="2" t="s">
        <v>35</v>
      </c>
    </row>
    <row r="7" spans="1:11">
      <c r="A7" s="1" t="s">
        <v>14</v>
      </c>
      <c r="B7" s="3">
        <f>'Query 5x'!E30</f>
        <v>62.661454358204836</v>
      </c>
      <c r="C7" s="7">
        <f>$B7*C$3/1000</f>
        <v>626.61454358204833</v>
      </c>
      <c r="D7" s="9">
        <f>$B7*D$3/1000</f>
        <v>93310.800882616139</v>
      </c>
      <c r="E7" s="12"/>
      <c r="F7" s="8">
        <f>C7/60</f>
        <v>10.443575726367472</v>
      </c>
      <c r="G7" s="11">
        <f>D7/60</f>
        <v>1555.180014710269</v>
      </c>
      <c r="H7" s="4"/>
      <c r="I7" s="4"/>
      <c r="J7" s="4"/>
    </row>
    <row r="8" spans="1:11">
      <c r="A8" s="1" t="s">
        <v>15</v>
      </c>
      <c r="B8" s="3">
        <f>'Query 5x'!M30</f>
        <v>1.9067935424388094</v>
      </c>
      <c r="C8" s="7">
        <f>$B8*C$3/1000</f>
        <v>19.067935424388097</v>
      </c>
      <c r="D8" s="9">
        <f>$B8*D$3/1000</f>
        <v>2839.4558406777346</v>
      </c>
      <c r="E8" s="12"/>
      <c r="F8" s="8">
        <f>C8/60</f>
        <v>0.31779892373980162</v>
      </c>
      <c r="G8" s="11">
        <f>D8/60</f>
        <v>47.324264011295575</v>
      </c>
      <c r="H8" s="4"/>
      <c r="I8" s="4"/>
      <c r="J8" s="4"/>
      <c r="K8" s="1">
        <v>319.2</v>
      </c>
    </row>
    <row r="10" spans="1:11" ht="42">
      <c r="A10" s="2" t="s">
        <v>28</v>
      </c>
      <c r="B10" s="2" t="s">
        <v>16</v>
      </c>
      <c r="C10" s="2" t="s">
        <v>30</v>
      </c>
      <c r="D10" s="2" t="s">
        <v>29</v>
      </c>
      <c r="E10" s="2"/>
      <c r="F10" s="2" t="s">
        <v>31</v>
      </c>
      <c r="G10" s="2" t="s">
        <v>32</v>
      </c>
      <c r="H10" s="2" t="s">
        <v>33</v>
      </c>
      <c r="I10" s="2" t="s">
        <v>34</v>
      </c>
      <c r="J10" s="2"/>
      <c r="K10" s="2" t="s">
        <v>36</v>
      </c>
    </row>
    <row r="11" spans="1:11">
      <c r="A11" s="1" t="s">
        <v>17</v>
      </c>
      <c r="B11" s="3">
        <f>'Query 5x'!E49</f>
        <v>1546.3559942300797</v>
      </c>
      <c r="C11" s="7">
        <f t="shared" ref="C11:D13" si="0">$B11*C$4/1000</f>
        <v>15463.559942300797</v>
      </c>
      <c r="D11" s="9">
        <f t="shared" si="0"/>
        <v>5603050.8459333284</v>
      </c>
      <c r="E11" s="12"/>
      <c r="F11" s="8">
        <f t="shared" ref="F11:G13" si="1">C11/60</f>
        <v>257.72599903834663</v>
      </c>
      <c r="G11" s="11">
        <f t="shared" si="1"/>
        <v>93384.180765555473</v>
      </c>
      <c r="H11" s="11">
        <f>G11/60</f>
        <v>1556.403012759258</v>
      </c>
      <c r="I11" s="11">
        <f>H11/24</f>
        <v>64.850125531635754</v>
      </c>
      <c r="J11" s="4"/>
      <c r="K11" s="5"/>
    </row>
    <row r="12" spans="1:11">
      <c r="A12" s="1" t="s">
        <v>18</v>
      </c>
      <c r="B12" s="3">
        <f>'Query 5x'!M49</f>
        <v>1134.6376010386482</v>
      </c>
      <c r="C12" s="7">
        <f t="shared" si="0"/>
        <v>11346.376010386482</v>
      </c>
      <c r="D12" s="9">
        <f t="shared" si="0"/>
        <v>4111234.5372274276</v>
      </c>
      <c r="E12" s="12"/>
      <c r="F12" s="8">
        <f t="shared" si="1"/>
        <v>189.10626683977472</v>
      </c>
      <c r="G12" s="11">
        <f t="shared" si="1"/>
        <v>68520.575620457123</v>
      </c>
      <c r="H12" s="11">
        <f>G12/60</f>
        <v>1142.0095936742853</v>
      </c>
      <c r="I12" s="11">
        <f>H12/24</f>
        <v>47.583733069761884</v>
      </c>
      <c r="J12" s="4"/>
      <c r="K12" s="5"/>
    </row>
    <row r="13" spans="1:11">
      <c r="A13" s="1" t="s">
        <v>19</v>
      </c>
      <c r="B13" s="3">
        <f>'Query 5x'!U49</f>
        <v>125.52677351450538</v>
      </c>
      <c r="C13" s="7">
        <f t="shared" si="0"/>
        <v>1255.2677351450538</v>
      </c>
      <c r="D13" s="9">
        <f t="shared" si="0"/>
        <v>454832.45588472369</v>
      </c>
      <c r="E13" s="12"/>
      <c r="F13" s="8">
        <f t="shared" si="1"/>
        <v>20.921128919084232</v>
      </c>
      <c r="G13" s="11">
        <f t="shared" si="1"/>
        <v>7580.5409314120616</v>
      </c>
      <c r="H13" s="11">
        <f>G13/60</f>
        <v>126.34234885686769</v>
      </c>
      <c r="I13" s="11">
        <f>H13/24</f>
        <v>5.2642645357028206</v>
      </c>
      <c r="J13" s="4"/>
      <c r="K13" s="5">
        <v>521.9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62C2-05AD-4EDF-8FA5-0FC927BA6B9A}">
  <dimension ref="A1:AI49"/>
  <sheetViews>
    <sheetView zoomScale="85" zoomScaleNormal="85" workbookViewId="0"/>
  </sheetViews>
  <sheetFormatPr defaultColWidth="28.08203125" defaultRowHeight="14"/>
  <cols>
    <col min="1" max="1" width="7.83203125" style="17" customWidth="1"/>
    <col min="2" max="2" width="6.25" style="17" bestFit="1" customWidth="1"/>
    <col min="3" max="7" width="12.58203125" style="17" customWidth="1"/>
    <col min="8" max="8" width="7.4140625" style="17" customWidth="1"/>
    <col min="9" max="9" width="4.83203125" style="17" customWidth="1"/>
    <col min="10" max="10" width="7.33203125" style="17" customWidth="1"/>
    <col min="11" max="11" width="6.33203125" style="17" bestFit="1" customWidth="1"/>
    <col min="12" max="16" width="11.83203125" style="17" customWidth="1"/>
    <col min="17" max="17" width="7.4140625" style="17" customWidth="1"/>
    <col min="18" max="18" width="5.75" style="17" customWidth="1"/>
    <col min="19" max="20" width="6.75" style="17" customWidth="1"/>
    <col min="21" max="23" width="12.33203125" style="17" customWidth="1"/>
    <col min="24" max="24" width="12.33203125" style="17" hidden="1" customWidth="1"/>
    <col min="25" max="25" width="12.33203125" style="17" customWidth="1"/>
    <col min="26" max="26" width="7.4140625" style="17" customWidth="1"/>
    <col min="27" max="27" width="6.33203125" style="17" customWidth="1"/>
    <col min="28" max="28" width="6.58203125" style="17" customWidth="1"/>
    <col min="29" max="29" width="6.33203125" style="17" bestFit="1" customWidth="1"/>
    <col min="30" max="32" width="11.58203125" style="17" customWidth="1"/>
    <col min="33" max="33" width="11.58203125" style="17" hidden="1" customWidth="1"/>
    <col min="34" max="34" width="11.58203125" style="17" customWidth="1"/>
    <col min="35" max="35" width="7.08203125" style="17" customWidth="1"/>
    <col min="36" max="16384" width="28.08203125" style="17"/>
  </cols>
  <sheetData>
    <row r="1" spans="1:26" ht="26">
      <c r="A1" s="15">
        <v>2003</v>
      </c>
      <c r="B1" s="15" t="s">
        <v>9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6" t="s">
        <v>37</v>
      </c>
      <c r="Q1" s="16"/>
      <c r="Z1" s="16"/>
    </row>
    <row r="2" spans="1:26" ht="26">
      <c r="A2" s="15" t="s">
        <v>5</v>
      </c>
      <c r="B2" s="15"/>
      <c r="C2" s="15"/>
      <c r="D2" s="15"/>
      <c r="E2" s="15"/>
      <c r="F2" s="15"/>
      <c r="G2" s="15"/>
      <c r="H2" s="16"/>
      <c r="Q2" s="16"/>
      <c r="Z2" s="16"/>
    </row>
    <row r="3" spans="1:26">
      <c r="A3" s="15">
        <v>1</v>
      </c>
      <c r="B3" s="19">
        <v>0.60299999999999998</v>
      </c>
      <c r="C3" s="20">
        <v>11484.314</v>
      </c>
      <c r="D3" s="20">
        <v>6013</v>
      </c>
      <c r="E3" s="20">
        <v>1.9099139999999999</v>
      </c>
      <c r="F3" s="20">
        <v>1.2153419999999999</v>
      </c>
      <c r="G3" s="20">
        <v>1.4669080000000001</v>
      </c>
      <c r="H3" s="21">
        <v>1</v>
      </c>
      <c r="Q3" s="14"/>
      <c r="Z3" s="14"/>
    </row>
    <row r="4" spans="1:26">
      <c r="A4" s="15">
        <v>2</v>
      </c>
      <c r="B4" s="19">
        <v>0.22459999999999999</v>
      </c>
      <c r="C4" s="20">
        <v>404097.152</v>
      </c>
      <c r="D4" s="20">
        <v>2211</v>
      </c>
      <c r="E4" s="20">
        <v>182.76669000000001</v>
      </c>
      <c r="F4" s="20">
        <v>101.391473</v>
      </c>
      <c r="G4" s="20">
        <v>51.615912000000002</v>
      </c>
      <c r="H4" s="21">
        <v>941.1</v>
      </c>
      <c r="Q4" s="14"/>
      <c r="Z4" s="14"/>
    </row>
    <row r="5" spans="1:26">
      <c r="A5" s="15">
        <v>3</v>
      </c>
      <c r="B5" s="19">
        <v>4.7500000000000001E-2</v>
      </c>
      <c r="C5" s="20">
        <v>111099.35</v>
      </c>
      <c r="D5" s="20">
        <v>512</v>
      </c>
      <c r="E5" s="20">
        <v>216.99091799999999</v>
      </c>
      <c r="F5" s="20">
        <v>154.42049499999999</v>
      </c>
      <c r="G5" s="20">
        <v>14.19088</v>
      </c>
      <c r="H5" s="21">
        <v>293.5</v>
      </c>
      <c r="Q5" s="14"/>
      <c r="Z5" s="14"/>
    </row>
    <row r="6" spans="1:26">
      <c r="A6" s="15">
        <v>4</v>
      </c>
      <c r="B6" s="19">
        <v>0.114</v>
      </c>
      <c r="C6" s="20">
        <v>256011.49100000001</v>
      </c>
      <c r="D6" s="20">
        <v>1151</v>
      </c>
      <c r="E6" s="20">
        <v>222.425275</v>
      </c>
      <c r="F6" s="20">
        <v>156.76627099999999</v>
      </c>
      <c r="G6" s="20">
        <v>32.700716999999997</v>
      </c>
      <c r="H6" s="21">
        <v>303.60000000000002</v>
      </c>
      <c r="Q6" s="14"/>
      <c r="Z6" s="14"/>
    </row>
    <row r="7" spans="1:26">
      <c r="A7" s="15">
        <v>5</v>
      </c>
      <c r="B7" s="19">
        <v>1.09E-2</v>
      </c>
      <c r="C7" s="20">
        <v>200.28700000000001</v>
      </c>
      <c r="D7" s="20">
        <v>113</v>
      </c>
      <c r="E7" s="20">
        <v>1.772451</v>
      </c>
      <c r="F7" s="20">
        <v>9.586843</v>
      </c>
      <c r="G7" s="20">
        <v>2.5583000000000002E-8</v>
      </c>
      <c r="H7" s="21">
        <v>1</v>
      </c>
      <c r="Q7" s="14"/>
      <c r="Z7" s="14"/>
    </row>
    <row r="8" spans="1:26">
      <c r="B8" s="22"/>
      <c r="E8" s="13">
        <f>SUMPRODUCT(B3:B7,E3:E7)</f>
        <v>77.883946386899993</v>
      </c>
      <c r="H8" s="13">
        <f>SUMPRODUCT(B3:B7,H3:H7)</f>
        <v>260.53661</v>
      </c>
      <c r="Q8" s="18"/>
      <c r="Z8" s="18"/>
    </row>
    <row r="9" spans="1:26">
      <c r="B9" s="22"/>
      <c r="E9" s="13"/>
      <c r="Q9" s="18"/>
      <c r="Z9" s="18"/>
    </row>
    <row r="10" spans="1:26" ht="26">
      <c r="A10" s="15" t="s">
        <v>6</v>
      </c>
      <c r="B10" s="15" t="s">
        <v>9</v>
      </c>
      <c r="C10" s="15" t="s">
        <v>0</v>
      </c>
      <c r="D10" s="15" t="s">
        <v>1</v>
      </c>
      <c r="E10" s="15" t="s">
        <v>2</v>
      </c>
      <c r="F10" s="15" t="s">
        <v>3</v>
      </c>
      <c r="G10" s="15" t="s">
        <v>4</v>
      </c>
      <c r="H10" s="16" t="s">
        <v>37</v>
      </c>
      <c r="Q10" s="16"/>
      <c r="Z10" s="16"/>
    </row>
    <row r="11" spans="1:26" ht="26">
      <c r="A11" s="15" t="s">
        <v>5</v>
      </c>
      <c r="B11" s="23"/>
      <c r="C11" s="15"/>
      <c r="D11" s="15"/>
      <c r="E11" s="15"/>
      <c r="F11" s="15"/>
      <c r="G11" s="15"/>
      <c r="H11" s="16"/>
      <c r="Q11" s="16"/>
      <c r="Z11" s="16"/>
    </row>
    <row r="12" spans="1:26">
      <c r="A12" s="15">
        <v>1</v>
      </c>
      <c r="B12" s="19">
        <v>0.60299999999999998</v>
      </c>
      <c r="C12" s="20">
        <v>4761.0209999999997</v>
      </c>
      <c r="D12" s="24">
        <v>6104</v>
      </c>
      <c r="E12" s="24">
        <v>7.7998400000000003E-7</v>
      </c>
      <c r="F12" s="24">
        <v>6.6902500000000002E-7</v>
      </c>
      <c r="G12" s="24">
        <v>8.3123970000000007</v>
      </c>
      <c r="H12" s="25">
        <v>1</v>
      </c>
      <c r="Q12" s="25"/>
      <c r="Z12" s="25"/>
    </row>
    <row r="13" spans="1:26">
      <c r="A13" s="15">
        <v>2</v>
      </c>
      <c r="B13" s="19">
        <v>0.22459999999999999</v>
      </c>
      <c r="C13" s="20">
        <v>18215.063999999998</v>
      </c>
      <c r="D13" s="24">
        <v>2224</v>
      </c>
      <c r="E13" s="24">
        <v>8.1902270000000001</v>
      </c>
      <c r="F13" s="24">
        <v>5.5119030000000002</v>
      </c>
      <c r="G13" s="24">
        <v>31.802181000000001</v>
      </c>
      <c r="H13" s="25">
        <v>942.4</v>
      </c>
      <c r="Q13" s="25"/>
      <c r="Z13" s="25"/>
    </row>
    <row r="14" spans="1:26">
      <c r="A14" s="15">
        <v>3</v>
      </c>
      <c r="B14" s="19">
        <v>4.7500000000000001E-2</v>
      </c>
      <c r="C14" s="20">
        <v>9833.4609999999993</v>
      </c>
      <c r="D14" s="24">
        <v>472</v>
      </c>
      <c r="E14" s="24">
        <v>20.833604000000001</v>
      </c>
      <c r="F14" s="24">
        <v>22.772856000000001</v>
      </c>
      <c r="G14" s="24">
        <v>17.168510000000001</v>
      </c>
      <c r="H14" s="25">
        <v>293.7</v>
      </c>
      <c r="Q14" s="25"/>
      <c r="Z14" s="25"/>
    </row>
    <row r="15" spans="1:26">
      <c r="A15" s="15">
        <v>4</v>
      </c>
      <c r="B15" s="19">
        <v>0.114</v>
      </c>
      <c r="C15" s="20">
        <v>24293.846000000001</v>
      </c>
      <c r="D15" s="24">
        <v>1095</v>
      </c>
      <c r="E15" s="24">
        <v>22.186160999999998</v>
      </c>
      <c r="F15" s="24">
        <v>20.771301999999999</v>
      </c>
      <c r="G15" s="24">
        <v>42.415292999999998</v>
      </c>
      <c r="H15" s="25">
        <v>270.2</v>
      </c>
      <c r="Q15" s="25"/>
      <c r="Z15" s="25"/>
    </row>
    <row r="16" spans="1:26">
      <c r="A16" s="15">
        <v>5</v>
      </c>
      <c r="B16" s="19">
        <v>1.09E-2</v>
      </c>
      <c r="C16" s="20">
        <v>172.756</v>
      </c>
      <c r="D16" s="24">
        <v>105</v>
      </c>
      <c r="E16" s="24">
        <v>1.645295</v>
      </c>
      <c r="F16" s="24">
        <v>5.0284560000000003</v>
      </c>
      <c r="G16" s="24">
        <v>3.0161900000000005E-7</v>
      </c>
      <c r="H16" s="25">
        <v>1</v>
      </c>
      <c r="Q16" s="25"/>
      <c r="Z16" s="25"/>
    </row>
    <row r="17" spans="1:35">
      <c r="B17" s="22"/>
      <c r="E17" s="13">
        <f>SUMPRODUCT(B12:B16,E12:E16)</f>
        <v>5.3762777140303513</v>
      </c>
      <c r="F17" s="13">
        <f>SQRT(SUMPRODUCT(B12:B16,F12:F16)/SUM(B12:B16))</f>
        <v>2.1777105123551372</v>
      </c>
      <c r="H17" s="13">
        <f>SUMPRODUCT(B12:B16,H12:H16)</f>
        <v>257.03048999999999</v>
      </c>
    </row>
    <row r="18" spans="1:35">
      <c r="B18" s="22"/>
    </row>
    <row r="19" spans="1:35" ht="39">
      <c r="A19" s="15" t="s">
        <v>7</v>
      </c>
      <c r="B19" s="15" t="s">
        <v>9</v>
      </c>
      <c r="C19" s="15" t="s">
        <v>0</v>
      </c>
      <c r="D19" s="15" t="s">
        <v>1</v>
      </c>
      <c r="E19" s="15" t="s">
        <v>2</v>
      </c>
      <c r="F19" s="15" t="s">
        <v>3</v>
      </c>
      <c r="G19" s="15" t="s">
        <v>4</v>
      </c>
      <c r="H19" s="16" t="s">
        <v>37</v>
      </c>
      <c r="J19" s="15" t="s">
        <v>8</v>
      </c>
      <c r="K19" s="15" t="s">
        <v>9</v>
      </c>
      <c r="L19" s="15" t="s">
        <v>0</v>
      </c>
      <c r="M19" s="15" t="s">
        <v>1</v>
      </c>
      <c r="N19" s="15" t="s">
        <v>2</v>
      </c>
      <c r="O19" s="15" t="s">
        <v>3</v>
      </c>
      <c r="P19" s="15" t="s">
        <v>4</v>
      </c>
      <c r="Q19" s="16" t="s">
        <v>37</v>
      </c>
      <c r="S19" s="15">
        <v>2013</v>
      </c>
      <c r="T19" s="15" t="s">
        <v>9</v>
      </c>
      <c r="U19" s="15" t="s">
        <v>0</v>
      </c>
      <c r="V19" s="15" t="s">
        <v>1</v>
      </c>
      <c r="W19" s="15" t="s">
        <v>2</v>
      </c>
      <c r="X19" s="15" t="s">
        <v>3</v>
      </c>
      <c r="Y19" s="15" t="s">
        <v>4</v>
      </c>
      <c r="Z19" s="16" t="s">
        <v>37</v>
      </c>
    </row>
    <row r="20" spans="1:35" ht="26">
      <c r="A20" s="15" t="s">
        <v>5</v>
      </c>
      <c r="B20" s="23"/>
      <c r="C20" s="15"/>
      <c r="D20" s="15"/>
      <c r="E20" s="15"/>
      <c r="F20" s="15"/>
      <c r="G20" s="15"/>
      <c r="H20" s="16"/>
      <c r="J20" s="15" t="s">
        <v>5</v>
      </c>
      <c r="K20" s="23"/>
      <c r="L20" s="15"/>
      <c r="M20" s="15"/>
      <c r="N20" s="15"/>
      <c r="O20" s="15"/>
      <c r="P20" s="15"/>
      <c r="Q20" s="16"/>
      <c r="S20" s="15" t="s">
        <v>5</v>
      </c>
      <c r="T20" s="23"/>
      <c r="U20" s="15"/>
      <c r="V20" s="15"/>
      <c r="W20" s="15"/>
      <c r="X20" s="15"/>
      <c r="Y20" s="15"/>
      <c r="Z20" s="16"/>
    </row>
    <row r="21" spans="1:35">
      <c r="A21" s="15">
        <v>1</v>
      </c>
      <c r="B21" s="19">
        <v>0.1066</v>
      </c>
      <c r="C21" s="20">
        <v>1001.5359999999999</v>
      </c>
      <c r="D21" s="20">
        <v>1878</v>
      </c>
      <c r="E21" s="20">
        <v>5.3329900000000002E-7</v>
      </c>
      <c r="F21" s="20">
        <v>5.25048E-7</v>
      </c>
      <c r="G21" s="20">
        <v>8.6367999999999996E-8</v>
      </c>
      <c r="H21" s="14">
        <v>1</v>
      </c>
      <c r="J21" s="15">
        <v>1</v>
      </c>
      <c r="K21" s="19">
        <v>0.1066</v>
      </c>
      <c r="L21" s="20">
        <v>1476.6030000000001</v>
      </c>
      <c r="M21" s="20">
        <v>1866</v>
      </c>
      <c r="N21" s="20">
        <v>7.9132000000000007E-7</v>
      </c>
      <c r="O21" s="20">
        <v>4.5006699999999998E-7</v>
      </c>
      <c r="P21" s="20">
        <v>3.8664689999999999</v>
      </c>
      <c r="Q21" s="14">
        <v>1</v>
      </c>
      <c r="S21" s="15">
        <v>1</v>
      </c>
      <c r="T21" s="19">
        <v>0.1066</v>
      </c>
      <c r="U21" s="20">
        <v>3612.37</v>
      </c>
      <c r="V21" s="20">
        <v>1870</v>
      </c>
      <c r="W21" s="20">
        <v>1.9317489999999999</v>
      </c>
      <c r="X21" s="20">
        <v>1.3156060000000001</v>
      </c>
      <c r="Y21" s="20">
        <v>7.0323999999999994E-7</v>
      </c>
      <c r="Z21" s="14">
        <v>1</v>
      </c>
    </row>
    <row r="22" spans="1:35">
      <c r="A22" s="15">
        <v>2</v>
      </c>
      <c r="B22" s="19">
        <v>1.3299999999999999E-2</v>
      </c>
      <c r="C22" s="20">
        <v>1756.271</v>
      </c>
      <c r="D22" s="20">
        <v>235</v>
      </c>
      <c r="E22" s="20">
        <v>7.4734939999999996</v>
      </c>
      <c r="F22" s="20">
        <v>5.2624649999999997</v>
      </c>
      <c r="G22" s="20">
        <v>1.51453E-7</v>
      </c>
      <c r="H22" s="14">
        <v>1007</v>
      </c>
      <c r="J22" s="15">
        <v>2</v>
      </c>
      <c r="K22" s="19">
        <v>1.3299999999999999E-2</v>
      </c>
      <c r="L22" s="20">
        <v>4379.5309999999999</v>
      </c>
      <c r="M22" s="20">
        <v>253</v>
      </c>
      <c r="N22" s="20">
        <v>17.310399</v>
      </c>
      <c r="O22" s="20">
        <v>12.164324000000001</v>
      </c>
      <c r="P22" s="20">
        <v>11.467753999999999</v>
      </c>
      <c r="Q22" s="14">
        <v>559.20000000000005</v>
      </c>
      <c r="S22" s="15">
        <v>2</v>
      </c>
      <c r="T22" s="19">
        <v>1.3299999999999999E-2</v>
      </c>
      <c r="U22" s="20">
        <v>80758.187000000005</v>
      </c>
      <c r="V22" s="20">
        <v>250</v>
      </c>
      <c r="W22" s="20">
        <v>323.03274800000003</v>
      </c>
      <c r="X22" s="20">
        <v>169.00903199999999</v>
      </c>
      <c r="Y22" s="20">
        <v>15.721648</v>
      </c>
      <c r="Z22" s="14">
        <v>966.7</v>
      </c>
    </row>
    <row r="23" spans="1:35">
      <c r="A23" s="15">
        <v>3</v>
      </c>
      <c r="B23" s="19">
        <v>0.14130000000000001</v>
      </c>
      <c r="C23" s="20">
        <v>1151521.747</v>
      </c>
      <c r="D23" s="20">
        <v>2570</v>
      </c>
      <c r="E23" s="20">
        <v>448.06293699999998</v>
      </c>
      <c r="F23" s="20">
        <v>252.06518299999999</v>
      </c>
      <c r="G23" s="20">
        <v>99.302346</v>
      </c>
      <c r="H23" s="14">
        <v>418.3</v>
      </c>
      <c r="J23" s="15">
        <v>3</v>
      </c>
      <c r="K23" s="19">
        <v>0.14130000000000001</v>
      </c>
      <c r="L23" s="20">
        <v>21221.743999999999</v>
      </c>
      <c r="M23" s="20">
        <v>2493</v>
      </c>
      <c r="N23" s="20">
        <v>8.5125329999999995</v>
      </c>
      <c r="O23" s="20">
        <v>9.7662019999999998</v>
      </c>
      <c r="P23" s="20">
        <v>55.568904000000003</v>
      </c>
      <c r="Q23" s="14">
        <v>426.3</v>
      </c>
      <c r="S23" s="15">
        <v>3</v>
      </c>
      <c r="T23" s="19">
        <v>0.14130000000000001</v>
      </c>
      <c r="U23" s="20">
        <v>429210.46799999999</v>
      </c>
      <c r="V23" s="20">
        <v>2600</v>
      </c>
      <c r="W23" s="20">
        <v>165.080949</v>
      </c>
      <c r="X23" s="20">
        <v>95.267078999999995</v>
      </c>
      <c r="Y23" s="20">
        <v>83.556804</v>
      </c>
      <c r="Z23" s="14">
        <v>415.9</v>
      </c>
    </row>
    <row r="24" spans="1:35">
      <c r="A24" s="15">
        <v>4</v>
      </c>
      <c r="B24" s="19">
        <v>5.4699999999999999E-2</v>
      </c>
      <c r="C24" s="20">
        <v>1163.9100000000001</v>
      </c>
      <c r="D24" s="20">
        <v>989</v>
      </c>
      <c r="E24" s="20">
        <v>1.176855</v>
      </c>
      <c r="F24" s="20">
        <v>21.235512</v>
      </c>
      <c r="G24" s="20">
        <v>1.0037100000000001E-7</v>
      </c>
      <c r="H24" s="14">
        <v>1</v>
      </c>
      <c r="J24" s="15">
        <v>4</v>
      </c>
      <c r="K24" s="19">
        <v>5.4699999999999999E-2</v>
      </c>
      <c r="L24" s="20">
        <v>1108.655</v>
      </c>
      <c r="M24" s="20">
        <v>968</v>
      </c>
      <c r="N24" s="20">
        <v>1.145305</v>
      </c>
      <c r="O24" s="20">
        <v>4.3559590000000004</v>
      </c>
      <c r="P24" s="20">
        <v>2.9030010000000002</v>
      </c>
      <c r="Q24" s="14">
        <v>1</v>
      </c>
      <c r="S24" s="15">
        <v>4</v>
      </c>
      <c r="T24" s="19">
        <v>5.4699999999999999E-2</v>
      </c>
      <c r="U24" s="20">
        <v>19.972999999999999</v>
      </c>
      <c r="V24" s="20">
        <v>929</v>
      </c>
      <c r="W24" s="20">
        <v>2.1498999999999999E-8</v>
      </c>
      <c r="X24" s="20">
        <v>9.1780000000000012E-9</v>
      </c>
      <c r="Y24" s="20">
        <v>3.8879999999999998E-9</v>
      </c>
      <c r="Z24" s="14">
        <v>1</v>
      </c>
    </row>
    <row r="25" spans="1:35">
      <c r="A25" s="15">
        <v>5</v>
      </c>
      <c r="B25" s="19">
        <v>4.6800000000000001E-2</v>
      </c>
      <c r="C25" s="20">
        <v>21.917999999999999</v>
      </c>
      <c r="D25" s="20">
        <v>839</v>
      </c>
      <c r="E25" s="20">
        <v>2.6124000000000003E-8</v>
      </c>
      <c r="F25" s="20">
        <v>1.3717999999999999E-8</v>
      </c>
      <c r="G25" s="20">
        <v>1.8899999999999999E-9</v>
      </c>
      <c r="H25" s="14">
        <v>0.16</v>
      </c>
      <c r="J25" s="15">
        <v>5</v>
      </c>
      <c r="K25" s="19">
        <v>4.6800000000000001E-2</v>
      </c>
      <c r="L25" s="20">
        <v>1655.7429999999999</v>
      </c>
      <c r="M25" s="20">
        <v>817</v>
      </c>
      <c r="N25" s="20">
        <v>2.0266130000000002</v>
      </c>
      <c r="O25" s="20">
        <v>6.5651840000000004</v>
      </c>
      <c r="P25" s="20">
        <v>4.3355449999999998</v>
      </c>
      <c r="Q25" s="14">
        <v>0.17</v>
      </c>
      <c r="S25" s="15">
        <v>5</v>
      </c>
      <c r="T25" s="19">
        <v>4.6800000000000001E-2</v>
      </c>
      <c r="U25" s="20">
        <v>10.08</v>
      </c>
      <c r="V25" s="20">
        <v>857</v>
      </c>
      <c r="W25" s="20">
        <v>1.1762E-8</v>
      </c>
      <c r="X25" s="20">
        <v>6.278E-9</v>
      </c>
      <c r="Y25" s="20">
        <v>1.962E-9</v>
      </c>
      <c r="Z25" s="14">
        <v>0.16</v>
      </c>
    </row>
    <row r="26" spans="1:35">
      <c r="A26" s="15">
        <v>6</v>
      </c>
      <c r="B26" s="19">
        <v>0.10780000000000001</v>
      </c>
      <c r="C26" s="20">
        <v>4046.9490000000001</v>
      </c>
      <c r="D26" s="20">
        <v>1939</v>
      </c>
      <c r="E26" s="20">
        <v>2.087132</v>
      </c>
      <c r="F26" s="20">
        <v>19.679151000000001</v>
      </c>
      <c r="G26" s="20">
        <v>3.4899200000000001E-7</v>
      </c>
      <c r="H26" s="14">
        <v>1</v>
      </c>
      <c r="J26" s="15">
        <v>6</v>
      </c>
      <c r="K26" s="19">
        <v>0.10780000000000001</v>
      </c>
      <c r="L26" s="20">
        <v>6825.6790000000001</v>
      </c>
      <c r="M26" s="20">
        <v>1976</v>
      </c>
      <c r="N26" s="20">
        <v>3.454291</v>
      </c>
      <c r="O26" s="20">
        <v>7.93215</v>
      </c>
      <c r="P26" s="20">
        <v>17.872966000000002</v>
      </c>
      <c r="Q26" s="14">
        <v>1</v>
      </c>
      <c r="S26" s="15">
        <v>6</v>
      </c>
      <c r="T26" s="19">
        <v>0.10780000000000001</v>
      </c>
      <c r="U26" s="20">
        <v>32.515000000000001</v>
      </c>
      <c r="V26" s="20">
        <v>1940</v>
      </c>
      <c r="W26" s="20">
        <v>1.6759999999999999E-8</v>
      </c>
      <c r="X26" s="20">
        <v>6.7590000000000003E-9</v>
      </c>
      <c r="Y26" s="20">
        <v>6.3299999999999994E-9</v>
      </c>
      <c r="Z26" s="14">
        <v>1</v>
      </c>
    </row>
    <row r="27" spans="1:35">
      <c r="A27" s="15">
        <v>7</v>
      </c>
      <c r="B27" s="19">
        <v>3.49E-2</v>
      </c>
      <c r="C27" s="20">
        <v>14.456</v>
      </c>
      <c r="D27" s="20">
        <v>661</v>
      </c>
      <c r="E27" s="20">
        <v>2.187E-8</v>
      </c>
      <c r="F27" s="20">
        <v>1.1472E-8</v>
      </c>
      <c r="G27" s="20">
        <v>1.2470000000000001E-9</v>
      </c>
      <c r="H27" s="14">
        <v>4</v>
      </c>
      <c r="J27" s="15">
        <v>7</v>
      </c>
      <c r="K27" s="19">
        <v>3.49E-2</v>
      </c>
      <c r="L27" s="20">
        <v>700.51</v>
      </c>
      <c r="M27" s="20">
        <v>654</v>
      </c>
      <c r="N27" s="20">
        <v>1.071116</v>
      </c>
      <c r="O27" s="20">
        <v>3.4017599999999999</v>
      </c>
      <c r="P27" s="20">
        <v>1.8342780000000001</v>
      </c>
      <c r="Q27" s="14">
        <v>4</v>
      </c>
      <c r="S27" s="15">
        <v>7</v>
      </c>
      <c r="T27" s="19">
        <v>3.49E-2</v>
      </c>
      <c r="U27" s="20">
        <v>12.382</v>
      </c>
      <c r="V27" s="20">
        <v>629</v>
      </c>
      <c r="W27" s="20">
        <v>1.9685000000000001E-8</v>
      </c>
      <c r="X27" s="20">
        <v>6.8020000000000003E-9</v>
      </c>
      <c r="Y27" s="20">
        <v>2.4099999999999997E-9</v>
      </c>
      <c r="Z27" s="14">
        <v>4</v>
      </c>
    </row>
    <row r="28" spans="1:35">
      <c r="A28" s="15">
        <v>8</v>
      </c>
      <c r="B28" s="19">
        <v>2.63E-2</v>
      </c>
      <c r="C28" s="20">
        <v>9.4640000000000004</v>
      </c>
      <c r="D28" s="20">
        <v>468</v>
      </c>
      <c r="E28" s="20">
        <v>2.0222000000000001E-8</v>
      </c>
      <c r="F28" s="20">
        <v>9.9100000000000007E-9</v>
      </c>
      <c r="G28" s="20">
        <v>8.1599999999999997E-10</v>
      </c>
      <c r="H28" s="14">
        <v>1</v>
      </c>
      <c r="J28" s="15">
        <v>8</v>
      </c>
      <c r="K28" s="19">
        <v>2.63E-2</v>
      </c>
      <c r="L28" s="20">
        <v>18.888999999999999</v>
      </c>
      <c r="M28" s="20">
        <v>458</v>
      </c>
      <c r="N28" s="20">
        <v>4.1242E-8</v>
      </c>
      <c r="O28" s="20">
        <v>7.2325999999999995E-8</v>
      </c>
      <c r="P28" s="20">
        <v>4.9460999999999995E-8</v>
      </c>
      <c r="Q28" s="14">
        <v>1</v>
      </c>
      <c r="S28" s="15">
        <v>8</v>
      </c>
      <c r="T28" s="19">
        <v>2.63E-2</v>
      </c>
      <c r="U28" s="20">
        <v>8.6150000000000002</v>
      </c>
      <c r="V28" s="20">
        <v>440</v>
      </c>
      <c r="W28" s="20">
        <v>1.9580000000000001E-8</v>
      </c>
      <c r="X28" s="20">
        <v>7.1520000000000001E-9</v>
      </c>
      <c r="Y28" s="20">
        <v>1.6770000000000001E-9</v>
      </c>
      <c r="Z28" s="14">
        <v>1</v>
      </c>
    </row>
    <row r="29" spans="1:35">
      <c r="A29" s="15">
        <v>9</v>
      </c>
      <c r="B29" s="19">
        <v>2.7300000000000001E-2</v>
      </c>
      <c r="C29" s="20">
        <v>75.572000000000003</v>
      </c>
      <c r="D29" s="20">
        <v>421</v>
      </c>
      <c r="E29" s="20">
        <v>1.7950599999999999E-7</v>
      </c>
      <c r="F29" s="20">
        <v>8.7822400000000004E-7</v>
      </c>
      <c r="G29" s="20">
        <v>6.5170000000000006E-9</v>
      </c>
      <c r="H29" s="14">
        <v>0.13</v>
      </c>
      <c r="J29" s="15">
        <v>9</v>
      </c>
      <c r="K29" s="19">
        <v>2.7300000000000001E-2</v>
      </c>
      <c r="L29" s="20">
        <v>802.60900000000004</v>
      </c>
      <c r="M29" s="20">
        <v>515</v>
      </c>
      <c r="N29" s="20">
        <v>1.5584640000000001</v>
      </c>
      <c r="O29" s="20">
        <v>4.5695829999999997</v>
      </c>
      <c r="P29" s="20">
        <v>2.101623</v>
      </c>
      <c r="Q29" s="14">
        <v>0.08</v>
      </c>
      <c r="S29" s="15">
        <v>9</v>
      </c>
      <c r="T29" s="19">
        <v>2.7300000000000001E-2</v>
      </c>
      <c r="U29" s="20">
        <v>10.473000000000001</v>
      </c>
      <c r="V29" s="20">
        <v>485</v>
      </c>
      <c r="W29" s="20">
        <v>2.1593999999999998E-8</v>
      </c>
      <c r="X29" s="20">
        <v>9.6820000000000003E-9</v>
      </c>
      <c r="Y29" s="20">
        <v>2.0390000000000001E-9</v>
      </c>
      <c r="Z29" s="14">
        <v>0.88</v>
      </c>
    </row>
    <row r="30" spans="1:35">
      <c r="B30" s="22"/>
      <c r="E30" s="13">
        <f>SUMPRODUCT(B21:B29,E21:E29)</f>
        <v>63.700057330667896</v>
      </c>
      <c r="H30" s="13">
        <f>SUMPRODUCT(B21:B29,H21:H29)</f>
        <v>72.944927000000007</v>
      </c>
      <c r="N30" s="13">
        <f>SUMPRODUCT(K21:K29,N21:N29)</f>
        <v>2.0428435623393768</v>
      </c>
      <c r="O30" s="13">
        <f>SQRT(SUMPRODUCT(K21:K29,O21:O29)/SUM(K21:K29))</f>
        <v>2.3872905428746951</v>
      </c>
      <c r="Q30" s="13">
        <f>SUMPRODUCT(K21:K29,Q21:Q29)</f>
        <v>68.118690000000001</v>
      </c>
      <c r="W30" s="13">
        <f>SUMPRODUCT(T21:T29,W21:W29)</f>
        <v>27.828198090824664</v>
      </c>
      <c r="Z30" s="13">
        <f>SUMPRODUCT(T21:T29,Z21:Z29)</f>
        <v>72.090291999999991</v>
      </c>
    </row>
    <row r="31" spans="1:35">
      <c r="B31" s="22"/>
    </row>
    <row r="32" spans="1:35" ht="39">
      <c r="A32" s="15" t="s">
        <v>10</v>
      </c>
      <c r="B32" s="15" t="s">
        <v>9</v>
      </c>
      <c r="C32" s="15" t="s">
        <v>0</v>
      </c>
      <c r="D32" s="15" t="s">
        <v>1</v>
      </c>
      <c r="E32" s="15" t="s">
        <v>2</v>
      </c>
      <c r="F32" s="15" t="s">
        <v>3</v>
      </c>
      <c r="G32" s="15" t="s">
        <v>4</v>
      </c>
      <c r="H32" s="16" t="s">
        <v>37</v>
      </c>
      <c r="J32" s="15" t="s">
        <v>11</v>
      </c>
      <c r="K32" s="15" t="s">
        <v>9</v>
      </c>
      <c r="L32" s="15" t="s">
        <v>0</v>
      </c>
      <c r="M32" s="15" t="s">
        <v>1</v>
      </c>
      <c r="N32" s="15" t="s">
        <v>2</v>
      </c>
      <c r="O32" s="15" t="s">
        <v>3</v>
      </c>
      <c r="P32" s="15" t="s">
        <v>4</v>
      </c>
      <c r="Q32" s="16" t="s">
        <v>37</v>
      </c>
      <c r="S32" s="15" t="s">
        <v>12</v>
      </c>
      <c r="T32" s="15" t="s">
        <v>9</v>
      </c>
      <c r="U32" s="15" t="s">
        <v>0</v>
      </c>
      <c r="V32" s="15" t="s">
        <v>1</v>
      </c>
      <c r="W32" s="15" t="s">
        <v>2</v>
      </c>
      <c r="X32" s="15" t="s">
        <v>3</v>
      </c>
      <c r="Y32" s="15" t="s">
        <v>4</v>
      </c>
      <c r="Z32" s="16" t="s">
        <v>37</v>
      </c>
      <c r="AB32" s="15">
        <v>2023</v>
      </c>
      <c r="AC32" s="15" t="s">
        <v>9</v>
      </c>
      <c r="AD32" s="15" t="s">
        <v>0</v>
      </c>
      <c r="AE32" s="15" t="s">
        <v>1</v>
      </c>
      <c r="AF32" s="15" t="s">
        <v>2</v>
      </c>
      <c r="AG32" s="15" t="s">
        <v>3</v>
      </c>
      <c r="AH32" s="15" t="s">
        <v>4</v>
      </c>
      <c r="AI32" s="16" t="s">
        <v>37</v>
      </c>
    </row>
    <row r="33" spans="1:35" ht="26">
      <c r="A33" s="15" t="s">
        <v>5</v>
      </c>
      <c r="B33" s="23"/>
      <c r="C33" s="15"/>
      <c r="D33" s="15"/>
      <c r="E33" s="15"/>
      <c r="F33" s="15"/>
      <c r="G33" s="15"/>
      <c r="H33" s="16"/>
      <c r="J33" s="15" t="s">
        <v>5</v>
      </c>
      <c r="K33" s="23"/>
      <c r="L33" s="15"/>
      <c r="M33" s="15"/>
      <c r="N33" s="15"/>
      <c r="O33" s="15"/>
      <c r="P33" s="15"/>
      <c r="Q33" s="16"/>
      <c r="S33" s="15" t="s">
        <v>5</v>
      </c>
      <c r="T33" s="23"/>
      <c r="U33" s="15"/>
      <c r="V33" s="15"/>
      <c r="W33" s="15"/>
      <c r="X33" s="15"/>
      <c r="Y33" s="15"/>
      <c r="Z33" s="16"/>
      <c r="AB33" s="15" t="s">
        <v>5</v>
      </c>
      <c r="AC33" s="23"/>
      <c r="AD33" s="15"/>
      <c r="AE33" s="15"/>
      <c r="AF33" s="15"/>
      <c r="AG33" s="15"/>
      <c r="AH33" s="15"/>
    </row>
    <row r="34" spans="1:35">
      <c r="A34" s="15">
        <v>1</v>
      </c>
      <c r="B34" s="19">
        <v>7.9299999999999995E-2</v>
      </c>
      <c r="C34" s="20">
        <v>6573421</v>
      </c>
      <c r="D34" s="20">
        <v>837</v>
      </c>
      <c r="E34" s="20">
        <v>7.8535500000000003</v>
      </c>
      <c r="F34" s="20">
        <v>5.4695960000000001</v>
      </c>
      <c r="G34" s="20">
        <v>2.0286999999999998E-8</v>
      </c>
      <c r="H34" s="14">
        <v>937</v>
      </c>
      <c r="J34" s="15">
        <v>1</v>
      </c>
      <c r="K34" s="19">
        <v>7.9299999999999995E-2</v>
      </c>
      <c r="L34" s="20">
        <v>1184821000</v>
      </c>
      <c r="M34" s="20">
        <v>848</v>
      </c>
      <c r="N34" s="20">
        <v>1397.194829</v>
      </c>
      <c r="O34" s="20">
        <v>619.54401299999995</v>
      </c>
      <c r="P34" s="20">
        <v>5.0254719999999997</v>
      </c>
      <c r="Q34" s="14">
        <v>953.2</v>
      </c>
      <c r="S34" s="15">
        <v>1</v>
      </c>
      <c r="T34" s="19">
        <v>7.9299999999999995E-2</v>
      </c>
      <c r="U34" s="20">
        <v>15231.263000000001</v>
      </c>
      <c r="V34" s="20">
        <v>875</v>
      </c>
      <c r="W34" s="20">
        <v>17.407157999999999</v>
      </c>
      <c r="X34" s="20">
        <v>9.2477040000000006</v>
      </c>
      <c r="Y34" s="20">
        <v>5.9184000000000004E-7</v>
      </c>
      <c r="Z34" s="14">
        <v>965.3</v>
      </c>
      <c r="AB34" s="15">
        <v>1</v>
      </c>
      <c r="AC34" s="19">
        <v>7.9299999999999995E-2</v>
      </c>
      <c r="AD34" s="17">
        <v>277586.89799999999</v>
      </c>
      <c r="AE34" s="17">
        <v>879</v>
      </c>
      <c r="AF34" s="17">
        <v>315.798519</v>
      </c>
      <c r="AG34" s="17">
        <v>178.20420899999999</v>
      </c>
      <c r="AH34" s="17">
        <v>2.3408340000000001</v>
      </c>
      <c r="AI34" s="17">
        <v>952.6</v>
      </c>
    </row>
    <row r="35" spans="1:35">
      <c r="A35" s="15">
        <v>2</v>
      </c>
      <c r="B35" s="19">
        <v>6.1600000000000002E-2</v>
      </c>
      <c r="C35" s="20">
        <v>338687</v>
      </c>
      <c r="D35" s="20">
        <v>663</v>
      </c>
      <c r="E35" s="20">
        <v>5.1083999999999999E-7</v>
      </c>
      <c r="F35" s="20">
        <v>4.9877000000000001E-7</v>
      </c>
      <c r="G35" s="20">
        <v>1.045E-9</v>
      </c>
      <c r="H35" s="14">
        <v>1</v>
      </c>
      <c r="J35" s="15">
        <v>2</v>
      </c>
      <c r="K35" s="19">
        <v>6.1600000000000002E-2</v>
      </c>
      <c r="L35" s="20">
        <v>347296</v>
      </c>
      <c r="M35" s="20">
        <v>637</v>
      </c>
      <c r="N35" s="20">
        <v>5.4520599999999994E-7</v>
      </c>
      <c r="O35" s="20">
        <v>3.7800800000000003E-7</v>
      </c>
      <c r="P35" s="20">
        <v>1.473E-9</v>
      </c>
      <c r="Q35" s="14">
        <v>1</v>
      </c>
      <c r="S35" s="15">
        <v>2</v>
      </c>
      <c r="T35" s="19">
        <v>6.1600000000000002E-2</v>
      </c>
      <c r="U35" s="20">
        <v>463.61500000000001</v>
      </c>
      <c r="V35" s="20">
        <v>631</v>
      </c>
      <c r="W35" s="20">
        <v>7.3473100000000004E-7</v>
      </c>
      <c r="X35" s="20">
        <v>4.8300200000000003E-7</v>
      </c>
      <c r="Y35" s="20">
        <v>1.8015E-8</v>
      </c>
      <c r="Z35" s="14">
        <v>1</v>
      </c>
      <c r="AB35" s="15">
        <v>2</v>
      </c>
      <c r="AC35" s="19">
        <v>6.1600000000000002E-2</v>
      </c>
      <c r="AD35" s="17">
        <v>1268.348</v>
      </c>
      <c r="AE35" s="17">
        <v>639</v>
      </c>
      <c r="AF35" s="17">
        <v>1.9848950000000001</v>
      </c>
      <c r="AG35" s="17">
        <v>1.4160299999999999</v>
      </c>
      <c r="AH35" s="17">
        <v>1.0696E-8</v>
      </c>
      <c r="AI35" s="17">
        <v>1</v>
      </c>
    </row>
    <row r="36" spans="1:35">
      <c r="A36" s="15">
        <v>3</v>
      </c>
      <c r="B36" s="19">
        <v>9.0300000000000005E-2</v>
      </c>
      <c r="C36" s="20">
        <v>271599100</v>
      </c>
      <c r="D36" s="20">
        <v>955</v>
      </c>
      <c r="E36" s="20">
        <v>284.39691599999998</v>
      </c>
      <c r="F36" s="20">
        <v>274.91044499999998</v>
      </c>
      <c r="G36" s="20">
        <v>8.3821599999999999E-7</v>
      </c>
      <c r="H36" s="14">
        <v>154.69999999999999</v>
      </c>
      <c r="J36" s="15">
        <v>3</v>
      </c>
      <c r="K36" s="19">
        <v>9.0300000000000005E-2</v>
      </c>
      <c r="L36" s="20">
        <v>33637900</v>
      </c>
      <c r="M36" s="20">
        <v>946</v>
      </c>
      <c r="N36" s="20">
        <v>35.558030000000002</v>
      </c>
      <c r="O36" s="20">
        <v>11.123042</v>
      </c>
      <c r="P36" s="20">
        <v>1.42677E-7</v>
      </c>
      <c r="Q36" s="14">
        <v>2.5</v>
      </c>
      <c r="S36" s="15">
        <v>3</v>
      </c>
      <c r="T36" s="19">
        <v>9.0300000000000005E-2</v>
      </c>
      <c r="U36" s="20">
        <v>45109.779000000002</v>
      </c>
      <c r="V36" s="20">
        <v>1003</v>
      </c>
      <c r="W36" s="20">
        <v>44.974854000000001</v>
      </c>
      <c r="X36" s="20">
        <v>112.10972700000001</v>
      </c>
      <c r="Y36" s="20">
        <v>1.7528269999999999</v>
      </c>
      <c r="Z36" s="14">
        <v>2.4500000000000002</v>
      </c>
      <c r="AB36" s="15">
        <v>3</v>
      </c>
      <c r="AC36" s="19">
        <v>9.0300000000000005E-2</v>
      </c>
      <c r="AD36" s="17">
        <v>58990.330999999998</v>
      </c>
      <c r="AE36" s="17">
        <v>975</v>
      </c>
      <c r="AF36" s="17">
        <v>60.502904000000001</v>
      </c>
      <c r="AG36" s="17">
        <v>109.554102</v>
      </c>
      <c r="AH36" s="17">
        <v>4.97454E-7</v>
      </c>
      <c r="AI36" s="17">
        <v>142.19999999999999</v>
      </c>
    </row>
    <row r="37" spans="1:35">
      <c r="A37" s="15">
        <v>4</v>
      </c>
      <c r="B37" s="19">
        <v>7.6700000000000004E-2</v>
      </c>
      <c r="C37" s="20">
        <v>1645561000</v>
      </c>
      <c r="D37" s="20">
        <v>832</v>
      </c>
      <c r="E37" s="20">
        <v>1977.83725</v>
      </c>
      <c r="F37" s="20">
        <v>790.46935099999996</v>
      </c>
      <c r="G37" s="20">
        <v>5.07857</v>
      </c>
      <c r="H37" s="14">
        <v>3746.4</v>
      </c>
      <c r="J37" s="15">
        <v>4</v>
      </c>
      <c r="K37" s="19">
        <v>7.6700000000000004E-2</v>
      </c>
      <c r="L37" s="20">
        <v>954682000</v>
      </c>
      <c r="M37" s="20">
        <v>796</v>
      </c>
      <c r="N37" s="20">
        <v>1199.3492980000001</v>
      </c>
      <c r="O37" s="20">
        <v>3010.9810440000001</v>
      </c>
      <c r="P37" s="20">
        <v>4.0493259999999998</v>
      </c>
      <c r="Q37" s="14">
        <v>3842.7</v>
      </c>
      <c r="S37" s="15">
        <v>4</v>
      </c>
      <c r="T37" s="19">
        <v>7.6700000000000004E-2</v>
      </c>
      <c r="U37" s="20">
        <v>27032.903999999999</v>
      </c>
      <c r="V37" s="20">
        <v>742</v>
      </c>
      <c r="W37" s="20">
        <v>36.432485</v>
      </c>
      <c r="X37" s="20">
        <v>66.570026999999996</v>
      </c>
      <c r="Y37" s="20">
        <v>1.050416</v>
      </c>
      <c r="Z37" s="14">
        <v>3283</v>
      </c>
      <c r="AB37" s="15">
        <v>4</v>
      </c>
      <c r="AC37" s="19">
        <v>7.6700000000000004E-2</v>
      </c>
      <c r="AD37" s="17">
        <v>2123145.7560000001</v>
      </c>
      <c r="AE37" s="17">
        <v>753</v>
      </c>
      <c r="AF37" s="17">
        <v>2819.5826769999999</v>
      </c>
      <c r="AG37" s="17">
        <v>1034.78799</v>
      </c>
      <c r="AH37" s="17">
        <v>17.904060000000001</v>
      </c>
      <c r="AI37" s="17">
        <v>29545.8</v>
      </c>
    </row>
    <row r="38" spans="1:35">
      <c r="A38" s="15">
        <v>5</v>
      </c>
      <c r="B38" s="19">
        <v>1.4200000000000001E-2</v>
      </c>
      <c r="C38" s="20">
        <v>7123</v>
      </c>
      <c r="D38" s="20">
        <v>156</v>
      </c>
      <c r="E38" s="20">
        <v>4.566E-8</v>
      </c>
      <c r="F38" s="20">
        <v>2.1107999999999999E-8</v>
      </c>
      <c r="G38" s="20">
        <v>2.1999999999999998E-11</v>
      </c>
      <c r="H38" s="14">
        <v>0.17</v>
      </c>
      <c r="J38" s="15">
        <v>5</v>
      </c>
      <c r="K38" s="19">
        <v>1.4200000000000001E-2</v>
      </c>
      <c r="L38" s="20">
        <v>6304</v>
      </c>
      <c r="M38" s="20">
        <v>169</v>
      </c>
      <c r="N38" s="20">
        <v>3.7301999999999999E-8</v>
      </c>
      <c r="O38" s="20">
        <v>1.9744000000000001E-8</v>
      </c>
      <c r="P38" s="20">
        <v>2.7E-11</v>
      </c>
      <c r="Q38" s="14">
        <v>0.18</v>
      </c>
      <c r="S38" s="15">
        <v>5</v>
      </c>
      <c r="T38" s="19">
        <v>1.4200000000000001E-2</v>
      </c>
      <c r="U38" s="20">
        <v>3.6349999999999998</v>
      </c>
      <c r="V38" s="20">
        <v>135</v>
      </c>
      <c r="W38" s="20">
        <v>2.6925999999999999E-8</v>
      </c>
      <c r="X38" s="20">
        <v>1.8673999999999999E-8</v>
      </c>
      <c r="Y38" s="20">
        <v>1.41E-10</v>
      </c>
      <c r="Z38" s="14">
        <v>0</v>
      </c>
      <c r="AB38" s="15">
        <v>5</v>
      </c>
      <c r="AC38" s="19">
        <v>1.4200000000000001E-2</v>
      </c>
      <c r="AD38" s="17">
        <v>2.61</v>
      </c>
      <c r="AE38" s="17">
        <v>153</v>
      </c>
      <c r="AF38" s="17">
        <v>1.7059000000000001E-8</v>
      </c>
      <c r="AG38" s="17">
        <v>6.1260000000000006E-9</v>
      </c>
      <c r="AH38" s="17">
        <v>2.1999999999999998E-11</v>
      </c>
      <c r="AI38" s="17">
        <v>0.19</v>
      </c>
    </row>
    <row r="39" spans="1:35">
      <c r="A39" s="15">
        <v>6</v>
      </c>
      <c r="B39" s="19">
        <v>0.38009999999999999</v>
      </c>
      <c r="C39" s="20">
        <v>599991</v>
      </c>
      <c r="D39" s="20">
        <v>4017</v>
      </c>
      <c r="E39" s="20">
        <v>1.4936299999999999E-7</v>
      </c>
      <c r="F39" s="20">
        <v>1.31662E-7</v>
      </c>
      <c r="G39" s="20">
        <v>1.852E-9</v>
      </c>
      <c r="H39" s="14">
        <v>1</v>
      </c>
      <c r="J39" s="15">
        <v>6</v>
      </c>
      <c r="K39" s="19">
        <v>0.38009999999999999</v>
      </c>
      <c r="L39" s="20">
        <v>648072</v>
      </c>
      <c r="M39" s="20">
        <v>3966</v>
      </c>
      <c r="N39" s="20">
        <v>1.63407E-7</v>
      </c>
      <c r="O39" s="20">
        <v>1.2769700000000001E-7</v>
      </c>
      <c r="P39" s="20">
        <v>2.7490000000000003E-9</v>
      </c>
      <c r="Q39" s="14">
        <v>1</v>
      </c>
      <c r="S39" s="15">
        <v>6</v>
      </c>
      <c r="T39" s="19">
        <v>0.38009999999999999</v>
      </c>
      <c r="U39" s="20">
        <v>10646.594999999999</v>
      </c>
      <c r="V39" s="20">
        <v>3915</v>
      </c>
      <c r="W39" s="20">
        <v>2.7194370000000001</v>
      </c>
      <c r="X39" s="20">
        <v>31.600626999999999</v>
      </c>
      <c r="Y39" s="20">
        <v>4.13694E-7</v>
      </c>
      <c r="Z39" s="14">
        <v>1</v>
      </c>
      <c r="AB39" s="15">
        <v>6</v>
      </c>
      <c r="AC39" s="19">
        <v>0.38009999999999999</v>
      </c>
      <c r="AD39" s="17">
        <v>635.85</v>
      </c>
      <c r="AE39" s="17">
        <v>3955</v>
      </c>
      <c r="AF39" s="17">
        <v>1.60771E-7</v>
      </c>
      <c r="AG39" s="17">
        <v>6.7832000000000008E-8</v>
      </c>
      <c r="AH39" s="17">
        <v>5.3619999999999995E-9</v>
      </c>
      <c r="AI39" s="17">
        <v>1</v>
      </c>
    </row>
    <row r="40" spans="1:35">
      <c r="A40" s="15">
        <v>7</v>
      </c>
      <c r="B40" s="19">
        <v>4.53E-2</v>
      </c>
      <c r="C40" s="20">
        <v>24098270000</v>
      </c>
      <c r="D40" s="20">
        <v>455</v>
      </c>
      <c r="E40" s="20">
        <v>52963.233036999998</v>
      </c>
      <c r="F40" s="20">
        <v>26501.069305000001</v>
      </c>
      <c r="G40" s="20">
        <v>74.372681</v>
      </c>
      <c r="H40" s="14">
        <v>8715.7999999999993</v>
      </c>
      <c r="J40" s="15">
        <v>7</v>
      </c>
      <c r="K40" s="19">
        <v>4.53E-2</v>
      </c>
      <c r="L40" s="20">
        <v>15910070000</v>
      </c>
      <c r="M40" s="20">
        <v>463</v>
      </c>
      <c r="N40" s="20">
        <v>34362.992521</v>
      </c>
      <c r="O40" s="20">
        <v>12719.431514</v>
      </c>
      <c r="P40" s="20">
        <v>67.483248000000003</v>
      </c>
      <c r="Q40" s="14">
        <v>9241</v>
      </c>
      <c r="S40" s="15">
        <v>7</v>
      </c>
      <c r="T40" s="19">
        <v>4.53E-2</v>
      </c>
      <c r="U40" s="20">
        <v>1140641.3319999999</v>
      </c>
      <c r="V40" s="20">
        <v>475</v>
      </c>
      <c r="W40" s="20">
        <v>2401.3501729999998</v>
      </c>
      <c r="X40" s="20">
        <v>4730.6748379999999</v>
      </c>
      <c r="Y40" s="20">
        <v>44.321815999999998</v>
      </c>
      <c r="Z40" s="14">
        <v>9669</v>
      </c>
      <c r="AB40" s="15">
        <v>7</v>
      </c>
      <c r="AC40" s="19">
        <v>4.53E-2</v>
      </c>
      <c r="AD40" s="17">
        <v>6775651.5199999996</v>
      </c>
      <c r="AE40" s="17">
        <v>493</v>
      </c>
      <c r="AF40" s="17">
        <v>13743.715050999999</v>
      </c>
      <c r="AG40" s="17">
        <v>20858.459416999998</v>
      </c>
      <c r="AH40" s="17">
        <v>57.137703000000002</v>
      </c>
      <c r="AI40" s="17">
        <v>90618.3</v>
      </c>
    </row>
    <row r="41" spans="1:35">
      <c r="A41" s="15">
        <v>8</v>
      </c>
      <c r="B41" s="19">
        <v>8.2000000000000003E-2</v>
      </c>
      <c r="C41" s="20">
        <v>492534</v>
      </c>
      <c r="D41" s="20">
        <v>831</v>
      </c>
      <c r="E41" s="20">
        <v>5.9269999999999995E-7</v>
      </c>
      <c r="F41" s="20">
        <v>10.765121000000001</v>
      </c>
      <c r="G41" s="20">
        <v>1.5200000000000001E-9</v>
      </c>
      <c r="H41" s="14">
        <v>0.64</v>
      </c>
      <c r="J41" s="15">
        <v>8</v>
      </c>
      <c r="K41" s="19">
        <v>8.2000000000000003E-2</v>
      </c>
      <c r="L41" s="20">
        <v>176051</v>
      </c>
      <c r="M41" s="20">
        <v>837</v>
      </c>
      <c r="N41" s="20">
        <v>2.1033599999999999E-7</v>
      </c>
      <c r="O41" s="20">
        <v>1.7207209999999999</v>
      </c>
      <c r="P41" s="20">
        <v>7.4700000000000001E-10</v>
      </c>
      <c r="Q41" s="14">
        <v>0.64</v>
      </c>
      <c r="S41" s="15">
        <v>8</v>
      </c>
      <c r="T41" s="19">
        <v>8.2000000000000003E-2</v>
      </c>
      <c r="U41" s="20">
        <v>1474.13</v>
      </c>
      <c r="V41" s="20">
        <v>890</v>
      </c>
      <c r="W41" s="20">
        <v>1.656326</v>
      </c>
      <c r="X41" s="20">
        <v>12.748148</v>
      </c>
      <c r="Y41" s="20">
        <v>5.7280000000000001E-8</v>
      </c>
      <c r="Z41" s="14">
        <v>0.64</v>
      </c>
      <c r="AB41" s="15">
        <v>8</v>
      </c>
      <c r="AC41" s="19">
        <v>8.2000000000000003E-2</v>
      </c>
      <c r="AD41" s="17">
        <v>47.104999999999997</v>
      </c>
      <c r="AE41" s="17">
        <v>796</v>
      </c>
      <c r="AF41" s="17">
        <v>5.9177000000000001E-8</v>
      </c>
      <c r="AG41" s="17">
        <v>2.915E-8</v>
      </c>
      <c r="AH41" s="17">
        <v>3.9700000000000002E-10</v>
      </c>
      <c r="AI41" s="17">
        <v>0.62</v>
      </c>
    </row>
    <row r="42" spans="1:35">
      <c r="A42" s="15">
        <v>9</v>
      </c>
      <c r="B42" s="19">
        <v>6.1000000000000004E-3</v>
      </c>
      <c r="C42" s="20">
        <v>1006566000</v>
      </c>
      <c r="D42" s="20">
        <v>69</v>
      </c>
      <c r="E42" s="20">
        <v>14587.917826000001</v>
      </c>
      <c r="F42" s="20">
        <v>5341.1771849999996</v>
      </c>
      <c r="G42" s="20">
        <v>3.10649</v>
      </c>
      <c r="H42" s="14">
        <v>3940.9</v>
      </c>
      <c r="J42" s="15">
        <v>9</v>
      </c>
      <c r="K42" s="19">
        <v>6.1000000000000004E-3</v>
      </c>
      <c r="L42" s="20">
        <v>1192275000</v>
      </c>
      <c r="M42" s="20">
        <v>65</v>
      </c>
      <c r="N42" s="20">
        <v>18342.694307999998</v>
      </c>
      <c r="O42" s="20">
        <v>6229.0343780000003</v>
      </c>
      <c r="P42" s="20">
        <v>5.0570880000000002</v>
      </c>
      <c r="Q42" s="14">
        <v>3552</v>
      </c>
      <c r="S42" s="15">
        <v>9</v>
      </c>
      <c r="T42" s="19">
        <v>6.1000000000000004E-3</v>
      </c>
      <c r="U42" s="20">
        <v>41258.957999999999</v>
      </c>
      <c r="V42" s="20">
        <v>60</v>
      </c>
      <c r="W42" s="20">
        <v>687.64930000000004</v>
      </c>
      <c r="X42" s="20">
        <v>2011.0977049999999</v>
      </c>
      <c r="Y42" s="20">
        <v>1.6031960000000001</v>
      </c>
      <c r="Z42" s="14">
        <v>3577.6</v>
      </c>
      <c r="AB42" s="15">
        <v>9</v>
      </c>
      <c r="AC42" s="19">
        <v>6.1000000000000004E-3</v>
      </c>
      <c r="AD42" s="17">
        <v>470177.05099999998</v>
      </c>
      <c r="AE42" s="17">
        <v>66</v>
      </c>
      <c r="AF42" s="20">
        <v>7123.8947120000003</v>
      </c>
      <c r="AG42" s="17">
        <v>11264.876672</v>
      </c>
      <c r="AH42" s="17">
        <v>3.9649079999999999</v>
      </c>
      <c r="AI42" s="17">
        <v>28297.1</v>
      </c>
    </row>
    <row r="43" spans="1:35">
      <c r="A43" s="15">
        <v>10</v>
      </c>
      <c r="B43" s="19">
        <v>5.4999999999999997E-3</v>
      </c>
      <c r="C43" s="20">
        <v>598720400</v>
      </c>
      <c r="D43" s="20">
        <v>44</v>
      </c>
      <c r="E43" s="20">
        <v>13607.281226999999</v>
      </c>
      <c r="F43" s="20">
        <v>3922.4007179999999</v>
      </c>
      <c r="G43" s="20">
        <v>1.8477859999999999</v>
      </c>
      <c r="H43" s="14">
        <v>3954.1</v>
      </c>
      <c r="J43" s="15">
        <v>10</v>
      </c>
      <c r="K43" s="19">
        <v>5.4999999999999997E-3</v>
      </c>
      <c r="L43" s="20">
        <v>946237600</v>
      </c>
      <c r="M43" s="20">
        <v>49</v>
      </c>
      <c r="N43" s="20">
        <v>19310.971449000001</v>
      </c>
      <c r="O43" s="20">
        <v>4612.5947169999999</v>
      </c>
      <c r="P43" s="20">
        <v>4.013509</v>
      </c>
      <c r="Q43" s="14">
        <v>2027.2</v>
      </c>
      <c r="S43" s="15">
        <v>10</v>
      </c>
      <c r="T43" s="19">
        <v>5.4999999999999997E-3</v>
      </c>
      <c r="U43" s="20">
        <v>28966.190999999999</v>
      </c>
      <c r="V43" s="20">
        <v>59</v>
      </c>
      <c r="W43" s="20">
        <v>490.95238999999998</v>
      </c>
      <c r="X43" s="20">
        <v>1407.0351949999999</v>
      </c>
      <c r="Y43" s="20">
        <v>1.125537</v>
      </c>
      <c r="Z43" s="14">
        <v>4338.8</v>
      </c>
      <c r="AB43" s="15">
        <v>10</v>
      </c>
      <c r="AC43" s="19">
        <v>5.4999999999999997E-3</v>
      </c>
      <c r="AD43" s="17">
        <v>409231.83299999998</v>
      </c>
      <c r="AE43" s="17">
        <v>57</v>
      </c>
      <c r="AF43" s="17">
        <v>7179.5058419999996</v>
      </c>
      <c r="AG43" s="17">
        <v>11650.160057999999</v>
      </c>
      <c r="AH43" s="17">
        <v>3.4509699999999999</v>
      </c>
      <c r="AI43" s="17">
        <v>3762.5</v>
      </c>
    </row>
    <row r="44" spans="1:35">
      <c r="A44" s="15">
        <v>11</v>
      </c>
      <c r="B44" s="19">
        <v>9.7000000000000003E-3</v>
      </c>
      <c r="C44" s="20">
        <v>596785600</v>
      </c>
      <c r="D44" s="20">
        <v>90</v>
      </c>
      <c r="E44" s="20">
        <v>6630.9508779999996</v>
      </c>
      <c r="F44" s="20">
        <v>93.360727999999995</v>
      </c>
      <c r="G44" s="20">
        <v>1.8418140000000001</v>
      </c>
      <c r="H44" s="14">
        <v>1</v>
      </c>
      <c r="J44" s="15">
        <v>11</v>
      </c>
      <c r="K44" s="19">
        <v>9.7000000000000003E-3</v>
      </c>
      <c r="L44" s="20">
        <v>1080196000</v>
      </c>
      <c r="M44" s="20">
        <v>102</v>
      </c>
      <c r="N44" s="20">
        <v>10590.153813999999</v>
      </c>
      <c r="O44" s="20">
        <v>434.31737399999997</v>
      </c>
      <c r="P44" s="20">
        <v>4.5816980000000003</v>
      </c>
      <c r="Q44" s="14">
        <v>1</v>
      </c>
      <c r="S44" s="15">
        <v>11</v>
      </c>
      <c r="T44" s="19">
        <v>9.7000000000000003E-3</v>
      </c>
      <c r="U44" s="20">
        <v>3018.6669999999999</v>
      </c>
      <c r="V44" s="20">
        <v>101</v>
      </c>
      <c r="W44" s="20">
        <v>29.887792000000001</v>
      </c>
      <c r="X44" s="20">
        <v>9.9513300000000005</v>
      </c>
      <c r="Y44" s="20">
        <v>1.1729599999999999E-7</v>
      </c>
      <c r="Z44" s="14">
        <v>1</v>
      </c>
      <c r="AB44" s="15">
        <v>11</v>
      </c>
      <c r="AC44" s="19">
        <v>9.7000000000000003E-3</v>
      </c>
      <c r="AD44" s="17">
        <v>143630.117</v>
      </c>
      <c r="AE44" s="17">
        <v>117</v>
      </c>
      <c r="AF44" s="17">
        <v>1227.6078379999999</v>
      </c>
      <c r="AG44" s="17">
        <v>23.71518</v>
      </c>
      <c r="AH44" s="17">
        <v>1.2112039999999999</v>
      </c>
      <c r="AI44" s="17">
        <v>1</v>
      </c>
    </row>
    <row r="45" spans="1:35">
      <c r="A45" s="15">
        <v>12</v>
      </c>
      <c r="B45" s="19">
        <v>6.1999999999999998E-3</v>
      </c>
      <c r="C45" s="20">
        <v>839134500</v>
      </c>
      <c r="D45" s="20">
        <v>56</v>
      </c>
      <c r="E45" s="20">
        <v>14984.544320999999</v>
      </c>
      <c r="F45" s="20">
        <v>5590.8643069999998</v>
      </c>
      <c r="G45" s="20">
        <v>2.5897579999999998</v>
      </c>
      <c r="H45" s="14">
        <v>1</v>
      </c>
      <c r="J45" s="15">
        <v>12</v>
      </c>
      <c r="K45" s="19">
        <v>6.1999999999999998E-3</v>
      </c>
      <c r="L45" s="20">
        <v>573489600</v>
      </c>
      <c r="M45" s="20">
        <v>58</v>
      </c>
      <c r="N45" s="20">
        <v>9887.7525519999999</v>
      </c>
      <c r="O45" s="20">
        <v>3350.460067</v>
      </c>
      <c r="P45" s="20">
        <v>2.4324819999999998</v>
      </c>
      <c r="Q45" s="14">
        <v>1</v>
      </c>
      <c r="S45" s="15">
        <v>12</v>
      </c>
      <c r="T45" s="19">
        <v>6.1999999999999998E-3</v>
      </c>
      <c r="U45" s="20">
        <v>16481.848999999998</v>
      </c>
      <c r="V45" s="20">
        <v>53</v>
      </c>
      <c r="W45" s="20">
        <v>310.97828299999998</v>
      </c>
      <c r="X45" s="20">
        <v>28.316008</v>
      </c>
      <c r="Y45" s="20">
        <v>6.4043399999999992E-7</v>
      </c>
      <c r="Z45" s="14">
        <v>1</v>
      </c>
      <c r="AB45" s="15">
        <v>12</v>
      </c>
      <c r="AC45" s="19">
        <v>6.1999999999999998E-3</v>
      </c>
      <c r="AD45" s="17">
        <v>220615.62599999999</v>
      </c>
      <c r="AE45" s="17">
        <v>74</v>
      </c>
      <c r="AF45" s="17">
        <v>2981.2922429999999</v>
      </c>
      <c r="AG45" s="17">
        <v>1213.19173</v>
      </c>
      <c r="AH45" s="17">
        <v>1.8604069999999999</v>
      </c>
      <c r="AI45" s="17">
        <v>1</v>
      </c>
    </row>
    <row r="46" spans="1:35">
      <c r="A46" s="15">
        <v>13</v>
      </c>
      <c r="B46" s="19">
        <v>6.1000000000000004E-3</v>
      </c>
      <c r="C46" s="20">
        <v>3319002000</v>
      </c>
      <c r="D46" s="20">
        <v>58</v>
      </c>
      <c r="E46" s="20">
        <v>57224.167621000001</v>
      </c>
      <c r="F46" s="20">
        <v>17443.921590999998</v>
      </c>
      <c r="G46" s="20">
        <v>10.243185</v>
      </c>
      <c r="H46" s="14">
        <v>4170.6000000000004</v>
      </c>
      <c r="J46" s="15">
        <v>13</v>
      </c>
      <c r="K46" s="19">
        <v>6.1000000000000004E-3</v>
      </c>
      <c r="L46" s="20">
        <v>1694532000</v>
      </c>
      <c r="M46" s="20">
        <v>65</v>
      </c>
      <c r="N46" s="20">
        <v>26069.725092000001</v>
      </c>
      <c r="O46" s="20">
        <v>20005.622089</v>
      </c>
      <c r="P46" s="20">
        <v>7.1874330000000004</v>
      </c>
      <c r="Q46" s="14">
        <v>2328.5500000000002</v>
      </c>
      <c r="S46" s="15">
        <v>13</v>
      </c>
      <c r="T46" s="19">
        <v>6.1000000000000004E-3</v>
      </c>
      <c r="U46" s="20">
        <v>1191519.558</v>
      </c>
      <c r="V46" s="20">
        <v>67</v>
      </c>
      <c r="W46" s="20">
        <v>17783.874</v>
      </c>
      <c r="X46" s="20">
        <v>29709.596373</v>
      </c>
      <c r="Y46" s="20">
        <v>46.298788000000002</v>
      </c>
      <c r="Z46" s="14">
        <v>1532.2</v>
      </c>
      <c r="AB46" s="15">
        <v>13</v>
      </c>
      <c r="AC46" s="19">
        <v>6.1000000000000004E-3</v>
      </c>
      <c r="AD46" s="17">
        <v>1376577.41</v>
      </c>
      <c r="AE46" s="17">
        <v>59</v>
      </c>
      <c r="AF46" s="17">
        <v>23331.820508000001</v>
      </c>
      <c r="AG46" s="17">
        <v>41570.796939</v>
      </c>
      <c r="AH46" s="17">
        <v>11.6084</v>
      </c>
      <c r="AI46" s="17">
        <v>27934.1</v>
      </c>
    </row>
    <row r="47" spans="1:35">
      <c r="A47" s="15">
        <v>14</v>
      </c>
      <c r="B47" s="19">
        <v>1.6199999999999999E-2</v>
      </c>
      <c r="C47" s="20">
        <v>868150</v>
      </c>
      <c r="D47" s="20">
        <v>173</v>
      </c>
      <c r="E47" s="20">
        <v>5.0182079999999996</v>
      </c>
      <c r="F47" s="20">
        <v>3.3561999999999999</v>
      </c>
      <c r="G47" s="20">
        <v>2.679E-9</v>
      </c>
      <c r="H47" s="14">
        <v>47</v>
      </c>
      <c r="J47" s="15">
        <v>14</v>
      </c>
      <c r="K47" s="19">
        <v>1.6199999999999999E-2</v>
      </c>
      <c r="L47" s="20">
        <v>1045643</v>
      </c>
      <c r="M47" s="20">
        <v>175</v>
      </c>
      <c r="N47" s="20">
        <v>5.9751029999999998</v>
      </c>
      <c r="O47" s="20">
        <v>4.6920029999999997</v>
      </c>
      <c r="P47" s="20">
        <v>4.4349999999999997E-9</v>
      </c>
      <c r="Q47" s="14">
        <v>53.3</v>
      </c>
      <c r="S47" s="15">
        <v>14</v>
      </c>
      <c r="T47" s="19">
        <v>1.6199999999999999E-2</v>
      </c>
      <c r="U47" s="20">
        <v>70.614999999999995</v>
      </c>
      <c r="V47" s="20">
        <v>163</v>
      </c>
      <c r="W47" s="20">
        <v>4.3322100000000004E-7</v>
      </c>
      <c r="X47" s="20">
        <v>5.8080800000000002E-7</v>
      </c>
      <c r="Y47" s="20">
        <v>2.744E-9</v>
      </c>
      <c r="Z47" s="14">
        <v>50.66</v>
      </c>
      <c r="AB47" s="15">
        <v>14</v>
      </c>
      <c r="AC47" s="19">
        <v>1.6199999999999999E-2</v>
      </c>
      <c r="AD47" s="17">
        <v>821.81100000000004</v>
      </c>
      <c r="AE47" s="17">
        <v>173</v>
      </c>
      <c r="AF47" s="17">
        <v>4.7503529999999996</v>
      </c>
      <c r="AG47" s="17">
        <v>3.568257</v>
      </c>
      <c r="AH47" s="17">
        <v>6.9300000000000007E-9</v>
      </c>
      <c r="AI47" s="17">
        <v>49</v>
      </c>
    </row>
    <row r="48" spans="1:35">
      <c r="A48" s="15">
        <v>15</v>
      </c>
      <c r="B48" s="19">
        <v>7.6899999999999996E-2</v>
      </c>
      <c r="C48" s="20">
        <v>17528040</v>
      </c>
      <c r="D48" s="20">
        <v>764</v>
      </c>
      <c r="E48" s="20">
        <v>22.942457000000001</v>
      </c>
      <c r="F48" s="20">
        <v>89.830115000000006</v>
      </c>
      <c r="G48" s="20">
        <v>5.4094999999999996E-8</v>
      </c>
      <c r="H48" s="14">
        <v>0.88</v>
      </c>
      <c r="J48" s="15">
        <v>15</v>
      </c>
      <c r="K48" s="19">
        <v>7.6899999999999996E-2</v>
      </c>
      <c r="L48" s="20">
        <v>4158371</v>
      </c>
      <c r="M48" s="20">
        <v>824</v>
      </c>
      <c r="N48" s="20">
        <v>5.0465669999999996</v>
      </c>
      <c r="O48" s="20">
        <v>42.924895999999997</v>
      </c>
      <c r="P48" s="20">
        <v>1.7638000000000002E-8</v>
      </c>
      <c r="Q48" s="14">
        <v>0.89</v>
      </c>
      <c r="S48" s="15">
        <v>15</v>
      </c>
      <c r="T48" s="19">
        <v>7.6899999999999996E-2</v>
      </c>
      <c r="U48" s="20">
        <v>51624.661</v>
      </c>
      <c r="V48" s="20">
        <v>831</v>
      </c>
      <c r="W48" s="20">
        <v>62.123539000000001</v>
      </c>
      <c r="X48" s="20">
        <v>178.605039</v>
      </c>
      <c r="Y48" s="20">
        <v>2.005976</v>
      </c>
      <c r="Z48" s="14">
        <v>0.88</v>
      </c>
      <c r="AB48" s="15">
        <v>15</v>
      </c>
      <c r="AC48" s="19">
        <v>7.6899999999999996E-2</v>
      </c>
      <c r="AD48" s="17">
        <v>77.512</v>
      </c>
      <c r="AE48" s="17">
        <v>811</v>
      </c>
      <c r="AF48" s="17">
        <v>9.5575999999999995E-8</v>
      </c>
      <c r="AG48" s="17">
        <v>4.3516999999999999E-8</v>
      </c>
      <c r="AH48" s="17">
        <v>6.5399999999999991E-10</v>
      </c>
      <c r="AI48" s="17">
        <v>0.88</v>
      </c>
    </row>
    <row r="49" spans="5:35">
      <c r="E49" s="13">
        <f>SUMPRODUCT(B34:B48,E34:E48)</f>
        <v>3249.2021380132906</v>
      </c>
      <c r="H49" s="13">
        <f>SUMPRODUCT(B34:B48,H34:H48)</f>
        <v>843.01739599999985</v>
      </c>
      <c r="N49" s="13">
        <f>SUMPRODUCT(K34:K48,N34:N48)</f>
        <v>2304.2816293186729</v>
      </c>
      <c r="Q49" s="13">
        <f>SUMPRODUCT(K34:K48,Q34:Q48)</f>
        <v>837.63239199999998</v>
      </c>
      <c r="W49" s="13">
        <f>SUMPRODUCT(T34:T48,W34:W48)</f>
        <v>240.55843553145993</v>
      </c>
      <c r="Z49" s="13">
        <f>SUMPRODUCT(T34:T48,Z34:Z48)</f>
        <v>823.01294899999982</v>
      </c>
      <c r="AF49" s="13">
        <f>SUMPRODUCT(AC34:AC48,AF34:AF48)</f>
        <v>1125.2166961564537</v>
      </c>
      <c r="AI49" s="13">
        <f>SUMPRODUCT(AC34:AC48,AI34:AI48)</f>
        <v>6824.6303700000008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D2CC-D581-4801-8D9A-94E9E5C0D6CA}">
  <dimension ref="A1:K14"/>
  <sheetViews>
    <sheetView tabSelected="1" zoomScale="130" zoomScaleNormal="130" workbookViewId="0"/>
  </sheetViews>
  <sheetFormatPr defaultColWidth="8.75" defaultRowHeight="14"/>
  <cols>
    <col min="1" max="1" width="15.33203125" style="1" bestFit="1" customWidth="1"/>
    <col min="2" max="2" width="12.08203125" style="1" bestFit="1" customWidth="1"/>
    <col min="3" max="3" width="13.83203125" style="1" bestFit="1" customWidth="1"/>
    <col min="4" max="4" width="15.08203125" style="1" customWidth="1"/>
    <col min="5" max="5" width="3" style="1" customWidth="1"/>
    <col min="6" max="6" width="14" style="1" bestFit="1" customWidth="1"/>
    <col min="7" max="7" width="15" style="1" customWidth="1"/>
    <col min="8" max="8" width="14.75" style="1" bestFit="1" customWidth="1"/>
    <col min="9" max="9" width="13.33203125" style="1" customWidth="1"/>
    <col min="10" max="10" width="3.08203125" style="1" customWidth="1"/>
    <col min="11" max="11" width="22.08203125" style="1" bestFit="1" customWidth="1"/>
    <col min="12" max="12" width="21.25" style="1" bestFit="1" customWidth="1"/>
    <col min="13" max="13" width="11.08203125" style="1" bestFit="1" customWidth="1"/>
    <col min="14" max="14" width="11.25" style="1" bestFit="1" customWidth="1"/>
    <col min="15" max="16" width="9.25" style="1" bestFit="1" customWidth="1"/>
    <col min="17" max="16384" width="8.75" style="1"/>
  </cols>
  <sheetData>
    <row r="1" spans="1:11" ht="28">
      <c r="A1" s="2" t="s">
        <v>22</v>
      </c>
      <c r="C1" s="6" t="s">
        <v>13</v>
      </c>
      <c r="D1" s="10" t="s">
        <v>26</v>
      </c>
      <c r="E1" s="2"/>
    </row>
    <row r="2" spans="1:11">
      <c r="A2" s="1" t="s">
        <v>23</v>
      </c>
      <c r="C2" s="1">
        <v>10000</v>
      </c>
      <c r="D2" s="1">
        <v>50333</v>
      </c>
    </row>
    <row r="3" spans="1:11">
      <c r="A3" s="1" t="s">
        <v>24</v>
      </c>
      <c r="C3" s="1">
        <v>10000</v>
      </c>
      <c r="D3" s="1">
        <v>1489126</v>
      </c>
    </row>
    <row r="4" spans="1:11">
      <c r="A4" s="1" t="s">
        <v>25</v>
      </c>
      <c r="C4" s="1">
        <v>10000</v>
      </c>
      <c r="D4" s="1">
        <v>3623390</v>
      </c>
    </row>
    <row r="6" spans="1:11" ht="42">
      <c r="A6" s="2" t="s">
        <v>27</v>
      </c>
      <c r="B6" s="2" t="s">
        <v>16</v>
      </c>
      <c r="C6" s="2" t="s">
        <v>30</v>
      </c>
      <c r="D6" s="2" t="s">
        <v>29</v>
      </c>
      <c r="E6" s="2"/>
      <c r="F6" s="2" t="s">
        <v>31</v>
      </c>
      <c r="G6" s="2" t="s">
        <v>32</v>
      </c>
      <c r="K6" s="2" t="s">
        <v>35</v>
      </c>
    </row>
    <row r="7" spans="1:11">
      <c r="A7" s="1" t="s">
        <v>14</v>
      </c>
      <c r="B7" s="3">
        <f>'Query 10x'!E30</f>
        <v>63.700057330667896</v>
      </c>
      <c r="C7" s="7">
        <f>$B7*C$3/1000</f>
        <v>637.00057330667892</v>
      </c>
      <c r="D7" s="9">
        <f>$B7*D$3/1000</f>
        <v>94857.411572588157</v>
      </c>
      <c r="E7" s="12"/>
      <c r="F7" s="8">
        <f>C7/60</f>
        <v>10.616676221777983</v>
      </c>
      <c r="G7" s="11">
        <f>D7/60</f>
        <v>1580.956859543136</v>
      </c>
      <c r="H7" s="4"/>
      <c r="I7" s="4"/>
      <c r="J7" s="4"/>
    </row>
    <row r="8" spans="1:11">
      <c r="A8" s="1" t="s">
        <v>15</v>
      </c>
      <c r="B8" s="3">
        <f>'Query 10x'!N30</f>
        <v>2.0428435623393768</v>
      </c>
      <c r="C8" s="7">
        <f>$B8*C$3/1000</f>
        <v>20.428435623393767</v>
      </c>
      <c r="D8" s="9">
        <f>$B8*D$3/1000</f>
        <v>3042.0514626121872</v>
      </c>
      <c r="E8" s="12"/>
      <c r="F8" s="8">
        <f>C8/60</f>
        <v>0.34047392705656276</v>
      </c>
      <c r="G8" s="11">
        <f>D8/60</f>
        <v>50.700857710203117</v>
      </c>
      <c r="H8" s="4"/>
      <c r="I8" s="4"/>
      <c r="J8" s="4"/>
      <c r="K8" s="1">
        <v>675</v>
      </c>
    </row>
    <row r="9" spans="1:11">
      <c r="K9" s="1">
        <v>415</v>
      </c>
    </row>
    <row r="10" spans="1:11" ht="42">
      <c r="A10" s="2" t="s">
        <v>28</v>
      </c>
      <c r="B10" s="2" t="s">
        <v>16</v>
      </c>
      <c r="C10" s="2" t="s">
        <v>30</v>
      </c>
      <c r="D10" s="2" t="s">
        <v>29</v>
      </c>
      <c r="E10" s="2"/>
      <c r="F10" s="2" t="s">
        <v>31</v>
      </c>
      <c r="G10" s="2" t="s">
        <v>32</v>
      </c>
      <c r="H10" s="2" t="s">
        <v>33</v>
      </c>
      <c r="I10" s="2" t="s">
        <v>34</v>
      </c>
      <c r="J10" s="2"/>
      <c r="K10" s="2" t="s">
        <v>36</v>
      </c>
    </row>
    <row r="11" spans="1:11">
      <c r="A11" s="1" t="s">
        <v>17</v>
      </c>
      <c r="B11" s="3">
        <f>'Query 10x'!E49</f>
        <v>3249.2021380132906</v>
      </c>
      <c r="C11" s="7">
        <f t="shared" ref="C11:D13" si="0">$B11*C$4/1000</f>
        <v>32492.021380132905</v>
      </c>
      <c r="D11" s="9">
        <f t="shared" si="0"/>
        <v>11773126.534855977</v>
      </c>
      <c r="E11" s="12"/>
      <c r="F11" s="8">
        <f t="shared" ref="F11:G13" si="1">C11/60</f>
        <v>541.53368966888172</v>
      </c>
      <c r="G11" s="11">
        <f t="shared" si="1"/>
        <v>196218.77558093294</v>
      </c>
      <c r="H11" s="11">
        <f>G11/60</f>
        <v>3270.3129263488822</v>
      </c>
      <c r="I11" s="11">
        <f>H11/24</f>
        <v>136.26303859787009</v>
      </c>
      <c r="J11" s="4"/>
      <c r="K11" s="5"/>
    </row>
    <row r="12" spans="1:11">
      <c r="A12" s="1" t="s">
        <v>18</v>
      </c>
      <c r="B12" s="3">
        <f>'Query 10x'!N49</f>
        <v>2304.2816293186729</v>
      </c>
      <c r="C12" s="7">
        <f t="shared" si="0"/>
        <v>23042.816293186726</v>
      </c>
      <c r="D12" s="9">
        <f t="shared" si="0"/>
        <v>8349311.0128569864</v>
      </c>
      <c r="E12" s="12"/>
      <c r="F12" s="8">
        <f t="shared" si="1"/>
        <v>384.04693821977878</v>
      </c>
      <c r="G12" s="11">
        <f t="shared" si="1"/>
        <v>139155.18354761644</v>
      </c>
      <c r="H12" s="11">
        <f>G12/60</f>
        <v>2319.2530591269406</v>
      </c>
      <c r="I12" s="11">
        <f>H12/24</f>
        <v>96.63554413028919</v>
      </c>
      <c r="J12" s="4"/>
      <c r="K12" s="5"/>
    </row>
    <row r="13" spans="1:11">
      <c r="A13" s="1" t="s">
        <v>19</v>
      </c>
      <c r="B13" s="3">
        <f>'Query 10x'!W49</f>
        <v>240.55843553145993</v>
      </c>
      <c r="C13" s="7">
        <f t="shared" si="0"/>
        <v>2405.5843553145992</v>
      </c>
      <c r="D13" s="9">
        <f t="shared" si="0"/>
        <v>871637.02972033655</v>
      </c>
      <c r="E13" s="12"/>
      <c r="F13" s="8">
        <f t="shared" si="1"/>
        <v>40.093072588576653</v>
      </c>
      <c r="G13" s="11">
        <f t="shared" si="1"/>
        <v>14527.283828672276</v>
      </c>
      <c r="H13" s="11">
        <f>G13/60</f>
        <v>242.12139714453795</v>
      </c>
      <c r="I13" s="11">
        <f>H13/24</f>
        <v>10.088391547689081</v>
      </c>
      <c r="J13" s="4"/>
      <c r="K13" s="5">
        <v>922</v>
      </c>
    </row>
    <row r="14" spans="1:11">
      <c r="K14" s="1">
        <v>623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Query 1x</vt:lpstr>
      <vt:lpstr>Mig 1x</vt:lpstr>
      <vt:lpstr>Query 2x</vt:lpstr>
      <vt:lpstr>Mig 2x</vt:lpstr>
      <vt:lpstr>Query 5x</vt:lpstr>
      <vt:lpstr>Mig 5x</vt:lpstr>
      <vt:lpstr>Query 10x</vt:lpstr>
      <vt:lpstr>Mig 10x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Gallinucci</dc:creator>
  <cp:lastModifiedBy>Enrico Gallinucci</cp:lastModifiedBy>
  <dcterms:created xsi:type="dcterms:W3CDTF">2024-11-19T20:35:28Z</dcterms:created>
  <dcterms:modified xsi:type="dcterms:W3CDTF">2025-01-13T11:56:28Z</dcterms:modified>
</cp:coreProperties>
</file>