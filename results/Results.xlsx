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Git\nosql-refactoring\results\"/>
    </mc:Choice>
  </mc:AlternateContent>
  <xr:revisionPtr revIDLastSave="0" documentId="13_ncr:1_{C3A0BC1D-BC2A-421F-9A6E-0C271D18B47B}" xr6:coauthVersionLast="47" xr6:coauthVersionMax="47" xr10:uidLastSave="{00000000-0000-0000-0000-000000000000}"/>
  <bookViews>
    <workbookView xWindow="-110" yWindow="-110" windowWidth="38620" windowHeight="21100" tabRatio="799" xr2:uid="{9DCFC8E8-6974-4295-BC43-7328B70AD737}"/>
  </bookViews>
  <sheets>
    <sheet name="Query 1x" sheetId="1" r:id="rId1"/>
    <sheet name="Mig 1x" sheetId="2" r:id="rId2"/>
    <sheet name="Query 2x" sheetId="4" r:id="rId3"/>
    <sheet name="Mig 2x" sheetId="6" r:id="rId4"/>
    <sheet name="Query 5x" sheetId="13" r:id="rId5"/>
    <sheet name="Mig 5x" sheetId="14" r:id="rId6"/>
    <sheet name="Query 10x" sheetId="7" r:id="rId7"/>
    <sheet name="Mig 10x" sheetId="8" r:id="rId8"/>
    <sheet name="Storage" sheetId="12" r:id="rId9"/>
    <sheet name="Optimization" sheetId="11" r:id="rId10"/>
    <sheet name="Migration" sheetId="9" r:id="rId11"/>
    <sheet name="Workload" sheetId="15" r:id="rId12"/>
  </sheets>
  <definedNames>
    <definedName name="_xlnm._FilterDatabase" localSheetId="8" hidden="1">Storage!$L$1:$R$265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9" i="13" l="1"/>
  <c r="W49" i="7"/>
  <c r="U49" i="13"/>
  <c r="AF49" i="7"/>
  <c r="AC49" i="13"/>
  <c r="AC49" i="4"/>
  <c r="U49" i="4"/>
  <c r="M49" i="4"/>
  <c r="AF49" i="1"/>
  <c r="W49" i="1"/>
  <c r="N49" i="1"/>
  <c r="E49" i="1"/>
  <c r="N49" i="7"/>
  <c r="E49" i="7"/>
  <c r="AI49" i="7"/>
  <c r="Z49" i="7"/>
  <c r="Z30" i="7"/>
  <c r="Q49" i="7"/>
  <c r="Q30" i="7"/>
  <c r="H49" i="7"/>
  <c r="H30" i="7"/>
  <c r="H17" i="7"/>
  <c r="H8" i="7"/>
  <c r="H18" i="1"/>
  <c r="Z31" i="1"/>
  <c r="AI50" i="1"/>
  <c r="H49" i="1"/>
  <c r="Q49" i="1"/>
  <c r="Z49" i="1"/>
  <c r="H30" i="1"/>
  <c r="Q30" i="1"/>
  <c r="H17" i="1"/>
  <c r="AI49" i="1"/>
  <c r="N30" i="1"/>
  <c r="Z30" i="1"/>
  <c r="H8" i="1"/>
  <c r="F17" i="7"/>
  <c r="F17" i="13"/>
  <c r="F17" i="4"/>
  <c r="F17" i="1"/>
  <c r="F30" i="1"/>
  <c r="O30" i="7"/>
  <c r="N30" i="13"/>
  <c r="N30" i="4"/>
  <c r="O30" i="1"/>
  <c r="F12" i="9"/>
  <c r="F11" i="9"/>
  <c r="F10" i="9"/>
  <c r="L5" i="9"/>
  <c r="M5" i="9" s="1"/>
  <c r="K5" i="9"/>
  <c r="K18" i="9"/>
  <c r="K27" i="9" s="1"/>
  <c r="M18" i="9"/>
  <c r="L18" i="9"/>
  <c r="D18" i="9"/>
  <c r="N5" i="9"/>
  <c r="N18" i="9" s="1"/>
  <c r="E5" i="9"/>
  <c r="E3" i="12"/>
  <c r="F3" i="12"/>
  <c r="G3" i="12"/>
  <c r="G10" i="12" s="1"/>
  <c r="H3" i="12"/>
  <c r="I3" i="12"/>
  <c r="J3" i="12"/>
  <c r="E4" i="12"/>
  <c r="F4" i="12"/>
  <c r="G4" i="12"/>
  <c r="G11" i="12" s="1"/>
  <c r="H4" i="12"/>
  <c r="I4" i="12"/>
  <c r="J4" i="12"/>
  <c r="E5" i="12"/>
  <c r="F5" i="12"/>
  <c r="G5" i="12"/>
  <c r="G12" i="12" s="1"/>
  <c r="H5" i="12"/>
  <c r="I5" i="12"/>
  <c r="J5" i="12"/>
  <c r="E6" i="12"/>
  <c r="F6" i="12"/>
  <c r="G6" i="12"/>
  <c r="G13" i="12" s="1"/>
  <c r="H6" i="12"/>
  <c r="I6" i="12"/>
  <c r="J6" i="12"/>
  <c r="C3" i="12"/>
  <c r="D3" i="12"/>
  <c r="D10" i="12" s="1"/>
  <c r="C4" i="12"/>
  <c r="D4" i="12"/>
  <c r="D11" i="12" s="1"/>
  <c r="C5" i="12"/>
  <c r="D5" i="12"/>
  <c r="D12" i="12" s="1"/>
  <c r="C6" i="12"/>
  <c r="D6" i="12"/>
  <c r="D13" i="12" s="1"/>
  <c r="B4" i="12"/>
  <c r="B5" i="12"/>
  <c r="B6" i="12"/>
  <c r="B3" i="12"/>
  <c r="AJ329" i="12"/>
  <c r="AI329" i="12"/>
  <c r="AH329" i="12"/>
  <c r="AG329" i="12"/>
  <c r="AF329" i="12"/>
  <c r="AE329" i="12"/>
  <c r="AD329" i="12"/>
  <c r="AC329" i="12"/>
  <c r="AB329" i="12"/>
  <c r="AJ328" i="12"/>
  <c r="AI328" i="12"/>
  <c r="AH328" i="12"/>
  <c r="AG328" i="12"/>
  <c r="AF328" i="12"/>
  <c r="AE328" i="12"/>
  <c r="AD328" i="12"/>
  <c r="AC328" i="12"/>
  <c r="AB328" i="12"/>
  <c r="AJ327" i="12"/>
  <c r="AI327" i="12"/>
  <c r="AH327" i="12"/>
  <c r="AG327" i="12"/>
  <c r="AF327" i="12"/>
  <c r="AE327" i="12"/>
  <c r="AD327" i="12"/>
  <c r="AC327" i="12"/>
  <c r="AB327" i="12"/>
  <c r="AJ326" i="12"/>
  <c r="AI326" i="12"/>
  <c r="AH326" i="12"/>
  <c r="AG326" i="12"/>
  <c r="AF326" i="12"/>
  <c r="AE326" i="12"/>
  <c r="AD326" i="12"/>
  <c r="AC326" i="12"/>
  <c r="AB326" i="12"/>
  <c r="AJ325" i="12"/>
  <c r="AI325" i="12"/>
  <c r="AH325" i="12"/>
  <c r="AG325" i="12"/>
  <c r="AF325" i="12"/>
  <c r="AE325" i="12"/>
  <c r="AD325" i="12"/>
  <c r="AC325" i="12"/>
  <c r="AB325" i="12"/>
  <c r="AJ324" i="12"/>
  <c r="AI324" i="12"/>
  <c r="AH324" i="12"/>
  <c r="AG324" i="12"/>
  <c r="AF324" i="12"/>
  <c r="AE324" i="12"/>
  <c r="AD324" i="12"/>
  <c r="AC324" i="12"/>
  <c r="AB324" i="12"/>
  <c r="AJ323" i="12"/>
  <c r="AI323" i="12"/>
  <c r="AH323" i="12"/>
  <c r="AG323" i="12"/>
  <c r="AF323" i="12"/>
  <c r="AE323" i="12"/>
  <c r="AD323" i="12"/>
  <c r="AC323" i="12"/>
  <c r="AB323" i="12"/>
  <c r="AJ322" i="12"/>
  <c r="AI322" i="12"/>
  <c r="AH322" i="12"/>
  <c r="AG322" i="12"/>
  <c r="AF322" i="12"/>
  <c r="AE322" i="12"/>
  <c r="AD322" i="12"/>
  <c r="AC322" i="12"/>
  <c r="AB322" i="12"/>
  <c r="AJ321" i="12"/>
  <c r="AI321" i="12"/>
  <c r="AH321" i="12"/>
  <c r="AG321" i="12"/>
  <c r="AF321" i="12"/>
  <c r="AE321" i="12"/>
  <c r="AD321" i="12"/>
  <c r="AC321" i="12"/>
  <c r="AB321" i="12"/>
  <c r="AJ320" i="12"/>
  <c r="AI320" i="12"/>
  <c r="AH320" i="12"/>
  <c r="AG320" i="12"/>
  <c r="AF320" i="12"/>
  <c r="AE320" i="12"/>
  <c r="AD320" i="12"/>
  <c r="AC320" i="12"/>
  <c r="AB320" i="12"/>
  <c r="AJ319" i="12"/>
  <c r="AI319" i="12"/>
  <c r="AH319" i="12"/>
  <c r="AG319" i="12"/>
  <c r="AF319" i="12"/>
  <c r="AE319" i="12"/>
  <c r="AD319" i="12"/>
  <c r="AC319" i="12"/>
  <c r="AB319" i="12"/>
  <c r="AJ318" i="12"/>
  <c r="AI318" i="12"/>
  <c r="AH318" i="12"/>
  <c r="AG318" i="12"/>
  <c r="AF318" i="12"/>
  <c r="AE318" i="12"/>
  <c r="AD318" i="12"/>
  <c r="AC318" i="12"/>
  <c r="AB318" i="12"/>
  <c r="AJ317" i="12"/>
  <c r="AI317" i="12"/>
  <c r="AH317" i="12"/>
  <c r="AG317" i="12"/>
  <c r="AF317" i="12"/>
  <c r="AE317" i="12"/>
  <c r="AD317" i="12"/>
  <c r="AC317" i="12"/>
  <c r="AB317" i="12"/>
  <c r="AJ316" i="12"/>
  <c r="AI316" i="12"/>
  <c r="AH316" i="12"/>
  <c r="AG316" i="12"/>
  <c r="AF316" i="12"/>
  <c r="AE316" i="12"/>
  <c r="AD316" i="12"/>
  <c r="AC316" i="12"/>
  <c r="AB316" i="12"/>
  <c r="AJ315" i="12"/>
  <c r="AI315" i="12"/>
  <c r="AH315" i="12"/>
  <c r="AG315" i="12"/>
  <c r="AF315" i="12"/>
  <c r="AE315" i="12"/>
  <c r="AD315" i="12"/>
  <c r="AC315" i="12"/>
  <c r="AB315" i="12"/>
  <c r="AJ314" i="12"/>
  <c r="AI314" i="12"/>
  <c r="AH314" i="12"/>
  <c r="AG314" i="12"/>
  <c r="AF314" i="12"/>
  <c r="AE314" i="12"/>
  <c r="AD314" i="12"/>
  <c r="AC314" i="12"/>
  <c r="AB314" i="12"/>
  <c r="AJ313" i="12"/>
  <c r="AI313" i="12"/>
  <c r="AH313" i="12"/>
  <c r="AG313" i="12"/>
  <c r="AF313" i="12"/>
  <c r="AE313" i="12"/>
  <c r="AD313" i="12"/>
  <c r="AC313" i="12"/>
  <c r="AB313" i="12"/>
  <c r="AJ312" i="12"/>
  <c r="AI312" i="12"/>
  <c r="AH312" i="12"/>
  <c r="AG312" i="12"/>
  <c r="AF312" i="12"/>
  <c r="AE312" i="12"/>
  <c r="AD312" i="12"/>
  <c r="AC312" i="12"/>
  <c r="AB312" i="12"/>
  <c r="AJ311" i="12"/>
  <c r="AI311" i="12"/>
  <c r="AH311" i="12"/>
  <c r="AG311" i="12"/>
  <c r="AF311" i="12"/>
  <c r="AE311" i="12"/>
  <c r="AD311" i="12"/>
  <c r="AC311" i="12"/>
  <c r="AB311" i="12"/>
  <c r="AJ310" i="12"/>
  <c r="AI310" i="12"/>
  <c r="AH310" i="12"/>
  <c r="AG310" i="12"/>
  <c r="AF310" i="12"/>
  <c r="AE310" i="12"/>
  <c r="AD310" i="12"/>
  <c r="AC310" i="12"/>
  <c r="AB310" i="12"/>
  <c r="AJ309" i="12"/>
  <c r="AI309" i="12"/>
  <c r="AH309" i="12"/>
  <c r="AG309" i="12"/>
  <c r="AF309" i="12"/>
  <c r="AE309" i="12"/>
  <c r="AD309" i="12"/>
  <c r="AC309" i="12"/>
  <c r="AB309" i="12"/>
  <c r="AJ308" i="12"/>
  <c r="AI308" i="12"/>
  <c r="AH308" i="12"/>
  <c r="AG308" i="12"/>
  <c r="AF308" i="12"/>
  <c r="AE308" i="12"/>
  <c r="AD308" i="12"/>
  <c r="AC308" i="12"/>
  <c r="AB308" i="12"/>
  <c r="AJ307" i="12"/>
  <c r="AI307" i="12"/>
  <c r="AH307" i="12"/>
  <c r="AG307" i="12"/>
  <c r="AF307" i="12"/>
  <c r="AE307" i="12"/>
  <c r="AD307" i="12"/>
  <c r="AC307" i="12"/>
  <c r="AB307" i="12"/>
  <c r="AJ306" i="12"/>
  <c r="AI306" i="12"/>
  <c r="AH306" i="12"/>
  <c r="AG306" i="12"/>
  <c r="AF306" i="12"/>
  <c r="AE306" i="12"/>
  <c r="AD306" i="12"/>
  <c r="AC306" i="12"/>
  <c r="AB306" i="12"/>
  <c r="AJ305" i="12"/>
  <c r="AI305" i="12"/>
  <c r="AH305" i="12"/>
  <c r="AG305" i="12"/>
  <c r="AF305" i="12"/>
  <c r="AE305" i="12"/>
  <c r="AD305" i="12"/>
  <c r="AC305" i="12"/>
  <c r="AB305" i="12"/>
  <c r="AJ304" i="12"/>
  <c r="AI304" i="12"/>
  <c r="AH304" i="12"/>
  <c r="AG304" i="12"/>
  <c r="AF304" i="12"/>
  <c r="AE304" i="12"/>
  <c r="AD304" i="12"/>
  <c r="AC304" i="12"/>
  <c r="AB304" i="12"/>
  <c r="AJ303" i="12"/>
  <c r="AI303" i="12"/>
  <c r="AH303" i="12"/>
  <c r="AG303" i="12"/>
  <c r="AF303" i="12"/>
  <c r="AE303" i="12"/>
  <c r="AD303" i="12"/>
  <c r="AC303" i="12"/>
  <c r="AB303" i="12"/>
  <c r="AJ302" i="12"/>
  <c r="AI302" i="12"/>
  <c r="AH302" i="12"/>
  <c r="AG302" i="12"/>
  <c r="AF302" i="12"/>
  <c r="AE302" i="12"/>
  <c r="AD302" i="12"/>
  <c r="AC302" i="12"/>
  <c r="AB302" i="12"/>
  <c r="AJ301" i="12"/>
  <c r="AI301" i="12"/>
  <c r="AH301" i="12"/>
  <c r="AG301" i="12"/>
  <c r="AF301" i="12"/>
  <c r="AE301" i="12"/>
  <c r="AD301" i="12"/>
  <c r="AC301" i="12"/>
  <c r="AB301" i="12"/>
  <c r="AJ300" i="12"/>
  <c r="AI300" i="12"/>
  <c r="AH300" i="12"/>
  <c r="AG300" i="12"/>
  <c r="AF300" i="12"/>
  <c r="AE300" i="12"/>
  <c r="AD300" i="12"/>
  <c r="AC300" i="12"/>
  <c r="AB300" i="12"/>
  <c r="AJ299" i="12"/>
  <c r="AI299" i="12"/>
  <c r="AH299" i="12"/>
  <c r="AG299" i="12"/>
  <c r="AF299" i="12"/>
  <c r="AE299" i="12"/>
  <c r="AD299" i="12"/>
  <c r="AC299" i="12"/>
  <c r="AB299" i="12"/>
  <c r="AJ298" i="12"/>
  <c r="AI298" i="12"/>
  <c r="AH298" i="12"/>
  <c r="AG298" i="12"/>
  <c r="AF298" i="12"/>
  <c r="AE298" i="12"/>
  <c r="AD298" i="12"/>
  <c r="AC298" i="12"/>
  <c r="AB298" i="12"/>
  <c r="AJ297" i="12"/>
  <c r="AI297" i="12"/>
  <c r="AH297" i="12"/>
  <c r="AG297" i="12"/>
  <c r="AF297" i="12"/>
  <c r="AE297" i="12"/>
  <c r="AD297" i="12"/>
  <c r="AC297" i="12"/>
  <c r="AB297" i="12"/>
  <c r="AJ296" i="12"/>
  <c r="AI296" i="12"/>
  <c r="AH296" i="12"/>
  <c r="AG296" i="12"/>
  <c r="AF296" i="12"/>
  <c r="AE296" i="12"/>
  <c r="AD296" i="12"/>
  <c r="AC296" i="12"/>
  <c r="AB296" i="12"/>
  <c r="AJ295" i="12"/>
  <c r="AI295" i="12"/>
  <c r="AH295" i="12"/>
  <c r="AG295" i="12"/>
  <c r="AF295" i="12"/>
  <c r="AE295" i="12"/>
  <c r="AD295" i="12"/>
  <c r="AC295" i="12"/>
  <c r="AB295" i="12"/>
  <c r="AJ294" i="12"/>
  <c r="AI294" i="12"/>
  <c r="AH294" i="12"/>
  <c r="AG294" i="12"/>
  <c r="AF294" i="12"/>
  <c r="AE294" i="12"/>
  <c r="AD294" i="12"/>
  <c r="AC294" i="12"/>
  <c r="AB294" i="12"/>
  <c r="AJ293" i="12"/>
  <c r="AI293" i="12"/>
  <c r="AH293" i="12"/>
  <c r="AG293" i="12"/>
  <c r="AF293" i="12"/>
  <c r="AE293" i="12"/>
  <c r="AD293" i="12"/>
  <c r="AC293" i="12"/>
  <c r="AB293" i="12"/>
  <c r="AJ292" i="12"/>
  <c r="AI292" i="12"/>
  <c r="AH292" i="12"/>
  <c r="AG292" i="12"/>
  <c r="AF292" i="12"/>
  <c r="AE292" i="12"/>
  <c r="AD292" i="12"/>
  <c r="AC292" i="12"/>
  <c r="AB292" i="12"/>
  <c r="AJ291" i="12"/>
  <c r="AI291" i="12"/>
  <c r="AH291" i="12"/>
  <c r="AG291" i="12"/>
  <c r="AF291" i="12"/>
  <c r="AE291" i="12"/>
  <c r="AD291" i="12"/>
  <c r="AC291" i="12"/>
  <c r="AB291" i="12"/>
  <c r="AJ290" i="12"/>
  <c r="AI290" i="12"/>
  <c r="AH290" i="12"/>
  <c r="AG290" i="12"/>
  <c r="AF290" i="12"/>
  <c r="AE290" i="12"/>
  <c r="AD290" i="12"/>
  <c r="AC290" i="12"/>
  <c r="AB290" i="12"/>
  <c r="AJ289" i="12"/>
  <c r="AI289" i="12"/>
  <c r="AH289" i="12"/>
  <c r="AG289" i="12"/>
  <c r="AF289" i="12"/>
  <c r="AE289" i="12"/>
  <c r="AD289" i="12"/>
  <c r="AC289" i="12"/>
  <c r="AB289" i="12"/>
  <c r="AJ288" i="12"/>
  <c r="AI288" i="12"/>
  <c r="AH288" i="12"/>
  <c r="AG288" i="12"/>
  <c r="AF288" i="12"/>
  <c r="AE288" i="12"/>
  <c r="AD288" i="12"/>
  <c r="AC288" i="12"/>
  <c r="AB288" i="12"/>
  <c r="AJ287" i="12"/>
  <c r="AI287" i="12"/>
  <c r="AH287" i="12"/>
  <c r="AG287" i="12"/>
  <c r="AF287" i="12"/>
  <c r="AE287" i="12"/>
  <c r="AD287" i="12"/>
  <c r="AC287" i="12"/>
  <c r="AB287" i="12"/>
  <c r="AJ286" i="12"/>
  <c r="AI286" i="12"/>
  <c r="AH286" i="12"/>
  <c r="AG286" i="12"/>
  <c r="AF286" i="12"/>
  <c r="AE286" i="12"/>
  <c r="AD286" i="12"/>
  <c r="AC286" i="12"/>
  <c r="AB286" i="12"/>
  <c r="AJ285" i="12"/>
  <c r="AI285" i="12"/>
  <c r="AH285" i="12"/>
  <c r="AG285" i="12"/>
  <c r="AF285" i="12"/>
  <c r="AE285" i="12"/>
  <c r="AD285" i="12"/>
  <c r="AC285" i="12"/>
  <c r="AB285" i="12"/>
  <c r="AJ284" i="12"/>
  <c r="AI284" i="12"/>
  <c r="AH284" i="12"/>
  <c r="AG284" i="12"/>
  <c r="AF284" i="12"/>
  <c r="AE284" i="12"/>
  <c r="AD284" i="12"/>
  <c r="AC284" i="12"/>
  <c r="AB284" i="12"/>
  <c r="AJ283" i="12"/>
  <c r="AI283" i="12"/>
  <c r="AH283" i="12"/>
  <c r="AG283" i="12"/>
  <c r="AF283" i="12"/>
  <c r="AE283" i="12"/>
  <c r="AD283" i="12"/>
  <c r="AC283" i="12"/>
  <c r="AB283" i="12"/>
  <c r="AJ282" i="12"/>
  <c r="AI282" i="12"/>
  <c r="AH282" i="12"/>
  <c r="AG282" i="12"/>
  <c r="AF282" i="12"/>
  <c r="AE282" i="12"/>
  <c r="AD282" i="12"/>
  <c r="AC282" i="12"/>
  <c r="AB282" i="12"/>
  <c r="AJ281" i="12"/>
  <c r="AI281" i="12"/>
  <c r="AH281" i="12"/>
  <c r="AG281" i="12"/>
  <c r="AF281" i="12"/>
  <c r="AE281" i="12"/>
  <c r="AD281" i="12"/>
  <c r="AC281" i="12"/>
  <c r="AB281" i="12"/>
  <c r="AJ280" i="12"/>
  <c r="AI280" i="12"/>
  <c r="AH280" i="12"/>
  <c r="AG280" i="12"/>
  <c r="AF280" i="12"/>
  <c r="AE280" i="12"/>
  <c r="AD280" i="12"/>
  <c r="AC280" i="12"/>
  <c r="AB280" i="12"/>
  <c r="AJ279" i="12"/>
  <c r="AI279" i="12"/>
  <c r="AH279" i="12"/>
  <c r="AG279" i="12"/>
  <c r="AF279" i="12"/>
  <c r="AE279" i="12"/>
  <c r="AD279" i="12"/>
  <c r="AC279" i="12"/>
  <c r="AB279" i="12"/>
  <c r="AJ278" i="12"/>
  <c r="AI278" i="12"/>
  <c r="AH278" i="12"/>
  <c r="AG278" i="12"/>
  <c r="AF278" i="12"/>
  <c r="AE278" i="12"/>
  <c r="AD278" i="12"/>
  <c r="AC278" i="12"/>
  <c r="AB278" i="12"/>
  <c r="AJ277" i="12"/>
  <c r="AI277" i="12"/>
  <c r="AH277" i="12"/>
  <c r="AG277" i="12"/>
  <c r="AF277" i="12"/>
  <c r="AE277" i="12"/>
  <c r="AD277" i="12"/>
  <c r="AC277" i="12"/>
  <c r="AB277" i="12"/>
  <c r="AJ276" i="12"/>
  <c r="AI276" i="12"/>
  <c r="AH276" i="12"/>
  <c r="AG276" i="12"/>
  <c r="AF276" i="12"/>
  <c r="AE276" i="12"/>
  <c r="AD276" i="12"/>
  <c r="AC276" i="12"/>
  <c r="AB276" i="12"/>
  <c r="AJ275" i="12"/>
  <c r="AI275" i="12"/>
  <c r="AH275" i="12"/>
  <c r="AG275" i="12"/>
  <c r="AF275" i="12"/>
  <c r="AE275" i="12"/>
  <c r="AD275" i="12"/>
  <c r="AC275" i="12"/>
  <c r="AB275" i="12"/>
  <c r="AJ274" i="12"/>
  <c r="AI274" i="12"/>
  <c r="AH274" i="12"/>
  <c r="AG274" i="12"/>
  <c r="AF274" i="12"/>
  <c r="AE274" i="12"/>
  <c r="AD274" i="12"/>
  <c r="AC274" i="12"/>
  <c r="AB274" i="12"/>
  <c r="AJ273" i="12"/>
  <c r="AI273" i="12"/>
  <c r="AH273" i="12"/>
  <c r="AG273" i="12"/>
  <c r="AF273" i="12"/>
  <c r="AE273" i="12"/>
  <c r="AD273" i="12"/>
  <c r="AC273" i="12"/>
  <c r="AB273" i="12"/>
  <c r="AJ272" i="12"/>
  <c r="AI272" i="12"/>
  <c r="AH272" i="12"/>
  <c r="AG272" i="12"/>
  <c r="AF272" i="12"/>
  <c r="AE272" i="12"/>
  <c r="AD272" i="12"/>
  <c r="AC272" i="12"/>
  <c r="AB272" i="12"/>
  <c r="AJ271" i="12"/>
  <c r="AI271" i="12"/>
  <c r="AH271" i="12"/>
  <c r="AG271" i="12"/>
  <c r="AF271" i="12"/>
  <c r="AE271" i="12"/>
  <c r="AD271" i="12"/>
  <c r="AC271" i="12"/>
  <c r="AB271" i="12"/>
  <c r="AJ270" i="12"/>
  <c r="AI270" i="12"/>
  <c r="AH270" i="12"/>
  <c r="AG270" i="12"/>
  <c r="AF270" i="12"/>
  <c r="AE270" i="12"/>
  <c r="AD270" i="12"/>
  <c r="AC270" i="12"/>
  <c r="AB270" i="12"/>
  <c r="AJ269" i="12"/>
  <c r="AI269" i="12"/>
  <c r="AH269" i="12"/>
  <c r="AG269" i="12"/>
  <c r="AF269" i="12"/>
  <c r="AE269" i="12"/>
  <c r="AD269" i="12"/>
  <c r="AC269" i="12"/>
  <c r="AB269" i="12"/>
  <c r="AJ268" i="12"/>
  <c r="AI268" i="12"/>
  <c r="AH268" i="12"/>
  <c r="AG268" i="12"/>
  <c r="AF268" i="12"/>
  <c r="AE268" i="12"/>
  <c r="AD268" i="12"/>
  <c r="AC268" i="12"/>
  <c r="AB268" i="12"/>
  <c r="AJ267" i="12"/>
  <c r="AI267" i="12"/>
  <c r="AH267" i="12"/>
  <c r="AG267" i="12"/>
  <c r="AF267" i="12"/>
  <c r="AE267" i="12"/>
  <c r="AD267" i="12"/>
  <c r="AC267" i="12"/>
  <c r="AB267" i="12"/>
  <c r="AJ266" i="12"/>
  <c r="AI266" i="12"/>
  <c r="AH266" i="12"/>
  <c r="AG266" i="12"/>
  <c r="AF266" i="12"/>
  <c r="AE266" i="12"/>
  <c r="AD266" i="12"/>
  <c r="AC266" i="12"/>
  <c r="AB266" i="12"/>
  <c r="AB193" i="12"/>
  <c r="AC193" i="12"/>
  <c r="AD193" i="12"/>
  <c r="AE193" i="12"/>
  <c r="AF193" i="12"/>
  <c r="AG193" i="12"/>
  <c r="AH193" i="12"/>
  <c r="AI193" i="12"/>
  <c r="R329" i="12"/>
  <c r="R328" i="12"/>
  <c r="R327" i="12"/>
  <c r="R326" i="12"/>
  <c r="R325" i="12"/>
  <c r="R324" i="12"/>
  <c r="R323" i="12"/>
  <c r="R322" i="12"/>
  <c r="R321" i="12"/>
  <c r="R320" i="12"/>
  <c r="R319" i="12"/>
  <c r="R318" i="12"/>
  <c r="R317" i="12"/>
  <c r="R316" i="12"/>
  <c r="R315" i="12"/>
  <c r="R314" i="12"/>
  <c r="R313" i="12"/>
  <c r="R312" i="12"/>
  <c r="R311" i="12"/>
  <c r="R310" i="12"/>
  <c r="R309" i="12"/>
  <c r="R308" i="12"/>
  <c r="R307" i="12"/>
  <c r="R306" i="12"/>
  <c r="R305" i="12"/>
  <c r="R304" i="12"/>
  <c r="R303" i="12"/>
  <c r="R302" i="12"/>
  <c r="R301" i="12"/>
  <c r="R300" i="12"/>
  <c r="R299" i="12"/>
  <c r="R298" i="12"/>
  <c r="R297" i="12"/>
  <c r="R296" i="12"/>
  <c r="R295" i="12"/>
  <c r="R294" i="12"/>
  <c r="R293" i="12"/>
  <c r="R292" i="12"/>
  <c r="R291" i="12"/>
  <c r="R290" i="12"/>
  <c r="R289" i="12"/>
  <c r="R288" i="12"/>
  <c r="R287" i="12"/>
  <c r="R286" i="12"/>
  <c r="R285" i="12"/>
  <c r="R284" i="12"/>
  <c r="R283" i="12"/>
  <c r="R282" i="12"/>
  <c r="R281" i="12"/>
  <c r="R280" i="12"/>
  <c r="R279" i="12"/>
  <c r="R278" i="12"/>
  <c r="R277" i="12"/>
  <c r="R276" i="12"/>
  <c r="R275" i="12"/>
  <c r="R274" i="12"/>
  <c r="R273" i="12"/>
  <c r="R272" i="12"/>
  <c r="R271" i="12"/>
  <c r="R270" i="12"/>
  <c r="R269" i="12"/>
  <c r="R268" i="12"/>
  <c r="R267" i="12"/>
  <c r="R266" i="12"/>
  <c r="W30" i="7"/>
  <c r="D7" i="11" s="1"/>
  <c r="U30" i="13"/>
  <c r="D6" i="11" s="1"/>
  <c r="U30" i="4"/>
  <c r="D5" i="11" s="1"/>
  <c r="G7" i="11"/>
  <c r="G6" i="11"/>
  <c r="G5" i="11"/>
  <c r="G4" i="11"/>
  <c r="W30" i="1"/>
  <c r="D4" i="11" s="1"/>
  <c r="M26" i="9"/>
  <c r="L27" i="9"/>
  <c r="M27" i="9"/>
  <c r="N27" i="9"/>
  <c r="O27" i="9"/>
  <c r="M19" i="9"/>
  <c r="N6" i="9"/>
  <c r="M17" i="9"/>
  <c r="N4" i="9"/>
  <c r="M16" i="9"/>
  <c r="M20" i="9" s="1"/>
  <c r="N3" i="9"/>
  <c r="D19" i="9"/>
  <c r="D17" i="9"/>
  <c r="D16" i="9"/>
  <c r="E3" i="9"/>
  <c r="D3" i="15"/>
  <c r="D4" i="15"/>
  <c r="D2" i="15"/>
  <c r="C8" i="15"/>
  <c r="K17" i="9"/>
  <c r="K33" i="9" s="1"/>
  <c r="K4" i="9"/>
  <c r="L11" i="9"/>
  <c r="L12" i="9" s="1"/>
  <c r="C11" i="9"/>
  <c r="C12" i="9" s="1"/>
  <c r="AB50" i="12"/>
  <c r="AC50" i="12"/>
  <c r="AE50" i="12"/>
  <c r="AF50" i="12"/>
  <c r="AH50" i="12"/>
  <c r="AI50" i="12"/>
  <c r="AJ50" i="12"/>
  <c r="AB51" i="12"/>
  <c r="AC51" i="12"/>
  <c r="AE51" i="12"/>
  <c r="AF51" i="12"/>
  <c r="AH51" i="12"/>
  <c r="AI51" i="12"/>
  <c r="AJ51" i="12"/>
  <c r="AB52" i="12"/>
  <c r="AC52" i="12"/>
  <c r="AE52" i="12"/>
  <c r="AF52" i="12"/>
  <c r="AH52" i="12"/>
  <c r="AI52" i="12"/>
  <c r="AJ52" i="12"/>
  <c r="AB53" i="12"/>
  <c r="AC53" i="12"/>
  <c r="AE53" i="12"/>
  <c r="AF53" i="12"/>
  <c r="AH53" i="12"/>
  <c r="AI53" i="12"/>
  <c r="AJ53" i="12"/>
  <c r="AB54" i="12"/>
  <c r="AC54" i="12"/>
  <c r="AE54" i="12"/>
  <c r="AF54" i="12"/>
  <c r="AH54" i="12"/>
  <c r="AI54" i="12"/>
  <c r="AJ54" i="12"/>
  <c r="AB55" i="12"/>
  <c r="AC55" i="12"/>
  <c r="AE55" i="12"/>
  <c r="AF55" i="12"/>
  <c r="AH55" i="12"/>
  <c r="AI55" i="12"/>
  <c r="AJ55" i="12"/>
  <c r="AB56" i="12"/>
  <c r="AC56" i="12"/>
  <c r="AE56" i="12"/>
  <c r="AF56" i="12"/>
  <c r="AH56" i="12"/>
  <c r="AI56" i="12"/>
  <c r="AJ56" i="12"/>
  <c r="AB57" i="12"/>
  <c r="AC57" i="12"/>
  <c r="AE57" i="12"/>
  <c r="AF57" i="12"/>
  <c r="AH57" i="12"/>
  <c r="AI57" i="12"/>
  <c r="AJ57" i="12"/>
  <c r="AB58" i="12"/>
  <c r="AC58" i="12"/>
  <c r="AE58" i="12"/>
  <c r="AF58" i="12"/>
  <c r="AH58" i="12"/>
  <c r="AI58" i="12"/>
  <c r="AJ58" i="12"/>
  <c r="AB59" i="12"/>
  <c r="AC59" i="12"/>
  <c r="AE59" i="12"/>
  <c r="AF59" i="12"/>
  <c r="AH59" i="12"/>
  <c r="AI59" i="12"/>
  <c r="AJ59" i="12"/>
  <c r="AB60" i="12"/>
  <c r="AC60" i="12"/>
  <c r="AE60" i="12"/>
  <c r="AF60" i="12"/>
  <c r="AH60" i="12"/>
  <c r="AI60" i="12"/>
  <c r="AJ60" i="12"/>
  <c r="AB61" i="12"/>
  <c r="AC61" i="12"/>
  <c r="AE61" i="12"/>
  <c r="AF61" i="12"/>
  <c r="AH61" i="12"/>
  <c r="AI61" i="12"/>
  <c r="AJ61" i="12"/>
  <c r="AB62" i="12"/>
  <c r="AC62" i="12"/>
  <c r="AE62" i="12"/>
  <c r="AF62" i="12"/>
  <c r="AH62" i="12"/>
  <c r="AI62" i="12"/>
  <c r="AJ62" i="12"/>
  <c r="AB63" i="12"/>
  <c r="AC63" i="12"/>
  <c r="AE63" i="12"/>
  <c r="AF63" i="12"/>
  <c r="AH63" i="12"/>
  <c r="AI63" i="12"/>
  <c r="AJ63" i="12"/>
  <c r="AB64" i="12"/>
  <c r="AC64" i="12"/>
  <c r="AE64" i="12"/>
  <c r="AF64" i="12"/>
  <c r="AH64" i="12"/>
  <c r="AI64" i="12"/>
  <c r="AJ64" i="12"/>
  <c r="AB65" i="12"/>
  <c r="AC65" i="12"/>
  <c r="AE65" i="12"/>
  <c r="AF65" i="12"/>
  <c r="AH65" i="12"/>
  <c r="AI65" i="12"/>
  <c r="AJ65" i="12"/>
  <c r="AB66" i="12"/>
  <c r="AC66" i="12"/>
  <c r="AE66" i="12"/>
  <c r="AF66" i="12"/>
  <c r="AH66" i="12"/>
  <c r="AI66" i="12"/>
  <c r="AJ66" i="12"/>
  <c r="AB67" i="12"/>
  <c r="AC67" i="12"/>
  <c r="AE67" i="12"/>
  <c r="AF67" i="12"/>
  <c r="AH67" i="12"/>
  <c r="AI67" i="12"/>
  <c r="AJ67" i="12"/>
  <c r="AB68" i="12"/>
  <c r="AC68" i="12"/>
  <c r="AE68" i="12"/>
  <c r="AF68" i="12"/>
  <c r="AH68" i="12"/>
  <c r="AI68" i="12"/>
  <c r="AJ68" i="12"/>
  <c r="AB69" i="12"/>
  <c r="AC69" i="12"/>
  <c r="AE69" i="12"/>
  <c r="AF69" i="12"/>
  <c r="AH69" i="12"/>
  <c r="AI69" i="12"/>
  <c r="AJ69" i="12"/>
  <c r="AB70" i="12"/>
  <c r="AC70" i="12"/>
  <c r="AE70" i="12"/>
  <c r="AF70" i="12"/>
  <c r="AH70" i="12"/>
  <c r="AI70" i="12"/>
  <c r="AJ70" i="12"/>
  <c r="AB71" i="12"/>
  <c r="AC71" i="12"/>
  <c r="AE71" i="12"/>
  <c r="AF71" i="12"/>
  <c r="AH71" i="12"/>
  <c r="AI71" i="12"/>
  <c r="AJ71" i="12"/>
  <c r="AB72" i="12"/>
  <c r="AC72" i="12"/>
  <c r="AE72" i="12"/>
  <c r="AF72" i="12"/>
  <c r="AH72" i="12"/>
  <c r="AI72" i="12"/>
  <c r="AJ72" i="12"/>
  <c r="AB73" i="12"/>
  <c r="AC73" i="12"/>
  <c r="AE73" i="12"/>
  <c r="AF73" i="12"/>
  <c r="AH73" i="12"/>
  <c r="AI73" i="12"/>
  <c r="AJ73" i="12"/>
  <c r="AB74" i="12"/>
  <c r="AC74" i="12"/>
  <c r="AE74" i="12"/>
  <c r="AF74" i="12"/>
  <c r="AH74" i="12"/>
  <c r="AI74" i="12"/>
  <c r="AJ74" i="12"/>
  <c r="AB75" i="12"/>
  <c r="AC75" i="12"/>
  <c r="AE75" i="12"/>
  <c r="AF75" i="12"/>
  <c r="AH75" i="12"/>
  <c r="AI75" i="12"/>
  <c r="AJ75" i="12"/>
  <c r="AB76" i="12"/>
  <c r="AC76" i="12"/>
  <c r="AE76" i="12"/>
  <c r="AF76" i="12"/>
  <c r="AH76" i="12"/>
  <c r="AI76" i="12"/>
  <c r="AJ76" i="12"/>
  <c r="AB77" i="12"/>
  <c r="AC77" i="12"/>
  <c r="AE77" i="12"/>
  <c r="AF77" i="12"/>
  <c r="AH77" i="12"/>
  <c r="AI77" i="12"/>
  <c r="AJ77" i="12"/>
  <c r="AB78" i="12"/>
  <c r="AC78" i="12"/>
  <c r="AE78" i="12"/>
  <c r="AF78" i="12"/>
  <c r="AH78" i="12"/>
  <c r="AI78" i="12"/>
  <c r="AJ78" i="12"/>
  <c r="AB79" i="12"/>
  <c r="AC79" i="12"/>
  <c r="AE79" i="12"/>
  <c r="AF79" i="12"/>
  <c r="AH79" i="12"/>
  <c r="AI79" i="12"/>
  <c r="AJ79" i="12"/>
  <c r="AB80" i="12"/>
  <c r="AC80" i="12"/>
  <c r="AE80" i="12"/>
  <c r="AF80" i="12"/>
  <c r="AH80" i="12"/>
  <c r="AI80" i="12"/>
  <c r="AJ80" i="12"/>
  <c r="AB81" i="12"/>
  <c r="AC81" i="12"/>
  <c r="AE81" i="12"/>
  <c r="AF81" i="12"/>
  <c r="AH81" i="12"/>
  <c r="AI81" i="12"/>
  <c r="AJ81" i="12"/>
  <c r="AB82" i="12"/>
  <c r="AC82" i="12"/>
  <c r="AE82" i="12"/>
  <c r="AF82" i="12"/>
  <c r="AH82" i="12"/>
  <c r="AI82" i="12"/>
  <c r="AJ82" i="12"/>
  <c r="AB83" i="12"/>
  <c r="AC83" i="12"/>
  <c r="AE83" i="12"/>
  <c r="AF83" i="12"/>
  <c r="AH83" i="12"/>
  <c r="AI83" i="12"/>
  <c r="AJ83" i="12"/>
  <c r="AB84" i="12"/>
  <c r="AC84" i="12"/>
  <c r="AE84" i="12"/>
  <c r="AF84" i="12"/>
  <c r="AH84" i="12"/>
  <c r="AI84" i="12"/>
  <c r="AJ84" i="12"/>
  <c r="AB85" i="12"/>
  <c r="AC85" i="12"/>
  <c r="AE85" i="12"/>
  <c r="AF85" i="12"/>
  <c r="AH85" i="12"/>
  <c r="AI85" i="12"/>
  <c r="AJ85" i="12"/>
  <c r="AB86" i="12"/>
  <c r="AC86" i="12"/>
  <c r="AE86" i="12"/>
  <c r="AF86" i="12"/>
  <c r="AH86" i="12"/>
  <c r="AI86" i="12"/>
  <c r="AJ86" i="12"/>
  <c r="AB87" i="12"/>
  <c r="AC87" i="12"/>
  <c r="AE87" i="12"/>
  <c r="AF87" i="12"/>
  <c r="AH87" i="12"/>
  <c r="AI87" i="12"/>
  <c r="AJ87" i="12"/>
  <c r="AB88" i="12"/>
  <c r="AC88" i="12"/>
  <c r="AE88" i="12"/>
  <c r="AF88" i="12"/>
  <c r="AH88" i="12"/>
  <c r="AI88" i="12"/>
  <c r="AJ88" i="12"/>
  <c r="AB89" i="12"/>
  <c r="AC89" i="12"/>
  <c r="AE89" i="12"/>
  <c r="AF89" i="12"/>
  <c r="AH89" i="12"/>
  <c r="AI89" i="12"/>
  <c r="AJ89" i="12"/>
  <c r="AB90" i="12"/>
  <c r="AC90" i="12"/>
  <c r="AE90" i="12"/>
  <c r="AF90" i="12"/>
  <c r="AH90" i="12"/>
  <c r="AI90" i="12"/>
  <c r="AJ90" i="12"/>
  <c r="AB91" i="12"/>
  <c r="AC91" i="12"/>
  <c r="AE91" i="12"/>
  <c r="AF91" i="12"/>
  <c r="AH91" i="12"/>
  <c r="AI91" i="12"/>
  <c r="AJ91" i="12"/>
  <c r="AB92" i="12"/>
  <c r="AC92" i="12"/>
  <c r="AE92" i="12"/>
  <c r="AF92" i="12"/>
  <c r="AH92" i="12"/>
  <c r="AI92" i="12"/>
  <c r="AJ92" i="12"/>
  <c r="AB93" i="12"/>
  <c r="AC93" i="12"/>
  <c r="AE93" i="12"/>
  <c r="AF93" i="12"/>
  <c r="AH93" i="12"/>
  <c r="AI93" i="12"/>
  <c r="AJ93" i="12"/>
  <c r="AB94" i="12"/>
  <c r="AC94" i="12"/>
  <c r="AE94" i="12"/>
  <c r="AF94" i="12"/>
  <c r="AH94" i="12"/>
  <c r="AI94" i="12"/>
  <c r="AJ94" i="12"/>
  <c r="AB95" i="12"/>
  <c r="AC95" i="12"/>
  <c r="AE95" i="12"/>
  <c r="AF95" i="12"/>
  <c r="AH95" i="12"/>
  <c r="AI95" i="12"/>
  <c r="AJ95" i="12"/>
  <c r="AB96" i="12"/>
  <c r="AC96" i="12"/>
  <c r="AE96" i="12"/>
  <c r="AF96" i="12"/>
  <c r="AH96" i="12"/>
  <c r="AI96" i="12"/>
  <c r="AJ96" i="12"/>
  <c r="AB97" i="12"/>
  <c r="AC97" i="12"/>
  <c r="AE97" i="12"/>
  <c r="AF97" i="12"/>
  <c r="AH97" i="12"/>
  <c r="AI97" i="12"/>
  <c r="AJ97" i="12"/>
  <c r="AB98" i="12"/>
  <c r="AC98" i="12"/>
  <c r="AE98" i="12"/>
  <c r="AF98" i="12"/>
  <c r="AH98" i="12"/>
  <c r="AI98" i="12"/>
  <c r="AJ98" i="12"/>
  <c r="AB99" i="12"/>
  <c r="AC99" i="12"/>
  <c r="AE99" i="12"/>
  <c r="AF99" i="12"/>
  <c r="AH99" i="12"/>
  <c r="AI99" i="12"/>
  <c r="AJ99" i="12"/>
  <c r="AB100" i="12"/>
  <c r="AC100" i="12"/>
  <c r="AE100" i="12"/>
  <c r="AF100" i="12"/>
  <c r="AH100" i="12"/>
  <c r="AI100" i="12"/>
  <c r="AJ100" i="12"/>
  <c r="AB101" i="12"/>
  <c r="AC101" i="12"/>
  <c r="AE101" i="12"/>
  <c r="AF101" i="12"/>
  <c r="AH101" i="12"/>
  <c r="AI101" i="12"/>
  <c r="AJ101" i="12"/>
  <c r="AB102" i="12"/>
  <c r="AC102" i="12"/>
  <c r="AE102" i="12"/>
  <c r="AF102" i="12"/>
  <c r="AH102" i="12"/>
  <c r="AI102" i="12"/>
  <c r="AJ102" i="12"/>
  <c r="AB103" i="12"/>
  <c r="AC103" i="12"/>
  <c r="AE103" i="12"/>
  <c r="AF103" i="12"/>
  <c r="AH103" i="12"/>
  <c r="AI103" i="12"/>
  <c r="AJ103" i="12"/>
  <c r="AB104" i="12"/>
  <c r="AC104" i="12"/>
  <c r="AE104" i="12"/>
  <c r="AF104" i="12"/>
  <c r="AH104" i="12"/>
  <c r="AI104" i="12"/>
  <c r="AJ104" i="12"/>
  <c r="AB105" i="12"/>
  <c r="AC105" i="12"/>
  <c r="AE105" i="12"/>
  <c r="AF105" i="12"/>
  <c r="AH105" i="12"/>
  <c r="AI105" i="12"/>
  <c r="AJ105" i="12"/>
  <c r="AB106" i="12"/>
  <c r="AC106" i="12"/>
  <c r="AE106" i="12"/>
  <c r="AF106" i="12"/>
  <c r="AH106" i="12"/>
  <c r="AI106" i="12"/>
  <c r="AJ106" i="12"/>
  <c r="AB107" i="12"/>
  <c r="AC107" i="12"/>
  <c r="AE107" i="12"/>
  <c r="AF107" i="12"/>
  <c r="AH107" i="12"/>
  <c r="AI107" i="12"/>
  <c r="AJ107" i="12"/>
  <c r="AB108" i="12"/>
  <c r="AC108" i="12"/>
  <c r="AE108" i="12"/>
  <c r="AF108" i="12"/>
  <c r="AH108" i="12"/>
  <c r="AI108" i="12"/>
  <c r="AJ108" i="12"/>
  <c r="AB109" i="12"/>
  <c r="AC109" i="12"/>
  <c r="AE109" i="12"/>
  <c r="AF109" i="12"/>
  <c r="AH109" i="12"/>
  <c r="AI109" i="12"/>
  <c r="AJ109" i="12"/>
  <c r="AB110" i="12"/>
  <c r="AC110" i="12"/>
  <c r="AE110" i="12"/>
  <c r="AF110" i="12"/>
  <c r="AH110" i="12"/>
  <c r="AI110" i="12"/>
  <c r="AJ110" i="12"/>
  <c r="AB111" i="12"/>
  <c r="AC111" i="12"/>
  <c r="AE111" i="12"/>
  <c r="AF111" i="12"/>
  <c r="AH111" i="12"/>
  <c r="AI111" i="12"/>
  <c r="AJ111" i="12"/>
  <c r="AB112" i="12"/>
  <c r="AC112" i="12"/>
  <c r="AE112" i="12"/>
  <c r="AF112" i="12"/>
  <c r="AH112" i="12"/>
  <c r="AI112" i="12"/>
  <c r="AJ112" i="12"/>
  <c r="AB113" i="12"/>
  <c r="AC113" i="12"/>
  <c r="AE113" i="12"/>
  <c r="AF113" i="12"/>
  <c r="AH113" i="12"/>
  <c r="AI113" i="12"/>
  <c r="AJ113" i="12"/>
  <c r="AB114" i="12"/>
  <c r="AC114" i="12"/>
  <c r="AE114" i="12"/>
  <c r="AF114" i="12"/>
  <c r="AH114" i="12"/>
  <c r="AI114" i="12"/>
  <c r="AJ114" i="12"/>
  <c r="AB115" i="12"/>
  <c r="AC115" i="12"/>
  <c r="AE115" i="12"/>
  <c r="AF115" i="12"/>
  <c r="AH115" i="12"/>
  <c r="AI115" i="12"/>
  <c r="AJ115" i="12"/>
  <c r="AB116" i="12"/>
  <c r="AC116" i="12"/>
  <c r="AE116" i="12"/>
  <c r="AF116" i="12"/>
  <c r="AH116" i="12"/>
  <c r="AI116" i="12"/>
  <c r="AJ116" i="12"/>
  <c r="AB117" i="12"/>
  <c r="AC117" i="12"/>
  <c r="AE117" i="12"/>
  <c r="AF117" i="12"/>
  <c r="AH117" i="12"/>
  <c r="AI117" i="12"/>
  <c r="AJ117" i="12"/>
  <c r="AB118" i="12"/>
  <c r="AC118" i="12"/>
  <c r="AE118" i="12"/>
  <c r="AF118" i="12"/>
  <c r="AH118" i="12"/>
  <c r="AI118" i="12"/>
  <c r="AJ118" i="12"/>
  <c r="AB119" i="12"/>
  <c r="AC119" i="12"/>
  <c r="AE119" i="12"/>
  <c r="AF119" i="12"/>
  <c r="AH119" i="12"/>
  <c r="AI119" i="12"/>
  <c r="AJ119" i="12"/>
  <c r="AB120" i="12"/>
  <c r="AC120" i="12"/>
  <c r="AE120" i="12"/>
  <c r="AF120" i="12"/>
  <c r="AH120" i="12"/>
  <c r="AI120" i="12"/>
  <c r="AJ120" i="12"/>
  <c r="AB121" i="12"/>
  <c r="AC121" i="12"/>
  <c r="AE121" i="12"/>
  <c r="AF121" i="12"/>
  <c r="AH121" i="12"/>
  <c r="AI121" i="12"/>
  <c r="AJ121" i="12"/>
  <c r="AB122" i="12"/>
  <c r="AC122" i="12"/>
  <c r="AE122" i="12"/>
  <c r="AF122" i="12"/>
  <c r="AH122" i="12"/>
  <c r="AI122" i="12"/>
  <c r="AJ122" i="12"/>
  <c r="AB123" i="12"/>
  <c r="AC123" i="12"/>
  <c r="AE123" i="12"/>
  <c r="AF123" i="12"/>
  <c r="AH123" i="12"/>
  <c r="AI123" i="12"/>
  <c r="AJ123" i="12"/>
  <c r="AB124" i="12"/>
  <c r="AC124" i="12"/>
  <c r="AE124" i="12"/>
  <c r="AF124" i="12"/>
  <c r="AH124" i="12"/>
  <c r="AI124" i="12"/>
  <c r="AJ124" i="12"/>
  <c r="AB125" i="12"/>
  <c r="AC125" i="12"/>
  <c r="AE125" i="12"/>
  <c r="AF125" i="12"/>
  <c r="AH125" i="12"/>
  <c r="AI125" i="12"/>
  <c r="AJ125" i="12"/>
  <c r="AB126" i="12"/>
  <c r="AC126" i="12"/>
  <c r="AE126" i="12"/>
  <c r="AF126" i="12"/>
  <c r="AH126" i="12"/>
  <c r="AI126" i="12"/>
  <c r="AJ126" i="12"/>
  <c r="AB127" i="12"/>
  <c r="AC127" i="12"/>
  <c r="AE127" i="12"/>
  <c r="AF127" i="12"/>
  <c r="AH127" i="12"/>
  <c r="AI127" i="12"/>
  <c r="AJ127" i="12"/>
  <c r="AB128" i="12"/>
  <c r="AC128" i="12"/>
  <c r="AE128" i="12"/>
  <c r="AF128" i="12"/>
  <c r="AH128" i="12"/>
  <c r="AI128" i="12"/>
  <c r="AJ128" i="12"/>
  <c r="AB129" i="12"/>
  <c r="AC129" i="12"/>
  <c r="AE129" i="12"/>
  <c r="AF129" i="12"/>
  <c r="AH129" i="12"/>
  <c r="AI129" i="12"/>
  <c r="AJ129" i="12"/>
  <c r="AB130" i="12"/>
  <c r="AC130" i="12"/>
  <c r="AE130" i="12"/>
  <c r="AF130" i="12"/>
  <c r="AH130" i="12"/>
  <c r="AI130" i="12"/>
  <c r="AJ130" i="12"/>
  <c r="AB131" i="12"/>
  <c r="AC131" i="12"/>
  <c r="AE131" i="12"/>
  <c r="AF131" i="12"/>
  <c r="AH131" i="12"/>
  <c r="AI131" i="12"/>
  <c r="AJ131" i="12"/>
  <c r="AB132" i="12"/>
  <c r="AC132" i="12"/>
  <c r="AE132" i="12"/>
  <c r="AF132" i="12"/>
  <c r="AH132" i="12"/>
  <c r="AI132" i="12"/>
  <c r="AJ132" i="12"/>
  <c r="AB133" i="12"/>
  <c r="AC133" i="12"/>
  <c r="AE133" i="12"/>
  <c r="AF133" i="12"/>
  <c r="AH133" i="12"/>
  <c r="AI133" i="12"/>
  <c r="AJ133" i="12"/>
  <c r="AB134" i="12"/>
  <c r="AC134" i="12"/>
  <c r="AE134" i="12"/>
  <c r="AF134" i="12"/>
  <c r="AH134" i="12"/>
  <c r="AI134" i="12"/>
  <c r="AJ134" i="12"/>
  <c r="AB135" i="12"/>
  <c r="AC135" i="12"/>
  <c r="AE135" i="12"/>
  <c r="AF135" i="12"/>
  <c r="AH135" i="12"/>
  <c r="AI135" i="12"/>
  <c r="AJ135" i="12"/>
  <c r="AB136" i="12"/>
  <c r="AC136" i="12"/>
  <c r="AE136" i="12"/>
  <c r="AF136" i="12"/>
  <c r="AH136" i="12"/>
  <c r="AI136" i="12"/>
  <c r="AJ136" i="12"/>
  <c r="AB137" i="12"/>
  <c r="AC137" i="12"/>
  <c r="AE137" i="12"/>
  <c r="AF137" i="12"/>
  <c r="AH137" i="12"/>
  <c r="AI137" i="12"/>
  <c r="AJ137" i="12"/>
  <c r="AB138" i="12"/>
  <c r="AC138" i="12"/>
  <c r="AE138" i="12"/>
  <c r="AF138" i="12"/>
  <c r="AH138" i="12"/>
  <c r="AI138" i="12"/>
  <c r="AJ138" i="12"/>
  <c r="AB139" i="12"/>
  <c r="AC139" i="12"/>
  <c r="AE139" i="12"/>
  <c r="AF139" i="12"/>
  <c r="AH139" i="12"/>
  <c r="AI139" i="12"/>
  <c r="AJ139" i="12"/>
  <c r="AB140" i="12"/>
  <c r="AC140" i="12"/>
  <c r="AE140" i="12"/>
  <c r="AF140" i="12"/>
  <c r="AH140" i="12"/>
  <c r="AI140" i="12"/>
  <c r="AJ140" i="12"/>
  <c r="AB141" i="12"/>
  <c r="AC141" i="12"/>
  <c r="AE141" i="12"/>
  <c r="AF141" i="12"/>
  <c r="AH141" i="12"/>
  <c r="AI141" i="12"/>
  <c r="AJ141" i="12"/>
  <c r="AB142" i="12"/>
  <c r="AC142" i="12"/>
  <c r="AE142" i="12"/>
  <c r="AF142" i="12"/>
  <c r="AH142" i="12"/>
  <c r="AI142" i="12"/>
  <c r="AJ142" i="12"/>
  <c r="AB143" i="12"/>
  <c r="AC143" i="12"/>
  <c r="AE143" i="12"/>
  <c r="AF143" i="12"/>
  <c r="AH143" i="12"/>
  <c r="AI143" i="12"/>
  <c r="AJ143" i="12"/>
  <c r="AB144" i="12"/>
  <c r="AC144" i="12"/>
  <c r="AE144" i="12"/>
  <c r="AF144" i="12"/>
  <c r="AH144" i="12"/>
  <c r="AI144" i="12"/>
  <c r="AJ144" i="12"/>
  <c r="AB145" i="12"/>
  <c r="AC145" i="12"/>
  <c r="AE145" i="12"/>
  <c r="AF145" i="12"/>
  <c r="AH145" i="12"/>
  <c r="AI145" i="12"/>
  <c r="AJ145" i="12"/>
  <c r="AB146" i="12"/>
  <c r="AC146" i="12"/>
  <c r="AE146" i="12"/>
  <c r="AF146" i="12"/>
  <c r="AH146" i="12"/>
  <c r="AI146" i="12"/>
  <c r="AJ146" i="12"/>
  <c r="AB147" i="12"/>
  <c r="AC147" i="12"/>
  <c r="AE147" i="12"/>
  <c r="AF147" i="12"/>
  <c r="AH147" i="12"/>
  <c r="AI147" i="12"/>
  <c r="AJ147" i="12"/>
  <c r="AB148" i="12"/>
  <c r="AC148" i="12"/>
  <c r="AE148" i="12"/>
  <c r="AF148" i="12"/>
  <c r="AH148" i="12"/>
  <c r="AI148" i="12"/>
  <c r="AJ148" i="12"/>
  <c r="AB149" i="12"/>
  <c r="AC149" i="12"/>
  <c r="AE149" i="12"/>
  <c r="AF149" i="12"/>
  <c r="AH149" i="12"/>
  <c r="AI149" i="12"/>
  <c r="AJ149" i="12"/>
  <c r="AB150" i="12"/>
  <c r="AC150" i="12"/>
  <c r="AE150" i="12"/>
  <c r="AF150" i="12"/>
  <c r="AH150" i="12"/>
  <c r="AI150" i="12"/>
  <c r="AJ150" i="12"/>
  <c r="AB151" i="12"/>
  <c r="AC151" i="12"/>
  <c r="AE151" i="12"/>
  <c r="AF151" i="12"/>
  <c r="AH151" i="12"/>
  <c r="AI151" i="12"/>
  <c r="AJ151" i="12"/>
  <c r="AB152" i="12"/>
  <c r="AC152" i="12"/>
  <c r="AE152" i="12"/>
  <c r="AF152" i="12"/>
  <c r="AH152" i="12"/>
  <c r="AI152" i="12"/>
  <c r="AJ152" i="12"/>
  <c r="AB153" i="12"/>
  <c r="AC153" i="12"/>
  <c r="AE153" i="12"/>
  <c r="AF153" i="12"/>
  <c r="AH153" i="12"/>
  <c r="AI153" i="12"/>
  <c r="AJ153" i="12"/>
  <c r="AB154" i="12"/>
  <c r="AC154" i="12"/>
  <c r="AE154" i="12"/>
  <c r="AF154" i="12"/>
  <c r="AH154" i="12"/>
  <c r="AI154" i="12"/>
  <c r="AJ154" i="12"/>
  <c r="AB155" i="12"/>
  <c r="AC155" i="12"/>
  <c r="AE155" i="12"/>
  <c r="AF155" i="12"/>
  <c r="AH155" i="12"/>
  <c r="AI155" i="12"/>
  <c r="AJ155" i="12"/>
  <c r="AB156" i="12"/>
  <c r="AC156" i="12"/>
  <c r="AE156" i="12"/>
  <c r="AF156" i="12"/>
  <c r="AH156" i="12"/>
  <c r="AI156" i="12"/>
  <c r="AJ156" i="12"/>
  <c r="AB157" i="12"/>
  <c r="AC157" i="12"/>
  <c r="AE157" i="12"/>
  <c r="AF157" i="12"/>
  <c r="AH157" i="12"/>
  <c r="AI157" i="12"/>
  <c r="AJ157" i="12"/>
  <c r="AB158" i="12"/>
  <c r="AC158" i="12"/>
  <c r="AE158" i="12"/>
  <c r="AF158" i="12"/>
  <c r="AH158" i="12"/>
  <c r="AI158" i="12"/>
  <c r="AJ158" i="12"/>
  <c r="AB159" i="12"/>
  <c r="AC159" i="12"/>
  <c r="AE159" i="12"/>
  <c r="AF159" i="12"/>
  <c r="AH159" i="12"/>
  <c r="AI159" i="12"/>
  <c r="AJ159" i="12"/>
  <c r="AB160" i="12"/>
  <c r="AC160" i="12"/>
  <c r="AE160" i="12"/>
  <c r="AF160" i="12"/>
  <c r="AH160" i="12"/>
  <c r="AI160" i="12"/>
  <c r="AJ160" i="12"/>
  <c r="AB161" i="12"/>
  <c r="AC161" i="12"/>
  <c r="AE161" i="12"/>
  <c r="AF161" i="12"/>
  <c r="AH161" i="12"/>
  <c r="AI161" i="12"/>
  <c r="AJ161" i="12"/>
  <c r="AB162" i="12"/>
  <c r="AC162" i="12"/>
  <c r="AE162" i="12"/>
  <c r="AF162" i="12"/>
  <c r="AH162" i="12"/>
  <c r="AI162" i="12"/>
  <c r="AJ162" i="12"/>
  <c r="AB163" i="12"/>
  <c r="AC163" i="12"/>
  <c r="AE163" i="12"/>
  <c r="AF163" i="12"/>
  <c r="AH163" i="12"/>
  <c r="AI163" i="12"/>
  <c r="AJ163" i="12"/>
  <c r="AB164" i="12"/>
  <c r="AC164" i="12"/>
  <c r="AE164" i="12"/>
  <c r="AF164" i="12"/>
  <c r="AH164" i="12"/>
  <c r="AI164" i="12"/>
  <c r="AJ164" i="12"/>
  <c r="AB165" i="12"/>
  <c r="AC165" i="12"/>
  <c r="AE165" i="12"/>
  <c r="AF165" i="12"/>
  <c r="AH165" i="12"/>
  <c r="AI165" i="12"/>
  <c r="AJ165" i="12"/>
  <c r="AB166" i="12"/>
  <c r="AC166" i="12"/>
  <c r="AE166" i="12"/>
  <c r="AF166" i="12"/>
  <c r="AH166" i="12"/>
  <c r="AI166" i="12"/>
  <c r="AJ166" i="12"/>
  <c r="AB167" i="12"/>
  <c r="AC167" i="12"/>
  <c r="AE167" i="12"/>
  <c r="AF167" i="12"/>
  <c r="AH167" i="12"/>
  <c r="AI167" i="12"/>
  <c r="AJ167" i="12"/>
  <c r="AB168" i="12"/>
  <c r="AC168" i="12"/>
  <c r="AE168" i="12"/>
  <c r="AF168" i="12"/>
  <c r="AH168" i="12"/>
  <c r="AI168" i="12"/>
  <c r="AJ168" i="12"/>
  <c r="AB169" i="12"/>
  <c r="AC169" i="12"/>
  <c r="AE169" i="12"/>
  <c r="AF169" i="12"/>
  <c r="AH169" i="12"/>
  <c r="AI169" i="12"/>
  <c r="AJ169" i="12"/>
  <c r="AB170" i="12"/>
  <c r="AC170" i="12"/>
  <c r="AE170" i="12"/>
  <c r="AF170" i="12"/>
  <c r="AH170" i="12"/>
  <c r="AI170" i="12"/>
  <c r="AJ170" i="12"/>
  <c r="AB171" i="12"/>
  <c r="AC171" i="12"/>
  <c r="AE171" i="12"/>
  <c r="AF171" i="12"/>
  <c r="AH171" i="12"/>
  <c r="AI171" i="12"/>
  <c r="AJ171" i="12"/>
  <c r="AB172" i="12"/>
  <c r="AC172" i="12"/>
  <c r="AE172" i="12"/>
  <c r="AF172" i="12"/>
  <c r="AH172" i="12"/>
  <c r="AI172" i="12"/>
  <c r="AJ172" i="12"/>
  <c r="AB173" i="12"/>
  <c r="AC173" i="12"/>
  <c r="AE173" i="12"/>
  <c r="AF173" i="12"/>
  <c r="AH173" i="12"/>
  <c r="AI173" i="12"/>
  <c r="AJ173" i="12"/>
  <c r="AB174" i="12"/>
  <c r="AC174" i="12"/>
  <c r="AE174" i="12"/>
  <c r="AF174" i="12"/>
  <c r="AH174" i="12"/>
  <c r="AI174" i="12"/>
  <c r="AJ174" i="12"/>
  <c r="AB175" i="12"/>
  <c r="AC175" i="12"/>
  <c r="AE175" i="12"/>
  <c r="AF175" i="12"/>
  <c r="AH175" i="12"/>
  <c r="AI175" i="12"/>
  <c r="AJ175" i="12"/>
  <c r="AB176" i="12"/>
  <c r="AC176" i="12"/>
  <c r="AE176" i="12"/>
  <c r="AF176" i="12"/>
  <c r="AH176" i="12"/>
  <c r="AI176" i="12"/>
  <c r="AJ176" i="12"/>
  <c r="AB177" i="12"/>
  <c r="AC177" i="12"/>
  <c r="AE177" i="12"/>
  <c r="AF177" i="12"/>
  <c r="AH177" i="12"/>
  <c r="AI177" i="12"/>
  <c r="AJ177" i="12"/>
  <c r="AB178" i="12"/>
  <c r="AC178" i="12"/>
  <c r="AE178" i="12"/>
  <c r="AF178" i="12"/>
  <c r="AH178" i="12"/>
  <c r="AI178" i="12"/>
  <c r="AJ178" i="12"/>
  <c r="AB179" i="12"/>
  <c r="AC179" i="12"/>
  <c r="AE179" i="12"/>
  <c r="AF179" i="12"/>
  <c r="AH179" i="12"/>
  <c r="AI179" i="12"/>
  <c r="AJ179" i="12"/>
  <c r="AB180" i="12"/>
  <c r="AC180" i="12"/>
  <c r="AE180" i="12"/>
  <c r="AF180" i="12"/>
  <c r="AH180" i="12"/>
  <c r="AI180" i="12"/>
  <c r="AJ180" i="12"/>
  <c r="AB181" i="12"/>
  <c r="AC181" i="12"/>
  <c r="AE181" i="12"/>
  <c r="AF181" i="12"/>
  <c r="AH181" i="12"/>
  <c r="AI181" i="12"/>
  <c r="AJ181" i="12"/>
  <c r="AB182" i="12"/>
  <c r="AC182" i="12"/>
  <c r="AE182" i="12"/>
  <c r="AF182" i="12"/>
  <c r="AH182" i="12"/>
  <c r="AI182" i="12"/>
  <c r="AJ182" i="12"/>
  <c r="AB183" i="12"/>
  <c r="AC183" i="12"/>
  <c r="AE183" i="12"/>
  <c r="AF183" i="12"/>
  <c r="AH183" i="12"/>
  <c r="AI183" i="12"/>
  <c r="AJ183" i="12"/>
  <c r="AB184" i="12"/>
  <c r="AC184" i="12"/>
  <c r="AE184" i="12"/>
  <c r="AF184" i="12"/>
  <c r="AH184" i="12"/>
  <c r="AI184" i="12"/>
  <c r="AJ184" i="12"/>
  <c r="AB185" i="12"/>
  <c r="AC185" i="12"/>
  <c r="AE185" i="12"/>
  <c r="AF185" i="12"/>
  <c r="AH185" i="12"/>
  <c r="AI185" i="12"/>
  <c r="AJ185" i="12"/>
  <c r="AB186" i="12"/>
  <c r="AC186" i="12"/>
  <c r="AE186" i="12"/>
  <c r="AF186" i="12"/>
  <c r="AH186" i="12"/>
  <c r="AI186" i="12"/>
  <c r="AJ186" i="12"/>
  <c r="AB187" i="12"/>
  <c r="AC187" i="12"/>
  <c r="AE187" i="12"/>
  <c r="AF187" i="12"/>
  <c r="AH187" i="12"/>
  <c r="AI187" i="12"/>
  <c r="AJ187" i="12"/>
  <c r="AB188" i="12"/>
  <c r="AC188" i="12"/>
  <c r="AE188" i="12"/>
  <c r="AF188" i="12"/>
  <c r="AH188" i="12"/>
  <c r="AI188" i="12"/>
  <c r="AJ188" i="12"/>
  <c r="AB189" i="12"/>
  <c r="AC189" i="12"/>
  <c r="AE189" i="12"/>
  <c r="AF189" i="12"/>
  <c r="AH189" i="12"/>
  <c r="AI189" i="12"/>
  <c r="AJ189" i="12"/>
  <c r="AB190" i="12"/>
  <c r="AC190" i="12"/>
  <c r="AE190" i="12"/>
  <c r="AF190" i="12"/>
  <c r="AH190" i="12"/>
  <c r="AI190" i="12"/>
  <c r="AJ190" i="12"/>
  <c r="AB191" i="12"/>
  <c r="AC191" i="12"/>
  <c r="AE191" i="12"/>
  <c r="AF191" i="12"/>
  <c r="AH191" i="12"/>
  <c r="AI191" i="12"/>
  <c r="AJ191" i="12"/>
  <c r="AB192" i="12"/>
  <c r="AC192" i="12"/>
  <c r="AE192" i="12"/>
  <c r="AF192" i="12"/>
  <c r="AH192" i="12"/>
  <c r="AI192" i="12"/>
  <c r="AJ192" i="12"/>
  <c r="AJ193" i="12"/>
  <c r="R265" i="12"/>
  <c r="R264" i="12"/>
  <c r="R263" i="12"/>
  <c r="R262" i="12"/>
  <c r="R261" i="12"/>
  <c r="R260" i="12"/>
  <c r="R259" i="12"/>
  <c r="R258" i="12"/>
  <c r="R257" i="12"/>
  <c r="R256" i="12"/>
  <c r="R255" i="12"/>
  <c r="R254" i="12"/>
  <c r="R253" i="12"/>
  <c r="R252" i="12"/>
  <c r="R251" i="12"/>
  <c r="R250" i="12"/>
  <c r="R249" i="12"/>
  <c r="R248" i="12"/>
  <c r="R247" i="12"/>
  <c r="R246" i="12"/>
  <c r="R245" i="12"/>
  <c r="R244" i="12"/>
  <c r="R243" i="12"/>
  <c r="R242" i="12"/>
  <c r="R241" i="12"/>
  <c r="R240" i="12"/>
  <c r="R239" i="12"/>
  <c r="R238" i="12"/>
  <c r="R237" i="12"/>
  <c r="R236" i="12"/>
  <c r="R235" i="12"/>
  <c r="R234" i="12"/>
  <c r="R233" i="12"/>
  <c r="R232" i="12"/>
  <c r="R231" i="12"/>
  <c r="R230" i="12"/>
  <c r="R229" i="12"/>
  <c r="R228" i="12"/>
  <c r="R227" i="12"/>
  <c r="R226" i="12"/>
  <c r="R225" i="12"/>
  <c r="R224" i="12"/>
  <c r="R223" i="12"/>
  <c r="R222" i="12"/>
  <c r="R221" i="12"/>
  <c r="R220" i="12"/>
  <c r="R219" i="12"/>
  <c r="R218" i="12"/>
  <c r="R217" i="12"/>
  <c r="R216" i="12"/>
  <c r="R215" i="12"/>
  <c r="R214" i="12"/>
  <c r="R213" i="12"/>
  <c r="R212" i="12"/>
  <c r="R211" i="12"/>
  <c r="R210" i="12"/>
  <c r="R209" i="12"/>
  <c r="R208" i="12"/>
  <c r="R207" i="12"/>
  <c r="R195" i="12"/>
  <c r="J6" i="11"/>
  <c r="D24" i="14"/>
  <c r="L13" i="14"/>
  <c r="M13" i="14" s="1"/>
  <c r="N13" i="14" s="1"/>
  <c r="O13" i="14" s="1"/>
  <c r="L8" i="14"/>
  <c r="M8" i="14" s="1"/>
  <c r="N8" i="14" s="1"/>
  <c r="O8" i="14" s="1"/>
  <c r="B13" i="14"/>
  <c r="B12" i="14"/>
  <c r="E49" i="13"/>
  <c r="B11" i="14" s="1"/>
  <c r="M30" i="13"/>
  <c r="B8" i="14" s="1"/>
  <c r="E30" i="13"/>
  <c r="B7" i="14" s="1"/>
  <c r="E17" i="13"/>
  <c r="C6" i="11" s="1"/>
  <c r="E8" i="13"/>
  <c r="B6" i="11" s="1"/>
  <c r="AJ195" i="12"/>
  <c r="AI195" i="12"/>
  <c r="AH195" i="12"/>
  <c r="AF195" i="12"/>
  <c r="AE195" i="12"/>
  <c r="AC195" i="12"/>
  <c r="AB195" i="12"/>
  <c r="AJ194" i="12"/>
  <c r="AI194" i="12"/>
  <c r="AH194" i="12"/>
  <c r="AF194" i="12"/>
  <c r="AE194" i="12"/>
  <c r="AC194" i="12"/>
  <c r="AB194" i="12"/>
  <c r="AJ49" i="12"/>
  <c r="AI49" i="12"/>
  <c r="AH49" i="12"/>
  <c r="AF49" i="12"/>
  <c r="AE49" i="12"/>
  <c r="AC49" i="12"/>
  <c r="AB49" i="12"/>
  <c r="AJ48" i="12"/>
  <c r="AI48" i="12"/>
  <c r="AH48" i="12"/>
  <c r="AF48" i="12"/>
  <c r="AE48" i="12"/>
  <c r="AC48" i="12"/>
  <c r="AB48" i="12"/>
  <c r="AJ47" i="12"/>
  <c r="AI47" i="12"/>
  <c r="AH47" i="12"/>
  <c r="AF47" i="12"/>
  <c r="AE47" i="12"/>
  <c r="AC47" i="12"/>
  <c r="AB47" i="12"/>
  <c r="AJ46" i="12"/>
  <c r="AI46" i="12"/>
  <c r="AH46" i="12"/>
  <c r="AF46" i="12"/>
  <c r="AE46" i="12"/>
  <c r="AC46" i="12"/>
  <c r="AB46" i="12"/>
  <c r="AJ45" i="12"/>
  <c r="AI45" i="12"/>
  <c r="AH45" i="12"/>
  <c r="AF45" i="12"/>
  <c r="AE45" i="12"/>
  <c r="AC45" i="12"/>
  <c r="AB45" i="12"/>
  <c r="AJ44" i="12"/>
  <c r="AI44" i="12"/>
  <c r="AH44" i="12"/>
  <c r="AF44" i="12"/>
  <c r="AE44" i="12"/>
  <c r="AC44" i="12"/>
  <c r="AB44" i="12"/>
  <c r="AJ43" i="12"/>
  <c r="AI43" i="12"/>
  <c r="AH43" i="12"/>
  <c r="AF43" i="12"/>
  <c r="AE43" i="12"/>
  <c r="AC43" i="12"/>
  <c r="AB43" i="12"/>
  <c r="AJ42" i="12"/>
  <c r="AI42" i="12"/>
  <c r="AH42" i="12"/>
  <c r="AF42" i="12"/>
  <c r="AE42" i="12"/>
  <c r="AC42" i="12"/>
  <c r="AB42" i="12"/>
  <c r="AJ41" i="12"/>
  <c r="AI41" i="12"/>
  <c r="AH41" i="12"/>
  <c r="AF41" i="12"/>
  <c r="AE41" i="12"/>
  <c r="AC41" i="12"/>
  <c r="AB41" i="12"/>
  <c r="AJ40" i="12"/>
  <c r="AI40" i="12"/>
  <c r="AH40" i="12"/>
  <c r="AF40" i="12"/>
  <c r="AE40" i="12"/>
  <c r="AC40" i="12"/>
  <c r="AB40" i="12"/>
  <c r="AJ39" i="12"/>
  <c r="AI39" i="12"/>
  <c r="AH39" i="12"/>
  <c r="AF39" i="12"/>
  <c r="AE39" i="12"/>
  <c r="AC39" i="12"/>
  <c r="AB39" i="12"/>
  <c r="AJ38" i="12"/>
  <c r="AI38" i="12"/>
  <c r="AH38" i="12"/>
  <c r="AF38" i="12"/>
  <c r="AE38" i="12"/>
  <c r="AC38" i="12"/>
  <c r="AB38" i="12"/>
  <c r="AJ37" i="12"/>
  <c r="AI37" i="12"/>
  <c r="AH37" i="12"/>
  <c r="AF37" i="12"/>
  <c r="AE37" i="12"/>
  <c r="AC37" i="12"/>
  <c r="AB37" i="12"/>
  <c r="AJ36" i="12"/>
  <c r="AI36" i="12"/>
  <c r="AH36" i="12"/>
  <c r="AF36" i="12"/>
  <c r="AE36" i="12"/>
  <c r="AC36" i="12"/>
  <c r="AB36" i="12"/>
  <c r="AJ35" i="12"/>
  <c r="AI35" i="12"/>
  <c r="AH35" i="12"/>
  <c r="AF35" i="12"/>
  <c r="AE35" i="12"/>
  <c r="AC35" i="12"/>
  <c r="AB35" i="12"/>
  <c r="AJ34" i="12"/>
  <c r="AI34" i="12"/>
  <c r="AH34" i="12"/>
  <c r="AF34" i="12"/>
  <c r="AE34" i="12"/>
  <c r="AC34" i="12"/>
  <c r="AB34" i="12"/>
  <c r="AJ33" i="12"/>
  <c r="AI33" i="12"/>
  <c r="AH33" i="12"/>
  <c r="AF33" i="12"/>
  <c r="AE33" i="12"/>
  <c r="AC33" i="12"/>
  <c r="AB33" i="12"/>
  <c r="AJ32" i="12"/>
  <c r="AI32" i="12"/>
  <c r="AH32" i="12"/>
  <c r="AF32" i="12"/>
  <c r="AE32" i="12"/>
  <c r="AC32" i="12"/>
  <c r="AB32" i="12"/>
  <c r="AJ31" i="12"/>
  <c r="AI31" i="12"/>
  <c r="AH31" i="12"/>
  <c r="AF31" i="12"/>
  <c r="AE31" i="12"/>
  <c r="AC31" i="12"/>
  <c r="AB31" i="12"/>
  <c r="AJ30" i="12"/>
  <c r="AI30" i="12"/>
  <c r="AH30" i="12"/>
  <c r="AF30" i="12"/>
  <c r="AE30" i="12"/>
  <c r="AC30" i="12"/>
  <c r="AB30" i="12"/>
  <c r="AJ29" i="12"/>
  <c r="AI29" i="12"/>
  <c r="AH29" i="12"/>
  <c r="AF29" i="12"/>
  <c r="AE29" i="12"/>
  <c r="AC29" i="12"/>
  <c r="AB29" i="12"/>
  <c r="AJ28" i="12"/>
  <c r="AI28" i="12"/>
  <c r="AH28" i="12"/>
  <c r="AF28" i="12"/>
  <c r="AE28" i="12"/>
  <c r="AC28" i="12"/>
  <c r="AB28" i="12"/>
  <c r="AJ27" i="12"/>
  <c r="AI27" i="12"/>
  <c r="AH27" i="12"/>
  <c r="AF27" i="12"/>
  <c r="AE27" i="12"/>
  <c r="AC27" i="12"/>
  <c r="AB27" i="12"/>
  <c r="AJ26" i="12"/>
  <c r="AI26" i="12"/>
  <c r="AH26" i="12"/>
  <c r="AF26" i="12"/>
  <c r="AE26" i="12"/>
  <c r="AC26" i="12"/>
  <c r="AB26" i="12"/>
  <c r="AJ25" i="12"/>
  <c r="AI25" i="12"/>
  <c r="AH25" i="12"/>
  <c r="AF25" i="12"/>
  <c r="AE25" i="12"/>
  <c r="AC25" i="12"/>
  <c r="AB25" i="12"/>
  <c r="AJ24" i="12"/>
  <c r="AI24" i="12"/>
  <c r="AH24" i="12"/>
  <c r="AF24" i="12"/>
  <c r="AE24" i="12"/>
  <c r="AC24" i="12"/>
  <c r="AB24" i="12"/>
  <c r="AJ23" i="12"/>
  <c r="AI23" i="12"/>
  <c r="AH23" i="12"/>
  <c r="AF23" i="12"/>
  <c r="AE23" i="12"/>
  <c r="AC23" i="12"/>
  <c r="AB23" i="12"/>
  <c r="AJ22" i="12"/>
  <c r="AI22" i="12"/>
  <c r="AH22" i="12"/>
  <c r="AF22" i="12"/>
  <c r="AE22" i="12"/>
  <c r="AC22" i="12"/>
  <c r="AB22" i="12"/>
  <c r="AJ21" i="12"/>
  <c r="AI21" i="12"/>
  <c r="AH21" i="12"/>
  <c r="AF21" i="12"/>
  <c r="AE21" i="12"/>
  <c r="AC21" i="12"/>
  <c r="AB21" i="12"/>
  <c r="AJ20" i="12"/>
  <c r="AI20" i="12"/>
  <c r="AH20" i="12"/>
  <c r="AF20" i="12"/>
  <c r="AE20" i="12"/>
  <c r="AC20" i="12"/>
  <c r="AB20" i="12"/>
  <c r="AJ19" i="12"/>
  <c r="AI19" i="12"/>
  <c r="AH19" i="12"/>
  <c r="AF19" i="12"/>
  <c r="AE19" i="12"/>
  <c r="AC19" i="12"/>
  <c r="AB19" i="12"/>
  <c r="AJ18" i="12"/>
  <c r="AI18" i="12"/>
  <c r="AH18" i="12"/>
  <c r="AF18" i="12"/>
  <c r="AE18" i="12"/>
  <c r="AC18" i="12"/>
  <c r="AB18" i="12"/>
  <c r="AJ17" i="12"/>
  <c r="AI17" i="12"/>
  <c r="AH17" i="12"/>
  <c r="AF17" i="12"/>
  <c r="AE17" i="12"/>
  <c r="AC17" i="12"/>
  <c r="AB17" i="12"/>
  <c r="AJ16" i="12"/>
  <c r="AI16" i="12"/>
  <c r="AH16" i="12"/>
  <c r="AF16" i="12"/>
  <c r="AE16" i="12"/>
  <c r="AC16" i="12"/>
  <c r="AB16" i="12"/>
  <c r="AJ15" i="12"/>
  <c r="AI15" i="12"/>
  <c r="AH15" i="12"/>
  <c r="AF15" i="12"/>
  <c r="AE15" i="12"/>
  <c r="AC15" i="12"/>
  <c r="AB15" i="12"/>
  <c r="AJ14" i="12"/>
  <c r="AI14" i="12"/>
  <c r="AH14" i="12"/>
  <c r="AF14" i="12"/>
  <c r="AE14" i="12"/>
  <c r="AC14" i="12"/>
  <c r="AB14" i="12"/>
  <c r="AJ13" i="12"/>
  <c r="AI13" i="12"/>
  <c r="AH13" i="12"/>
  <c r="AF13" i="12"/>
  <c r="AE13" i="12"/>
  <c r="AC13" i="12"/>
  <c r="AB13" i="12"/>
  <c r="AJ12" i="12"/>
  <c r="AI12" i="12"/>
  <c r="AH12" i="12"/>
  <c r="AF12" i="12"/>
  <c r="AE12" i="12"/>
  <c r="AC12" i="12"/>
  <c r="AB12" i="12"/>
  <c r="AJ11" i="12"/>
  <c r="AI11" i="12"/>
  <c r="AH11" i="12"/>
  <c r="AF11" i="12"/>
  <c r="AE11" i="12"/>
  <c r="AC11" i="12"/>
  <c r="AB11" i="12"/>
  <c r="AJ10" i="12"/>
  <c r="AI10" i="12"/>
  <c r="AH10" i="12"/>
  <c r="AF10" i="12"/>
  <c r="AE10" i="12"/>
  <c r="AC10" i="12"/>
  <c r="AB10" i="12"/>
  <c r="AJ9" i="12"/>
  <c r="AI9" i="12"/>
  <c r="AH9" i="12"/>
  <c r="AF9" i="12"/>
  <c r="AE9" i="12"/>
  <c r="AC9" i="12"/>
  <c r="AB9" i="12"/>
  <c r="AJ8" i="12"/>
  <c r="AI8" i="12"/>
  <c r="AH8" i="12"/>
  <c r="AF8" i="12"/>
  <c r="AE8" i="12"/>
  <c r="AC8" i="12"/>
  <c r="AB8" i="12"/>
  <c r="AJ7" i="12"/>
  <c r="AI7" i="12"/>
  <c r="AH7" i="12"/>
  <c r="AF7" i="12"/>
  <c r="AE7" i="12"/>
  <c r="AC7" i="12"/>
  <c r="AB7" i="12"/>
  <c r="AJ6" i="12"/>
  <c r="AI6" i="12"/>
  <c r="AH6" i="12"/>
  <c r="AF6" i="12"/>
  <c r="AE6" i="12"/>
  <c r="AC6" i="12"/>
  <c r="AB6" i="12"/>
  <c r="AJ5" i="12"/>
  <c r="AI5" i="12"/>
  <c r="AH5" i="12"/>
  <c r="AF5" i="12"/>
  <c r="AE5" i="12"/>
  <c r="AC5" i="12"/>
  <c r="AB5" i="12"/>
  <c r="AJ4" i="12"/>
  <c r="AI4" i="12"/>
  <c r="AH4" i="12"/>
  <c r="AF4" i="12"/>
  <c r="AE4" i="12"/>
  <c r="AC4" i="12"/>
  <c r="AB4" i="12"/>
  <c r="AJ3" i="12"/>
  <c r="AI3" i="12"/>
  <c r="AH3" i="12"/>
  <c r="AF3" i="12"/>
  <c r="AE3" i="12"/>
  <c r="AC3" i="12"/>
  <c r="AB3" i="12"/>
  <c r="AC2" i="12"/>
  <c r="AE2" i="12"/>
  <c r="AF2" i="12"/>
  <c r="AH2" i="12"/>
  <c r="AI2" i="12"/>
  <c r="AJ2" i="12"/>
  <c r="AB2" i="12"/>
  <c r="D9" i="11" l="1"/>
  <c r="G9" i="11"/>
  <c r="C5" i="9"/>
  <c r="D5" i="9" s="1"/>
  <c r="B18" i="9"/>
  <c r="B5" i="9"/>
  <c r="C18" i="9"/>
  <c r="G41" i="9"/>
  <c r="P41" i="9"/>
  <c r="F41" i="9"/>
  <c r="O41" i="9"/>
  <c r="K26" i="9"/>
  <c r="E41" i="9"/>
  <c r="N41" i="9"/>
  <c r="D41" i="9"/>
  <c r="M41" i="9"/>
  <c r="L41" i="9"/>
  <c r="B41" i="9"/>
  <c r="K41" i="9"/>
  <c r="L17" i="9"/>
  <c r="P40" i="9"/>
  <c r="O40" i="9"/>
  <c r="N40" i="9"/>
  <c r="M40" i="9"/>
  <c r="B27" i="9"/>
  <c r="L40" i="9"/>
  <c r="K40" i="9"/>
  <c r="O26" i="9"/>
  <c r="N26" i="9"/>
  <c r="L26" i="9"/>
  <c r="F27" i="9"/>
  <c r="K34" i="9"/>
  <c r="P18" i="9"/>
  <c r="O18" i="9"/>
  <c r="P27" i="9"/>
  <c r="F6" i="11"/>
  <c r="I6" i="11"/>
  <c r="H6" i="11"/>
  <c r="E6" i="11"/>
  <c r="D7" i="14"/>
  <c r="G7" i="14" s="1"/>
  <c r="C7" i="14"/>
  <c r="F7" i="14" s="1"/>
  <c r="D8" i="14"/>
  <c r="G8" i="14" s="1"/>
  <c r="C8" i="14"/>
  <c r="F8" i="14" s="1"/>
  <c r="C11" i="14"/>
  <c r="F11" i="14" s="1"/>
  <c r="D11" i="14"/>
  <c r="G11" i="14" s="1"/>
  <c r="H11" i="14" s="1"/>
  <c r="I11" i="14" s="1"/>
  <c r="D12" i="14"/>
  <c r="G12" i="14" s="1"/>
  <c r="H12" i="14" s="1"/>
  <c r="I12" i="14" s="1"/>
  <c r="C12" i="14"/>
  <c r="F12" i="14" s="1"/>
  <c r="D13" i="14"/>
  <c r="G13" i="14" s="1"/>
  <c r="H13" i="14" s="1"/>
  <c r="I13" i="14" s="1"/>
  <c r="C13" i="14"/>
  <c r="F13" i="14" s="1"/>
  <c r="R3" i="12"/>
  <c r="R4" i="12"/>
  <c r="R193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131" i="12"/>
  <c r="R132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116" i="12"/>
  <c r="R117" i="12"/>
  <c r="R118" i="12"/>
  <c r="R146" i="12"/>
  <c r="R147" i="12"/>
  <c r="R148" i="12"/>
  <c r="R149" i="12"/>
  <c r="R150" i="12"/>
  <c r="R151" i="12"/>
  <c r="R152" i="12"/>
  <c r="R153" i="12"/>
  <c r="R154" i="12"/>
  <c r="R155" i="12"/>
  <c r="R156" i="12"/>
  <c r="R157" i="12"/>
  <c r="R158" i="12"/>
  <c r="R159" i="12"/>
  <c r="R160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35" i="12"/>
  <c r="R36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20" i="12"/>
  <c r="R21" i="12"/>
  <c r="R22" i="12"/>
  <c r="R161" i="12"/>
  <c r="R162" i="12"/>
  <c r="R163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194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179" i="12"/>
  <c r="R180" i="12"/>
  <c r="R181" i="12"/>
  <c r="R62" i="12"/>
  <c r="R63" i="12"/>
  <c r="R64" i="12"/>
  <c r="R65" i="12"/>
  <c r="R66" i="12"/>
  <c r="R67" i="12"/>
  <c r="R98" i="12"/>
  <c r="R99" i="12"/>
  <c r="R100" i="12"/>
  <c r="R101" i="12"/>
  <c r="R102" i="12"/>
  <c r="R103" i="12"/>
  <c r="R104" i="12"/>
  <c r="R105" i="12"/>
  <c r="R106" i="12"/>
  <c r="R169" i="12"/>
  <c r="R170" i="12"/>
  <c r="R171" i="12"/>
  <c r="R172" i="12"/>
  <c r="R173" i="12"/>
  <c r="R174" i="12"/>
  <c r="R175" i="12"/>
  <c r="R176" i="12"/>
  <c r="R177" i="12"/>
  <c r="R178" i="12"/>
  <c r="R107" i="12"/>
  <c r="R108" i="12"/>
  <c r="R109" i="12"/>
  <c r="R110" i="12"/>
  <c r="R111" i="12"/>
  <c r="R112" i="12"/>
  <c r="R113" i="12"/>
  <c r="R114" i="12"/>
  <c r="R115" i="12"/>
  <c r="R5" i="12"/>
  <c r="R14" i="12"/>
  <c r="R15" i="12"/>
  <c r="R16" i="12"/>
  <c r="R17" i="12"/>
  <c r="R18" i="12"/>
  <c r="R19" i="12"/>
  <c r="R164" i="12"/>
  <c r="R165" i="12"/>
  <c r="R166" i="12"/>
  <c r="R167" i="12"/>
  <c r="R168" i="12"/>
  <c r="R196" i="12"/>
  <c r="R197" i="12"/>
  <c r="R198" i="12"/>
  <c r="R199" i="12"/>
  <c r="R200" i="12"/>
  <c r="R201" i="12"/>
  <c r="R202" i="12"/>
  <c r="R203" i="12"/>
  <c r="R204" i="12"/>
  <c r="R205" i="12"/>
  <c r="R206" i="12"/>
  <c r="R182" i="12"/>
  <c r="R183" i="12"/>
  <c r="R184" i="12"/>
  <c r="R185" i="12"/>
  <c r="R186" i="12"/>
  <c r="R187" i="12"/>
  <c r="R188" i="12"/>
  <c r="R189" i="12"/>
  <c r="R190" i="12"/>
  <c r="R191" i="12"/>
  <c r="R192" i="12"/>
  <c r="R6" i="12"/>
  <c r="R7" i="12"/>
  <c r="R8" i="12"/>
  <c r="R9" i="12"/>
  <c r="R10" i="12"/>
  <c r="R11" i="12"/>
  <c r="R12" i="12"/>
  <c r="R13" i="12"/>
  <c r="R2" i="12"/>
  <c r="J7" i="11"/>
  <c r="J5" i="11"/>
  <c r="I7" i="11"/>
  <c r="I5" i="11"/>
  <c r="H5" i="11"/>
  <c r="C5" i="11"/>
  <c r="B5" i="11"/>
  <c r="L4" i="9"/>
  <c r="M4" i="9" s="1"/>
  <c r="N17" i="9"/>
  <c r="P26" i="9" s="1"/>
  <c r="E6" i="9"/>
  <c r="E4" i="9"/>
  <c r="D24" i="8"/>
  <c r="L13" i="8"/>
  <c r="M13" i="8" s="1"/>
  <c r="N13" i="8" s="1"/>
  <c r="O13" i="8" s="1"/>
  <c r="L8" i="8"/>
  <c r="M8" i="8" s="1"/>
  <c r="N8" i="8" s="1"/>
  <c r="O8" i="8" s="1"/>
  <c r="B13" i="8"/>
  <c r="B11" i="8"/>
  <c r="N30" i="7"/>
  <c r="E30" i="7"/>
  <c r="B7" i="8" s="1"/>
  <c r="E17" i="7"/>
  <c r="C7" i="11" s="1"/>
  <c r="E8" i="7"/>
  <c r="B7" i="11" s="1"/>
  <c r="E49" i="4"/>
  <c r="B11" i="6" s="1"/>
  <c r="B13" i="6"/>
  <c r="B12" i="6"/>
  <c r="D24" i="6"/>
  <c r="L13" i="6" s="1"/>
  <c r="M13" i="6" s="1"/>
  <c r="N13" i="6" s="1"/>
  <c r="O13" i="6" s="1"/>
  <c r="D13" i="6"/>
  <c r="G13" i="6" s="1"/>
  <c r="H13" i="6" s="1"/>
  <c r="I13" i="6" s="1"/>
  <c r="D12" i="6"/>
  <c r="G12" i="6" s="1"/>
  <c r="H12" i="6" s="1"/>
  <c r="I12" i="6" s="1"/>
  <c r="C12" i="6"/>
  <c r="F12" i="6" s="1"/>
  <c r="C6" i="9" l="1"/>
  <c r="D6" i="9" s="1"/>
  <c r="B12" i="8"/>
  <c r="K6" i="9"/>
  <c r="K19" i="9"/>
  <c r="L6" i="9"/>
  <c r="M6" i="9" s="1"/>
  <c r="E7" i="11"/>
  <c r="H7" i="11"/>
  <c r="B34" i="9"/>
  <c r="E27" i="9"/>
  <c r="C27" i="9"/>
  <c r="D27" i="9"/>
  <c r="E18" i="9"/>
  <c r="C41" i="9"/>
  <c r="B8" i="8"/>
  <c r="D8" i="8" s="1"/>
  <c r="G8" i="8" s="1"/>
  <c r="B19" i="9"/>
  <c r="E19" i="9" s="1"/>
  <c r="G28" i="9" s="1"/>
  <c r="B6" i="9"/>
  <c r="F7" i="11"/>
  <c r="B10" i="12"/>
  <c r="J12" i="12"/>
  <c r="I12" i="12"/>
  <c r="H12" i="12"/>
  <c r="F12" i="12"/>
  <c r="E12" i="12"/>
  <c r="C12" i="12"/>
  <c r="B12" i="12"/>
  <c r="P17" i="9"/>
  <c r="O17" i="9"/>
  <c r="B13" i="12"/>
  <c r="F11" i="12"/>
  <c r="J11" i="12"/>
  <c r="E10" i="12"/>
  <c r="J10" i="12"/>
  <c r="F10" i="12"/>
  <c r="H10" i="12"/>
  <c r="I10" i="12"/>
  <c r="H11" i="12"/>
  <c r="I11" i="12"/>
  <c r="I13" i="12"/>
  <c r="F13" i="12"/>
  <c r="C13" i="12"/>
  <c r="C10" i="12"/>
  <c r="C11" i="12"/>
  <c r="E11" i="12"/>
  <c r="J13" i="12"/>
  <c r="H13" i="12"/>
  <c r="B11" i="12"/>
  <c r="E13" i="12"/>
  <c r="D7" i="8"/>
  <c r="G7" i="8" s="1"/>
  <c r="C7" i="8"/>
  <c r="F7" i="8" s="1"/>
  <c r="C12" i="8"/>
  <c r="F12" i="8" s="1"/>
  <c r="D12" i="8"/>
  <c r="G12" i="8" s="1"/>
  <c r="H12" i="8" s="1"/>
  <c r="I12" i="8" s="1"/>
  <c r="D13" i="8"/>
  <c r="G13" i="8" s="1"/>
  <c r="H13" i="8" s="1"/>
  <c r="I13" i="8" s="1"/>
  <c r="C13" i="8"/>
  <c r="F13" i="8" s="1"/>
  <c r="C11" i="8"/>
  <c r="F11" i="8" s="1"/>
  <c r="D11" i="8"/>
  <c r="G11" i="8" s="1"/>
  <c r="H11" i="8" s="1"/>
  <c r="I11" i="8" s="1"/>
  <c r="D11" i="6"/>
  <c r="G11" i="6" s="1"/>
  <c r="H11" i="6" s="1"/>
  <c r="I11" i="6" s="1"/>
  <c r="C11" i="6"/>
  <c r="F11" i="6" s="1"/>
  <c r="L8" i="6"/>
  <c r="M8" i="6" s="1"/>
  <c r="N8" i="6" s="1"/>
  <c r="O8" i="6" s="1"/>
  <c r="C13" i="6"/>
  <c r="F13" i="6" s="1"/>
  <c r="M30" i="4"/>
  <c r="E30" i="4"/>
  <c r="E17" i="4"/>
  <c r="E8" i="4"/>
  <c r="D24" i="2"/>
  <c r="L13" i="2" s="1"/>
  <c r="M13" i="2" s="1"/>
  <c r="N13" i="2" s="1"/>
  <c r="O13" i="2" s="1"/>
  <c r="E8" i="1"/>
  <c r="B4" i="11" s="1"/>
  <c r="B9" i="11" s="1"/>
  <c r="H4" i="11"/>
  <c r="H9" i="11" s="1"/>
  <c r="E30" i="1"/>
  <c r="E17" i="1"/>
  <c r="C4" i="11" s="1"/>
  <c r="C9" i="11" s="1"/>
  <c r="K35" i="9" l="1"/>
  <c r="K28" i="9"/>
  <c r="L42" i="9"/>
  <c r="L19" i="9"/>
  <c r="K42" i="9"/>
  <c r="N19" i="9"/>
  <c r="P42" i="9"/>
  <c r="O28" i="9"/>
  <c r="M42" i="9"/>
  <c r="N28" i="9"/>
  <c r="N42" i="9"/>
  <c r="L28" i="9"/>
  <c r="O42" i="9"/>
  <c r="M28" i="9"/>
  <c r="B13" i="2"/>
  <c r="D13" i="2" s="1"/>
  <c r="G13" i="2" s="1"/>
  <c r="H13" i="2" s="1"/>
  <c r="J4" i="11"/>
  <c r="J9" i="11" s="1"/>
  <c r="K3" i="9"/>
  <c r="K16" i="9"/>
  <c r="L3" i="9"/>
  <c r="M3" i="9" s="1"/>
  <c r="I4" i="11"/>
  <c r="I9" i="11" s="1"/>
  <c r="B11" i="2"/>
  <c r="C11" i="2" s="1"/>
  <c r="F11" i="2" s="1"/>
  <c r="B12" i="2"/>
  <c r="D12" i="2" s="1"/>
  <c r="G12" i="2" s="1"/>
  <c r="H12" i="2" s="1"/>
  <c r="F19" i="9"/>
  <c r="C8" i="8"/>
  <c r="F8" i="8" s="1"/>
  <c r="G19" i="9"/>
  <c r="F18" i="9"/>
  <c r="G18" i="9"/>
  <c r="G27" i="9"/>
  <c r="B17" i="9"/>
  <c r="B4" i="9"/>
  <c r="B28" i="9"/>
  <c r="C28" i="9"/>
  <c r="D28" i="9"/>
  <c r="C42" i="9"/>
  <c r="B35" i="9"/>
  <c r="G42" i="9"/>
  <c r="F42" i="9"/>
  <c r="B42" i="9"/>
  <c r="F28" i="9"/>
  <c r="E28" i="9"/>
  <c r="D42" i="9"/>
  <c r="E42" i="9"/>
  <c r="C19" i="9"/>
  <c r="F4" i="11"/>
  <c r="F9" i="11" s="1"/>
  <c r="B16" i="9"/>
  <c r="B3" i="9"/>
  <c r="B8" i="2"/>
  <c r="C8" i="2" s="1"/>
  <c r="F8" i="2" s="1"/>
  <c r="E4" i="11"/>
  <c r="E9" i="11" s="1"/>
  <c r="C3" i="9"/>
  <c r="D3" i="9" s="1"/>
  <c r="B7" i="2"/>
  <c r="D7" i="2" s="1"/>
  <c r="G7" i="2" s="1"/>
  <c r="F5" i="11"/>
  <c r="B8" i="6"/>
  <c r="E5" i="11"/>
  <c r="B7" i="6"/>
  <c r="C4" i="9"/>
  <c r="D4" i="9" s="1"/>
  <c r="L8" i="2"/>
  <c r="M8" i="2" s="1"/>
  <c r="N8" i="2" s="1"/>
  <c r="O8" i="2" s="1"/>
  <c r="C12" i="2" l="1"/>
  <c r="F12" i="2" s="1"/>
  <c r="D11" i="2"/>
  <c r="G11" i="2" s="1"/>
  <c r="H11" i="2" s="1"/>
  <c r="I11" i="2" s="1"/>
  <c r="P28" i="9"/>
  <c r="O19" i="9"/>
  <c r="P19" i="9"/>
  <c r="C13" i="2"/>
  <c r="F13" i="2" s="1"/>
  <c r="I13" i="2"/>
  <c r="L25" i="9"/>
  <c r="L29" i="9" s="1"/>
  <c r="K20" i="9"/>
  <c r="P39" i="9"/>
  <c r="K25" i="9"/>
  <c r="K29" i="9" s="1"/>
  <c r="O25" i="9"/>
  <c r="O29" i="9" s="1"/>
  <c r="N16" i="9"/>
  <c r="O39" i="9"/>
  <c r="M39" i="9"/>
  <c r="N25" i="9"/>
  <c r="N29" i="9" s="1"/>
  <c r="L16" i="9"/>
  <c r="L39" i="9"/>
  <c r="K32" i="9"/>
  <c r="K39" i="9"/>
  <c r="N39" i="9"/>
  <c r="M25" i="9"/>
  <c r="M29" i="9" s="1"/>
  <c r="I12" i="2"/>
  <c r="D8" i="2"/>
  <c r="G8" i="2" s="1"/>
  <c r="B33" i="9"/>
  <c r="C26" i="9"/>
  <c r="D26" i="9"/>
  <c r="B26" i="9"/>
  <c r="F26" i="9"/>
  <c r="C17" i="9"/>
  <c r="E26" i="9"/>
  <c r="F40" i="9"/>
  <c r="D40" i="9"/>
  <c r="G40" i="9"/>
  <c r="E40" i="9"/>
  <c r="C40" i="9"/>
  <c r="B40" i="9"/>
  <c r="E17" i="9"/>
  <c r="B25" i="9"/>
  <c r="C16" i="9"/>
  <c r="B39" i="9"/>
  <c r="D25" i="9"/>
  <c r="E25" i="9"/>
  <c r="E16" i="9"/>
  <c r="C25" i="9"/>
  <c r="D39" i="9"/>
  <c r="E39" i="9"/>
  <c r="G39" i="9"/>
  <c r="F25" i="9"/>
  <c r="B32" i="9"/>
  <c r="C39" i="9"/>
  <c r="F39" i="9"/>
  <c r="C7" i="2"/>
  <c r="F7" i="2" s="1"/>
  <c r="D8" i="6"/>
  <c r="G8" i="6" s="1"/>
  <c r="C8" i="6"/>
  <c r="F8" i="6" s="1"/>
  <c r="D7" i="6"/>
  <c r="G7" i="6" s="1"/>
  <c r="C7" i="6"/>
  <c r="F7" i="6" s="1"/>
  <c r="P25" i="9" l="1"/>
  <c r="P16" i="9"/>
  <c r="O16" i="9"/>
  <c r="N20" i="9"/>
  <c r="L20" i="9"/>
  <c r="K36" i="9"/>
  <c r="G26" i="9"/>
  <c r="F17" i="9"/>
  <c r="G17" i="9"/>
  <c r="G25" i="9"/>
  <c r="F16" i="9"/>
  <c r="G16" i="9"/>
  <c r="O20" i="9" l="1"/>
  <c r="P20" i="9"/>
</calcChain>
</file>

<file path=xl/sharedStrings.xml><?xml version="1.0" encoding="utf-8"?>
<sst xmlns="http://schemas.openxmlformats.org/spreadsheetml/2006/main" count="2299" uniqueCount="486">
  <si>
    <t>Total_Execution_Time</t>
  </si>
  <si>
    <t>Execution_Count</t>
  </si>
  <si>
    <t>Mean_Execution_Time</t>
  </si>
  <si>
    <t>Std_Dev_Execution_Time</t>
  </si>
  <si>
    <t>Total_Execution_Percentage</t>
  </si>
  <si>
    <t>QueryType</t>
  </si>
  <si>
    <t>2003 opt</t>
  </si>
  <si>
    <t>2013 over03opt</t>
  </si>
  <si>
    <t>2013 opt</t>
  </si>
  <si>
    <t>Weight</t>
  </si>
  <si>
    <t>2023 over03opt</t>
  </si>
  <si>
    <t>2023 over13opt</t>
  </si>
  <si>
    <t>2023 opt</t>
  </si>
  <si>
    <t>Query volume</t>
  </si>
  <si>
    <t>D2_alpha</t>
  </si>
  <si>
    <t>D2_beta</t>
  </si>
  <si>
    <t>Avg q time</t>
  </si>
  <si>
    <t>D3_alpha</t>
  </si>
  <si>
    <t>D3_beta</t>
  </si>
  <si>
    <t>D3_gamma</t>
  </si>
  <si>
    <t>Mig time (sec) from alpha</t>
  </si>
  <si>
    <t>Mig time (sec) from beta</t>
  </si>
  <si>
    <t>W</t>
  </si>
  <si>
    <t>alpha</t>
  </si>
  <si>
    <t>beta</t>
  </si>
  <si>
    <t>gamma</t>
  </si>
  <si>
    <t>Table</t>
  </si>
  <si>
    <t>Original card</t>
  </si>
  <si>
    <t>Sample card</t>
  </si>
  <si>
    <t>Rate</t>
  </si>
  <si>
    <t>PhotoObjAll</t>
  </si>
  <si>
    <t>Scaled (sec)</t>
  </si>
  <si>
    <t>Scaled (min)</t>
  </si>
  <si>
    <t>Scaled (h)</t>
  </si>
  <si>
    <t>Scaled (d)</t>
  </si>
  <si>
    <t>Original query volume</t>
  </si>
  <si>
    <t>W beta (2013)</t>
  </si>
  <si>
    <t>W gamma (2023)</t>
  </si>
  <si>
    <t>Total time (sec) on original query volume</t>
  </si>
  <si>
    <t>Total time (sec) on query volume</t>
  </si>
  <si>
    <t>Total time (min) on query volume</t>
  </si>
  <si>
    <t>Total time (min) on original query volume</t>
  </si>
  <si>
    <t>Total time (h) on original query volume</t>
  </si>
  <si>
    <t>Total time (d) on original query volume</t>
  </si>
  <si>
    <t>Mig time (sec) from D1_alpha</t>
  </si>
  <si>
    <t>Mig time (sec) from D2_beta</t>
  </si>
  <si>
    <t>alpha to beta</t>
  </si>
  <si>
    <t>beta to gamma</t>
  </si>
  <si>
    <t>migration time</t>
  </si>
  <si>
    <t>scale</t>
  </si>
  <si>
    <t>time saving in sec</t>
  </si>
  <si>
    <t>|W|</t>
  </si>
  <si>
    <t>Scale</t>
  </si>
  <si>
    <t>100K</t>
  </si>
  <si>
    <t>200K</t>
  </si>
  <si>
    <t>1M</t>
  </si>
  <si>
    <t>$D_1$</t>
  </si>
  <si>
    <t>$D_1^{\alpha}$</t>
  </si>
  <si>
    <t>$D_2^{\alpha}$</t>
  </si>
  <si>
    <t>$D_3^{\alpha}$</t>
  </si>
  <si>
    <t>$D_2^{\beta}$</t>
  </si>
  <si>
    <t>$D_3^{\beta}$</t>
  </si>
  <si>
    <t>$D_3^{\gamma}$</t>
  </si>
  <si>
    <t>$W^{\alpha}$</t>
  </si>
  <si>
    <t>$W^{\beta}$</t>
  </si>
  <si>
    <t>$W^{\gamma}$</t>
  </si>
  <si>
    <t>Average query time (ms)</t>
  </si>
  <si>
    <t>Total size (MB)</t>
  </si>
  <si>
    <t>aa_sdss2003</t>
  </si>
  <si>
    <t>photoobjall</t>
  </si>
  <si>
    <t>596 MB</t>
  </si>
  <si>
    <t>5888 kB</t>
  </si>
  <si>
    <t>5312 kB</t>
  </si>
  <si>
    <t>photoz</t>
  </si>
  <si>
    <t>17 MB</t>
  </si>
  <si>
    <t>784 kB</t>
  </si>
  <si>
    <t>specobjall</t>
  </si>
  <si>
    <t>69 MB</t>
  </si>
  <si>
    <t>1488 kB</t>
  </si>
  <si>
    <t>1856 kB</t>
  </si>
  <si>
    <t>aa_sdss2003_10x</t>
  </si>
  <si>
    <t>5964 MB</t>
  </si>
  <si>
    <t>57 MB</t>
  </si>
  <si>
    <t>52 MB</t>
  </si>
  <si>
    <t>173 MB</t>
  </si>
  <si>
    <t>165 MB</t>
  </si>
  <si>
    <t>7480 kB</t>
  </si>
  <si>
    <t>687 MB</t>
  </si>
  <si>
    <t>15 MB</t>
  </si>
  <si>
    <t>18 MB</t>
  </si>
  <si>
    <t>aa_sdss2003_10x_optimized</t>
  </si>
  <si>
    <t>field</t>
  </si>
  <si>
    <t>67 MB</t>
  </si>
  <si>
    <t>664 kB</t>
  </si>
  <si>
    <t>264 kB</t>
  </si>
  <si>
    <t>frame</t>
  </si>
  <si>
    <t>30 MB</t>
  </si>
  <si>
    <t>29 MB</t>
  </si>
  <si>
    <t>1392 kB</t>
  </si>
  <si>
    <t>galspecextra</t>
  </si>
  <si>
    <t>300 MB</t>
  </si>
  <si>
    <t>296 MB</t>
  </si>
  <si>
    <t>4824 kB</t>
  </si>
  <si>
    <t>galspecindx</t>
  </si>
  <si>
    <t>13 MB</t>
  </si>
  <si>
    <t>photoobjall_galaxy</t>
  </si>
  <si>
    <t>72 kB</t>
  </si>
  <si>
    <t>32 kB</t>
  </si>
  <si>
    <t>photoobjall_galaxycomplementary</t>
  </si>
  <si>
    <t>344 kB</t>
  </si>
  <si>
    <t>8192 bytes</t>
  </si>
  <si>
    <t>16 kB</t>
  </si>
  <si>
    <t>photoobjall_other</t>
  </si>
  <si>
    <t>3665 MB</t>
  </si>
  <si>
    <t>36 MB</t>
  </si>
  <si>
    <t>32 MB</t>
  </si>
  <si>
    <t>photoobjall_primary</t>
  </si>
  <si>
    <t>218 MB</t>
  </si>
  <si>
    <t>198 MB</t>
  </si>
  <si>
    <t>20 MB</t>
  </si>
  <si>
    <t>photoobjall_primarycomplementary</t>
  </si>
  <si>
    <t>2295 MB</t>
  </si>
  <si>
    <t>22 MB</t>
  </si>
  <si>
    <t>16 MB</t>
  </si>
  <si>
    <t>photoz_complementary</t>
  </si>
  <si>
    <t>48 kB</t>
  </si>
  <si>
    <t>photozrf</t>
  </si>
  <si>
    <t>136 MB</t>
  </si>
  <si>
    <t>132 MB</t>
  </si>
  <si>
    <t>3736 kB</t>
  </si>
  <si>
    <t>platex</t>
  </si>
  <si>
    <t>728 kB</t>
  </si>
  <si>
    <t>704 kB</t>
  </si>
  <si>
    <t>specobjall_complementary</t>
  </si>
  <si>
    <t>0 bytes</t>
  </si>
  <si>
    <t>aa_sdss2003_2x</t>
  </si>
  <si>
    <t>1193 MB</t>
  </si>
  <si>
    <t>11 MB</t>
  </si>
  <si>
    <t>10 MB</t>
  </si>
  <si>
    <t>35 MB</t>
  </si>
  <si>
    <t>33 MB</t>
  </si>
  <si>
    <t>1520 kB</t>
  </si>
  <si>
    <t>137 MB</t>
  </si>
  <si>
    <t>2968 kB</t>
  </si>
  <si>
    <t>3672 kB</t>
  </si>
  <si>
    <t>aa_sdss2003_2x_optimized</t>
  </si>
  <si>
    <t>59 MB</t>
  </si>
  <si>
    <t>58 MB</t>
  </si>
  <si>
    <t>976 kB</t>
  </si>
  <si>
    <t>119 MB</t>
  </si>
  <si>
    <t>2600 kB</t>
  </si>
  <si>
    <t>104 kB</t>
  </si>
  <si>
    <t>733 MB</t>
  </si>
  <si>
    <t>7288 kB</t>
  </si>
  <si>
    <t>6584 kB</t>
  </si>
  <si>
    <t>44 MB</t>
  </si>
  <si>
    <t>40 MB</t>
  </si>
  <si>
    <t>4056 kB</t>
  </si>
  <si>
    <t>459 MB</t>
  </si>
  <si>
    <t>4488 kB</t>
  </si>
  <si>
    <t>3376 kB</t>
  </si>
  <si>
    <t>40 kB</t>
  </si>
  <si>
    <t>27 MB</t>
  </si>
  <si>
    <t>26 MB</t>
  </si>
  <si>
    <t>760 kB</t>
  </si>
  <si>
    <t>aa_sdss2003_optimized</t>
  </si>
  <si>
    <t>496 kB</t>
  </si>
  <si>
    <t>60 MB</t>
  </si>
  <si>
    <t>1304 kB</t>
  </si>
  <si>
    <t>367 MB</t>
  </si>
  <si>
    <t>3648 kB</t>
  </si>
  <si>
    <t>3296 kB</t>
  </si>
  <si>
    <t>2040 kB</t>
  </si>
  <si>
    <t>230 MB</t>
  </si>
  <si>
    <t>2248 kB</t>
  </si>
  <si>
    <t>1712 kB</t>
  </si>
  <si>
    <t>14 MB</t>
  </si>
  <si>
    <t>392 kB</t>
  </si>
  <si>
    <t>aa_sdss2013_10x_optimized</t>
  </si>
  <si>
    <t>65 MB</t>
  </si>
  <si>
    <t>1003 MB</t>
  </si>
  <si>
    <t>9800 kB</t>
  </si>
  <si>
    <t>7352 kB</t>
  </si>
  <si>
    <t>3647 MB</t>
  </si>
  <si>
    <t>84 MB</t>
  </si>
  <si>
    <t>80 MB</t>
  </si>
  <si>
    <t>4728 kB</t>
  </si>
  <si>
    <t>1292 MB</t>
  </si>
  <si>
    <t>12 MB</t>
  </si>
  <si>
    <t>9456 kB</t>
  </si>
  <si>
    <t>2984 kB</t>
  </si>
  <si>
    <t>2784 kB</t>
  </si>
  <si>
    <t>160 kB</t>
  </si>
  <si>
    <t>148 MB</t>
  </si>
  <si>
    <t>145 MB</t>
  </si>
  <si>
    <t>2344 kB</t>
  </si>
  <si>
    <t>2224 kB</t>
  </si>
  <si>
    <t>80 kB</t>
  </si>
  <si>
    <t>photozrf_complementary</t>
  </si>
  <si>
    <t>122 MB</t>
  </si>
  <si>
    <t>118 MB</t>
  </si>
  <si>
    <t>700 MB</t>
  </si>
  <si>
    <t>aa_sdss2013_2x_optimized</t>
  </si>
  <si>
    <t>744 kB</t>
  </si>
  <si>
    <t>201 MB</t>
  </si>
  <si>
    <t>1960 kB</t>
  </si>
  <si>
    <t>730 MB</t>
  </si>
  <si>
    <t>2744 kB</t>
  </si>
  <si>
    <t>960 kB</t>
  </si>
  <si>
    <t>258 MB</t>
  </si>
  <si>
    <t>2528 kB</t>
  </si>
  <si>
    <t>1920 kB</t>
  </si>
  <si>
    <t>632 kB</t>
  </si>
  <si>
    <t>560 kB</t>
  </si>
  <si>
    <t>64 kB</t>
  </si>
  <si>
    <t>488 kB</t>
  </si>
  <si>
    <t>448 kB</t>
  </si>
  <si>
    <t>24 MB</t>
  </si>
  <si>
    <t>140 MB</t>
  </si>
  <si>
    <t>6328 kB</t>
  </si>
  <si>
    <t>aa_sdss2013_optimized</t>
  </si>
  <si>
    <t>7088 kB</t>
  </si>
  <si>
    <t>6664 kB</t>
  </si>
  <si>
    <t>384 kB</t>
  </si>
  <si>
    <t>100 MB</t>
  </si>
  <si>
    <t>984 kB</t>
  </si>
  <si>
    <t>768 kB</t>
  </si>
  <si>
    <t>365 MB</t>
  </si>
  <si>
    <t>1376 kB</t>
  </si>
  <si>
    <t>8736 kB</t>
  </si>
  <si>
    <t>8208 kB</t>
  </si>
  <si>
    <t>129 MB</t>
  </si>
  <si>
    <t>1264 kB</t>
  </si>
  <si>
    <t>320 kB</t>
  </si>
  <si>
    <t>280 kB</t>
  </si>
  <si>
    <t>248 kB</t>
  </si>
  <si>
    <t>224 kB</t>
  </si>
  <si>
    <t>70 MB</t>
  </si>
  <si>
    <t>3192 kB</t>
  </si>
  <si>
    <t>aa_sdss2023_10x_optimized</t>
  </si>
  <si>
    <t>field_other</t>
  </si>
  <si>
    <t>frame_0</t>
  </si>
  <si>
    <t>752 kB</t>
  </si>
  <si>
    <t>360 kB</t>
  </si>
  <si>
    <t>frame_other</t>
  </si>
  <si>
    <t>23 MB</t>
  </si>
  <si>
    <t>1048 kB</t>
  </si>
  <si>
    <t>185 MB</t>
  </si>
  <si>
    <t>176 MB</t>
  </si>
  <si>
    <t>8920 kB</t>
  </si>
  <si>
    <t>2435 MB</t>
  </si>
  <si>
    <t>2239 MB</t>
  </si>
  <si>
    <t>87 MB</t>
  </si>
  <si>
    <t>83 MB</t>
  </si>
  <si>
    <t>4672 kB</t>
  </si>
  <si>
    <t>1271 MB</t>
  </si>
  <si>
    <t>288 kB</t>
  </si>
  <si>
    <t>168 kB</t>
  </si>
  <si>
    <t>photozcomplementary</t>
  </si>
  <si>
    <t>2480 kB</t>
  </si>
  <si>
    <t>61 MB</t>
  </si>
  <si>
    <t>specobjallcomplementary</t>
  </si>
  <si>
    <t>675 MB</t>
  </si>
  <si>
    <t>5448 kB</t>
  </si>
  <si>
    <t>aa_sdss2023_2x_optimized</t>
  </si>
  <si>
    <t>37 MB</t>
  </si>
  <si>
    <t>1792 kB</t>
  </si>
  <si>
    <t>487 MB</t>
  </si>
  <si>
    <t>4776 kB</t>
  </si>
  <si>
    <t>448 MB</t>
  </si>
  <si>
    <t>4504 kB</t>
  </si>
  <si>
    <t>4072 kB</t>
  </si>
  <si>
    <t>944 kB</t>
  </si>
  <si>
    <t>254 MB</t>
  </si>
  <si>
    <t>2496 kB</t>
  </si>
  <si>
    <t>536 kB</t>
  </si>
  <si>
    <t>135 MB</t>
  </si>
  <si>
    <t>1104 kB</t>
  </si>
  <si>
    <t>aa_sdss2023_optimized</t>
  </si>
  <si>
    <t>19 MB</t>
  </si>
  <si>
    <t>904 kB</t>
  </si>
  <si>
    <t>244 MB</t>
  </si>
  <si>
    <t>2392 kB</t>
  </si>
  <si>
    <t>224 MB</t>
  </si>
  <si>
    <t>2256 kB</t>
  </si>
  <si>
    <t>2048 kB</t>
  </si>
  <si>
    <t>8992 kB</t>
  </si>
  <si>
    <t>8472 kB</t>
  </si>
  <si>
    <t>480 kB</t>
  </si>
  <si>
    <t>127 MB</t>
  </si>
  <si>
    <t>1248 kB</t>
  </si>
  <si>
    <t>24 kB</t>
  </si>
  <si>
    <t>272 kB</t>
  </si>
  <si>
    <t>8864 kB</t>
  </si>
  <si>
    <t>6408 kB</t>
  </si>
  <si>
    <t>2416 kB</t>
  </si>
  <si>
    <t>68 MB</t>
  </si>
  <si>
    <t>sdss2003_optimized</t>
  </si>
  <si>
    <t>39 MB</t>
  </si>
  <si>
    <t>2208 kB</t>
  </si>
  <si>
    <t>601 MB</t>
  </si>
  <si>
    <t>290 MB</t>
  </si>
  <si>
    <t>278 MB</t>
  </si>
  <si>
    <t>313 MB</t>
  </si>
  <si>
    <t>6792 kB</t>
  </si>
  <si>
    <t>2544 kB</t>
  </si>
  <si>
    <t>sdss_relational</t>
  </si>
  <si>
    <t>632 MB</t>
  </si>
  <si>
    <t>631 MB</t>
  </si>
  <si>
    <t>211 MB</t>
  </si>
  <si>
    <t>107 MB</t>
  </si>
  <si>
    <t>589 MB</t>
  </si>
  <si>
    <t>588 MB</t>
  </si>
  <si>
    <t>781 MB</t>
  </si>
  <si>
    <t>6288 kB</t>
  </si>
  <si>
    <t>6248 kB</t>
  </si>
  <si>
    <t>179 MB</t>
  </si>
  <si>
    <t>zoospec</t>
  </si>
  <si>
    <t>sdss_relational2</t>
  </si>
  <si>
    <t>7984 kB</t>
  </si>
  <si>
    <t>7952 kB</t>
  </si>
  <si>
    <t>43 MB</t>
  </si>
  <si>
    <t>5240 kB</t>
  </si>
  <si>
    <t>5208 kB</t>
  </si>
  <si>
    <t>4264 kB</t>
  </si>
  <si>
    <t>4232 kB</t>
  </si>
  <si>
    <t>936 kB</t>
  </si>
  <si>
    <t>896 kB</t>
  </si>
  <si>
    <t>samplesizes</t>
  </si>
  <si>
    <t>3344 kB</t>
  </si>
  <si>
    <t>3304 kB</t>
  </si>
  <si>
    <t>sdss_relational_10x</t>
  </si>
  <si>
    <t>78 MB</t>
  </si>
  <si>
    <t>427 MB</t>
  </si>
  <si>
    <t>mapping</t>
  </si>
  <si>
    <t>42 MB</t>
  </si>
  <si>
    <t>7813 MB</t>
  </si>
  <si>
    <t>7811 MB</t>
  </si>
  <si>
    <t>51 MB</t>
  </si>
  <si>
    <t>41 MB</t>
  </si>
  <si>
    <t>424 kB</t>
  </si>
  <si>
    <t>416 kB</t>
  </si>
  <si>
    <t>387 MB</t>
  </si>
  <si>
    <t>sdss_relational_2x</t>
  </si>
  <si>
    <t>85 MB</t>
  </si>
  <si>
    <t>8680 kB</t>
  </si>
  <si>
    <t>8648 kB</t>
  </si>
  <si>
    <t>1563 MB</t>
  </si>
  <si>
    <t>1562 MB</t>
  </si>
  <si>
    <t>8496 kB</t>
  </si>
  <si>
    <t>8464 kB</t>
  </si>
  <si>
    <t>77 MB</t>
  </si>
  <si>
    <t>6648 kB</t>
  </si>
  <si>
    <t>6608 kB</t>
  </si>
  <si>
    <t>sdss_relational_3x</t>
  </si>
  <si>
    <t>38 MB</t>
  </si>
  <si>
    <t>207 MB</t>
  </si>
  <si>
    <t>2344 MB</t>
  </si>
  <si>
    <t>2343 MB</t>
  </si>
  <si>
    <t>116 MB</t>
  </si>
  <si>
    <t>9952 kB</t>
  </si>
  <si>
    <t>9912 kB</t>
  </si>
  <si>
    <t>Schema</t>
  </si>
  <si>
    <t>Total</t>
  </si>
  <si>
    <t>Data</t>
  </si>
  <si>
    <t>Indexes</t>
  </si>
  <si>
    <t>Total H</t>
  </si>
  <si>
    <t>1x</t>
  </si>
  <si>
    <t>2x</t>
  </si>
  <si>
    <t>10x</t>
  </si>
  <si>
    <t>Set of involved tables</t>
  </si>
  <si>
    <t>5x</t>
  </si>
  <si>
    <t>500K</t>
  </si>
  <si>
    <t>aa_sdss2003_5x</t>
  </si>
  <si>
    <t>2982 MB</t>
  </si>
  <si>
    <t>86 MB</t>
  </si>
  <si>
    <t>3760 kB</t>
  </si>
  <si>
    <t>344 MB</t>
  </si>
  <si>
    <t>7432 kB</t>
  </si>
  <si>
    <t>9088 kB</t>
  </si>
  <si>
    <t>aa_sdss2003_5x_optimized</t>
  </si>
  <si>
    <t>149 MB</t>
  </si>
  <si>
    <t>147 MB</t>
  </si>
  <si>
    <t>2424 kB</t>
  </si>
  <si>
    <t>298 MB</t>
  </si>
  <si>
    <t>6488 kB</t>
  </si>
  <si>
    <t>56 kB</t>
  </si>
  <si>
    <t>192 kB</t>
  </si>
  <si>
    <t>1833 MB</t>
  </si>
  <si>
    <t>109 MB</t>
  </si>
  <si>
    <t>99 MB</t>
  </si>
  <si>
    <t>10096 kB</t>
  </si>
  <si>
    <t>1148 MB</t>
  </si>
  <si>
    <t>8408 kB</t>
  </si>
  <si>
    <t>66 MB</t>
  </si>
  <si>
    <t>1872 kB</t>
  </si>
  <si>
    <t>aa_sdss2013_5x_optimized</t>
  </si>
  <si>
    <t>34 MB</t>
  </si>
  <si>
    <t>1840 kB</t>
  </si>
  <si>
    <t>502 MB</t>
  </si>
  <si>
    <t>4904 kB</t>
  </si>
  <si>
    <t>3696 kB</t>
  </si>
  <si>
    <t>1824 MB</t>
  </si>
  <si>
    <t>6808 kB</t>
  </si>
  <si>
    <t>2376 kB</t>
  </si>
  <si>
    <t>646 MB</t>
  </si>
  <si>
    <t>6312 kB</t>
  </si>
  <si>
    <t>4752 kB</t>
  </si>
  <si>
    <t>1528 kB</t>
  </si>
  <si>
    <t>96 kB</t>
  </si>
  <si>
    <t>74 MB</t>
  </si>
  <si>
    <t>72 MB</t>
  </si>
  <si>
    <t>1200 kB</t>
  </si>
  <si>
    <t>1112 kB</t>
  </si>
  <si>
    <t>350 MB</t>
  </si>
  <si>
    <t>aa_sdss2023_5x_optimized</t>
  </si>
  <si>
    <t>92 MB</t>
  </si>
  <si>
    <t>88 MB</t>
  </si>
  <si>
    <t>4472 kB</t>
  </si>
  <si>
    <t>1217 MB</t>
  </si>
  <si>
    <t>1120 MB</t>
  </si>
  <si>
    <t>10136 kB</t>
  </si>
  <si>
    <t>2352 kB</t>
  </si>
  <si>
    <t>636 MB</t>
  </si>
  <si>
    <t>6232 kB</t>
  </si>
  <si>
    <t>176 kB</t>
  </si>
  <si>
    <t>88 kB</t>
  </si>
  <si>
    <t>1328 kB</t>
  </si>
  <si>
    <t>1240 kB</t>
  </si>
  <si>
    <t>337 MB</t>
  </si>
  <si>
    <t>7416 kB</t>
  </si>
  <si>
    <t>2736 kB</t>
  </si>
  <si>
    <t>sdss_relational_5x</t>
  </si>
  <si>
    <t>214 MB</t>
  </si>
  <si>
    <t>213 MB</t>
  </si>
  <si>
    <t>21 MB</t>
  </si>
  <si>
    <t>3907 MB</t>
  </si>
  <si>
    <t>3905 MB</t>
  </si>
  <si>
    <t>25 MB</t>
  </si>
  <si>
    <t>193 MB</t>
  </si>
  <si>
    <t>Total size (bytes)</t>
  </si>
  <si>
    <t>migration time in sec</t>
  </si>
  <si>
    <t>Seconds per month</t>
  </si>
  <si>
    <t>1 query every ... seconds</t>
  </si>
  <si>
    <t>Workload</t>
  </si>
  <si>
    <t>N. query patterns</t>
  </si>
  <si>
    <t>N. queries per month</t>
  </si>
  <si>
    <t>Query frequency (s)</t>
  </si>
  <si>
    <t>Time saved per query (s)</t>
  </si>
  <si>
    <t>N. queries to reach migration time</t>
  </si>
  <si>
    <t>Time to reach migration time (min)</t>
  </si>
  <si>
    <t>Workload percentage to reach migration time</t>
  </si>
  <si>
    <t>time saving in h</t>
  </si>
  <si>
    <t>time saving in d</t>
  </si>
  <si>
    <t>Time saved per workload (h)</t>
  </si>
  <si>
    <t>Migration time (s)</t>
  </si>
  <si>
    <t>TP</t>
  </si>
  <si>
    <t>$D_2$</t>
  </si>
  <si>
    <t>$D_3$</t>
  </si>
  <si>
    <t>aa_sdss2013</t>
  </si>
  <si>
    <t>593 MB</t>
  </si>
  <si>
    <t>aa_sdss2013_2x</t>
  </si>
  <si>
    <t>1187 MB</t>
  </si>
  <si>
    <t>4408 kB</t>
  </si>
  <si>
    <t>aa_sdss2013_5x</t>
  </si>
  <si>
    <t>2967 MB</t>
  </si>
  <si>
    <t>aa_sdss2013_10x</t>
  </si>
  <si>
    <t>5934 MB</t>
  </si>
  <si>
    <t>169 MB</t>
  </si>
  <si>
    <t>aa_sdss2023</t>
  </si>
  <si>
    <t>599 MB</t>
  </si>
  <si>
    <t>7520 kB</t>
  </si>
  <si>
    <t>1640 kB</t>
  </si>
  <si>
    <t>aa_sdss2023_2x</t>
  </si>
  <si>
    <t>1197 MB</t>
  </si>
  <si>
    <t>3224 kB</t>
  </si>
  <si>
    <t>aa_sdss2023_5x</t>
  </si>
  <si>
    <t>2993 MB</t>
  </si>
  <si>
    <t>342 MB</t>
  </si>
  <si>
    <t>7992 kB</t>
  </si>
  <si>
    <t>aa_sdss2023_10x</t>
  </si>
  <si>
    <t>5985 MB</t>
  </si>
  <si>
    <t>73 MB</t>
  </si>
  <si>
    <t>685 MB</t>
  </si>
  <si>
    <t>if db is big enough to make mig time &gt;90Kseconds, then mig is not convenient</t>
  </si>
  <si>
    <t>Actual_Rows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</si>
</sst>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0"/>
    <numFmt numFmtId="165" formatCode="0.0"/>
    <numFmt numFmtId="166" formatCode="0.000"/>
    <numFmt numFmtId="167" formatCode="_-* #,##0_-;\-* #,##0_-;_-* &quot;-&quot;??_-;_-@_-"/>
    <numFmt numFmtId="168" formatCode="0.00000"/>
  </numFmts>
  <fonts count="8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9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4" fontId="2" fillId="2" borderId="1" xfId="0" applyNumberFormat="1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2" fontId="0" fillId="0" borderId="0" xfId="0" applyNumberFormat="1"/>
    <xf numFmtId="10" fontId="3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2" fontId="0" fillId="3" borderId="0" xfId="0" applyNumberFormat="1" applyFill="1"/>
    <xf numFmtId="4" fontId="2" fillId="4" borderId="1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2" fontId="0" fillId="5" borderId="0" xfId="0" applyNumberFormat="1" applyFill="1" applyAlignment="1">
      <alignment wrapText="1"/>
    </xf>
    <xf numFmtId="165" fontId="0" fillId="5" borderId="0" xfId="0" applyNumberFormat="1" applyFill="1" applyAlignment="1">
      <alignment wrapText="1"/>
    </xf>
    <xf numFmtId="165" fontId="0" fillId="0" borderId="0" xfId="0" applyNumberFormat="1" applyAlignment="1">
      <alignment wrapText="1"/>
    </xf>
    <xf numFmtId="0" fontId="0" fillId="5" borderId="0" xfId="0" applyFill="1" applyAlignment="1">
      <alignment wrapText="1"/>
    </xf>
    <xf numFmtId="0" fontId="0" fillId="0" borderId="0" xfId="0" applyAlignment="1">
      <alignment horizontal="right" wrapText="1"/>
    </xf>
    <xf numFmtId="0" fontId="5" fillId="6" borderId="0" xfId="0" applyFont="1" applyFill="1" applyAlignment="1">
      <alignment wrapText="1"/>
    </xf>
    <xf numFmtId="1" fontId="0" fillId="6" borderId="0" xfId="0" applyNumberFormat="1" applyFill="1" applyAlignment="1">
      <alignment wrapText="1"/>
    </xf>
    <xf numFmtId="165" fontId="0" fillId="6" borderId="0" xfId="0" applyNumberFormat="1" applyFill="1" applyAlignment="1">
      <alignment wrapText="1"/>
    </xf>
    <xf numFmtId="1" fontId="0" fillId="7" borderId="0" xfId="0" applyNumberFormat="1" applyFill="1" applyAlignment="1">
      <alignment wrapText="1"/>
    </xf>
    <xf numFmtId="0" fontId="5" fillId="7" borderId="0" xfId="0" applyFont="1" applyFill="1" applyAlignment="1">
      <alignment wrapText="1"/>
    </xf>
    <xf numFmtId="165" fontId="0" fillId="7" borderId="0" xfId="0" applyNumberFormat="1" applyFill="1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0" fontId="6" fillId="0" borderId="8" xfId="0" applyFont="1" applyBorder="1"/>
    <xf numFmtId="0" fontId="6" fillId="0" borderId="9" xfId="0" applyFont="1" applyBorder="1"/>
    <xf numFmtId="0" fontId="6" fillId="0" borderId="6" xfId="0" applyFont="1" applyBorder="1"/>
    <xf numFmtId="0" fontId="0" fillId="0" borderId="0" xfId="0" applyAlignment="1">
      <alignment horizontal="center"/>
    </xf>
    <xf numFmtId="0" fontId="5" fillId="0" borderId="0" xfId="0" applyFont="1"/>
    <xf numFmtId="165" fontId="0" fillId="0" borderId="0" xfId="0" applyNumberFormat="1"/>
    <xf numFmtId="2" fontId="0" fillId="0" borderId="0" xfId="0" applyNumberFormat="1" applyFill="1"/>
    <xf numFmtId="0" fontId="6" fillId="0" borderId="0" xfId="0" applyFont="1" applyFill="1" applyBorder="1"/>
    <xf numFmtId="0" fontId="0" fillId="0" borderId="0" xfId="0" applyBorder="1"/>
    <xf numFmtId="0" fontId="6" fillId="0" borderId="0" xfId="0" applyFont="1" applyBorder="1"/>
    <xf numFmtId="0" fontId="5" fillId="0" borderId="0" xfId="0" applyFont="1" applyBorder="1"/>
    <xf numFmtId="165" fontId="0" fillId="0" borderId="2" xfId="0" applyNumberFormat="1" applyBorder="1"/>
    <xf numFmtId="165" fontId="0" fillId="0" borderId="3" xfId="0" applyNumberFormat="1" applyBorder="1"/>
    <xf numFmtId="165" fontId="0" fillId="0" borderId="2" xfId="0" applyNumberFormat="1" applyFill="1" applyBorder="1"/>
    <xf numFmtId="165" fontId="0" fillId="0" borderId="3" xfId="0" applyNumberFormat="1" applyFill="1" applyBorder="1"/>
    <xf numFmtId="165" fontId="0" fillId="0" borderId="4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0" fontId="0" fillId="2" borderId="0" xfId="0" applyFill="1" applyBorder="1"/>
    <xf numFmtId="0" fontId="6" fillId="2" borderId="0" xfId="0" applyFont="1" applyFill="1" applyBorder="1"/>
    <xf numFmtId="1" fontId="0" fillId="2" borderId="0" xfId="0" applyNumberFormat="1" applyFill="1" applyBorder="1"/>
    <xf numFmtId="166" fontId="0" fillId="0" borderId="0" xfId="0" applyNumberFormat="1"/>
    <xf numFmtId="10" fontId="0" fillId="0" borderId="0" xfId="2" applyNumberFormat="1" applyFont="1"/>
    <xf numFmtId="167" fontId="0" fillId="0" borderId="0" xfId="1" applyNumberFormat="1" applyFont="1"/>
    <xf numFmtId="167" fontId="0" fillId="0" borderId="0" xfId="0" applyNumberFormat="1"/>
    <xf numFmtId="165" fontId="0" fillId="0" borderId="0" xfId="0" applyNumberFormat="1" applyBorder="1"/>
    <xf numFmtId="165" fontId="0" fillId="0" borderId="0" xfId="0" applyNumberFormat="1" applyFill="1" applyBorder="1"/>
    <xf numFmtId="0" fontId="6" fillId="0" borderId="3" xfId="0" applyFont="1" applyBorder="1"/>
    <xf numFmtId="0" fontId="6" fillId="0" borderId="10" xfId="0" applyFont="1" applyBorder="1"/>
    <xf numFmtId="0" fontId="6" fillId="0" borderId="12" xfId="0" applyFont="1" applyBorder="1"/>
    <xf numFmtId="0" fontId="6" fillId="0" borderId="11" xfId="0" applyFont="1" applyBorder="1"/>
    <xf numFmtId="165" fontId="0" fillId="0" borderId="14" xfId="0" applyNumberFormat="1" applyBorder="1"/>
    <xf numFmtId="165" fontId="0" fillId="0" borderId="13" xfId="0" applyNumberFormat="1" applyBorder="1"/>
    <xf numFmtId="165" fontId="0" fillId="0" borderId="15" xfId="0" applyNumberFormat="1" applyBorder="1"/>
    <xf numFmtId="168" fontId="0" fillId="0" borderId="0" xfId="0" applyNumberFormat="1"/>
    <xf numFmtId="165" fontId="0" fillId="0" borderId="4" xfId="0" applyNumberFormat="1" applyFill="1" applyBorder="1"/>
    <xf numFmtId="2" fontId="0" fillId="8" borderId="0" xfId="0" applyNumberFormat="1" applyFill="1"/>
    <xf numFmtId="0" fontId="1" fillId="0" borderId="0" xfId="0" applyFont="1" applyBorder="1" applyAlignment="1">
      <alignment horizontal="center" vertical="center" wrapText="1"/>
    </xf>
    <xf numFmtId="4" fontId="2" fillId="0" borderId="16" xfId="0" applyNumberFormat="1" applyFont="1" applyBorder="1" applyAlignment="1">
      <alignment vertical="center" wrapText="1"/>
    </xf>
    <xf numFmtId="164" fontId="2" fillId="0" borderId="0" xfId="0" applyNumberFormat="1" applyFont="1" applyBorder="1" applyAlignment="1">
      <alignment vertical="center" wrapText="1"/>
    </xf>
    <xf numFmtId="4" fontId="2" fillId="0" borderId="0" xfId="0" applyNumberFormat="1" applyFont="1" applyBorder="1" applyAlignment="1">
      <alignment vertical="center" wrapText="1"/>
    </xf>
    <xf numFmtId="4" fontId="2" fillId="0" borderId="0" xfId="0" applyNumberFormat="1" applyFont="1" applyFill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/>
    <xf numFmtId="10" fontId="3" fillId="0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vertical="center" wrapText="1"/>
    </xf>
    <xf numFmtId="4" fontId="2" fillId="0" borderId="16" xfId="0" applyNumberFormat="1" applyFont="1" applyFill="1" applyBorder="1" applyAlignment="1">
      <alignment vertical="center" wrapText="1"/>
    </xf>
    <xf numFmtId="0" fontId="4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vertical="center" wrapText="1"/>
    </xf>
    <xf numFmtId="164" fontId="2" fillId="0" borderId="0" xfId="0" applyNumberFormat="1" applyFont="1" applyFill="1" applyBorder="1" applyAlignment="1">
      <alignment vertical="center" wrapText="1"/>
    </xf>
    <xf numFmtId="4" fontId="0" fillId="0" borderId="0" xfId="0" applyNumberFormat="1" applyFill="1"/>
  </cellXfs>
  <cellStyles count="3">
    <cellStyle name="Migliaia" xfId="1" builtinId="3"/>
    <cellStyle name="Normale" xfId="0" builtinId="0"/>
    <cellStyle name="Percentuale" xfId="2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1D44-AC13-4E05-B908-0B5C89C2B65C}">
  <dimension ref="A1:AI50"/>
  <sheetViews>
    <sheetView tabSelected="1" topLeftCell="A7" zoomScaleNormal="100" workbookViewId="0">
      <selection activeCell="D53" sqref="D53"/>
    </sheetView>
  </sheetViews>
  <sheetFormatPr defaultColWidth="28.08203125" defaultRowHeight="14"/>
  <cols>
    <col min="1" max="1" width="7.83203125" style="80" customWidth="1"/>
    <col min="2" max="2" width="6.25" style="80" bestFit="1" customWidth="1"/>
    <col min="3" max="7" width="12.58203125" style="80" customWidth="1"/>
    <col min="8" max="8" width="7.4140625" style="80" customWidth="1"/>
    <col min="9" max="9" width="4.83203125" style="80" customWidth="1"/>
    <col min="10" max="10" width="7.33203125" style="80" customWidth="1"/>
    <col min="11" max="11" width="6.33203125" style="80" bestFit="1" customWidth="1"/>
    <col min="12" max="16" width="11.83203125" style="80" customWidth="1"/>
    <col min="17" max="17" width="7.4140625" style="80" customWidth="1"/>
    <col min="18" max="18" width="8.75" style="80" bestFit="1" customWidth="1"/>
    <col min="19" max="20" width="6.75" style="80" customWidth="1"/>
    <col min="21" max="23" width="12.33203125" style="80" customWidth="1"/>
    <col min="24" max="24" width="12.33203125" style="80" hidden="1" customWidth="1"/>
    <col min="25" max="25" width="12.33203125" style="80" customWidth="1"/>
    <col min="26" max="26" width="7.4140625" style="80" customWidth="1"/>
    <col min="27" max="27" width="6.33203125" style="80" customWidth="1"/>
    <col min="28" max="28" width="6.58203125" style="80" customWidth="1"/>
    <col min="29" max="29" width="6.33203125" style="80" bestFit="1" customWidth="1"/>
    <col min="30" max="32" width="11.58203125" style="80" customWidth="1"/>
    <col min="33" max="33" width="11.58203125" style="80" hidden="1" customWidth="1"/>
    <col min="34" max="34" width="11.58203125" style="80" customWidth="1"/>
    <col min="35" max="35" width="7.08203125" style="80" customWidth="1"/>
    <col min="36" max="16384" width="28.08203125" style="80"/>
  </cols>
  <sheetData>
    <row r="1" spans="1:26" ht="26">
      <c r="A1" s="78">
        <v>2003</v>
      </c>
      <c r="B1" s="78" t="s">
        <v>9</v>
      </c>
      <c r="C1" s="78" t="s">
        <v>0</v>
      </c>
      <c r="D1" s="78" t="s">
        <v>1</v>
      </c>
      <c r="E1" s="78" t="s">
        <v>2</v>
      </c>
      <c r="F1" s="78" t="s">
        <v>3</v>
      </c>
      <c r="G1" s="78" t="s">
        <v>4</v>
      </c>
      <c r="H1" s="79" t="s">
        <v>485</v>
      </c>
      <c r="Q1" s="79"/>
      <c r="R1" s="81"/>
      <c r="S1" s="81"/>
      <c r="T1" s="81"/>
      <c r="U1" s="81"/>
      <c r="V1" s="81"/>
      <c r="W1" s="81"/>
      <c r="X1" s="81"/>
      <c r="Y1" s="81"/>
      <c r="Z1" s="79"/>
    </row>
    <row r="2" spans="1:26" ht="26">
      <c r="A2" s="78" t="s">
        <v>5</v>
      </c>
      <c r="B2" s="78"/>
      <c r="C2" s="78"/>
      <c r="D2" s="78"/>
      <c r="E2" s="78"/>
      <c r="F2" s="78"/>
      <c r="G2" s="78"/>
      <c r="H2" s="79"/>
      <c r="Q2" s="79"/>
      <c r="R2" s="81"/>
      <c r="S2" s="81"/>
      <c r="T2" s="81"/>
      <c r="U2" s="81"/>
      <c r="V2" s="81"/>
      <c r="W2" s="81"/>
      <c r="X2" s="81"/>
      <c r="Y2" s="81"/>
      <c r="Z2" s="79"/>
    </row>
    <row r="3" spans="1:26">
      <c r="A3" s="78">
        <v>1</v>
      </c>
      <c r="B3" s="82">
        <v>0.60299999999999998</v>
      </c>
      <c r="C3" s="83">
        <v>827.58900000000006</v>
      </c>
      <c r="D3" s="83">
        <v>569</v>
      </c>
      <c r="E3" s="83">
        <v>1.4544619999999999</v>
      </c>
      <c r="F3" s="83">
        <v>2.3388460000000002</v>
      </c>
      <c r="G3" s="83">
        <v>1.0448409999999999</v>
      </c>
      <c r="H3" s="84">
        <v>1</v>
      </c>
      <c r="I3" s="68"/>
      <c r="J3" s="81"/>
      <c r="Q3" s="68"/>
      <c r="R3" s="81"/>
      <c r="S3" s="81"/>
      <c r="T3" s="81"/>
      <c r="U3" s="81"/>
      <c r="V3" s="81"/>
      <c r="W3" s="81"/>
      <c r="X3" s="81"/>
      <c r="Y3" s="81"/>
      <c r="Z3" s="68"/>
    </row>
    <row r="4" spans="1:26">
      <c r="A4" s="78">
        <v>2</v>
      </c>
      <c r="B4" s="82">
        <v>0.22459999999999999</v>
      </c>
      <c r="C4" s="83">
        <v>45250.428999999996</v>
      </c>
      <c r="D4" s="83">
        <v>235</v>
      </c>
      <c r="E4" s="83">
        <v>192.55501699999999</v>
      </c>
      <c r="F4" s="83">
        <v>120.07904000000001</v>
      </c>
      <c r="G4" s="83">
        <v>57.129185</v>
      </c>
      <c r="H4" s="84">
        <v>942.9</v>
      </c>
      <c r="I4" s="68"/>
      <c r="J4" s="81"/>
      <c r="Q4" s="68"/>
      <c r="R4" s="81"/>
      <c r="S4" s="81"/>
      <c r="T4" s="81"/>
      <c r="U4" s="81"/>
      <c r="V4" s="81"/>
      <c r="W4" s="81"/>
      <c r="X4" s="81"/>
      <c r="Y4" s="81"/>
      <c r="Z4" s="68"/>
    </row>
    <row r="5" spans="1:26">
      <c r="A5" s="78">
        <v>3</v>
      </c>
      <c r="B5" s="82">
        <v>4.7500000000000001E-2</v>
      </c>
      <c r="C5" s="83">
        <v>8857.1110000000008</v>
      </c>
      <c r="D5" s="83">
        <v>45</v>
      </c>
      <c r="E5" s="83">
        <v>196.82468900000001</v>
      </c>
      <c r="F5" s="83">
        <v>157.26190800000001</v>
      </c>
      <c r="G5" s="83">
        <v>11.182204</v>
      </c>
      <c r="H5" s="84">
        <v>306</v>
      </c>
      <c r="I5" s="68"/>
      <c r="J5" s="81"/>
      <c r="Q5" s="68"/>
      <c r="R5" s="81"/>
      <c r="S5" s="81"/>
      <c r="T5" s="81"/>
      <c r="U5" s="81"/>
      <c r="V5" s="81"/>
      <c r="W5" s="81"/>
      <c r="X5" s="81"/>
      <c r="Y5" s="81"/>
      <c r="Z5" s="68"/>
    </row>
    <row r="6" spans="1:26">
      <c r="A6" s="78">
        <v>4</v>
      </c>
      <c r="B6" s="82">
        <v>0.114</v>
      </c>
      <c r="C6" s="83">
        <v>24271.597000000002</v>
      </c>
      <c r="D6" s="83">
        <v>136</v>
      </c>
      <c r="E6" s="83">
        <v>178.467625</v>
      </c>
      <c r="F6" s="83">
        <v>143.379818</v>
      </c>
      <c r="G6" s="83">
        <v>30.643169</v>
      </c>
      <c r="H6" s="84">
        <v>269.7</v>
      </c>
      <c r="I6" s="68"/>
      <c r="Q6" s="68"/>
      <c r="R6" s="81"/>
      <c r="S6" s="81"/>
      <c r="T6" s="81"/>
      <c r="U6" s="81"/>
      <c r="V6" s="81"/>
      <c r="W6" s="81"/>
      <c r="X6" s="81"/>
      <c r="Y6" s="81"/>
      <c r="Z6" s="68"/>
    </row>
    <row r="7" spans="1:26">
      <c r="A7" s="78">
        <v>5</v>
      </c>
      <c r="B7" s="82">
        <v>1.09E-2</v>
      </c>
      <c r="C7" s="83">
        <v>0.47599999999999998</v>
      </c>
      <c r="D7" s="83">
        <v>15</v>
      </c>
      <c r="E7" s="83">
        <v>3.1732999999999997E-2</v>
      </c>
      <c r="F7" s="83">
        <v>2.5003999999999998E-2</v>
      </c>
      <c r="G7" s="83">
        <v>6.0099999999999997E-4</v>
      </c>
      <c r="H7" s="84">
        <v>1</v>
      </c>
      <c r="I7" s="68"/>
      <c r="Q7" s="68"/>
      <c r="R7" s="81"/>
      <c r="S7" s="81"/>
      <c r="T7" s="81"/>
      <c r="U7" s="81"/>
      <c r="V7" s="81"/>
      <c r="W7" s="81"/>
      <c r="X7" s="81"/>
      <c r="Y7" s="81"/>
      <c r="Z7" s="68"/>
    </row>
    <row r="8" spans="1:26">
      <c r="B8" s="85"/>
      <c r="E8" s="33">
        <f>SUMPRODUCT(B3:B7,E3:E7)</f>
        <v>73.819725271400003</v>
      </c>
      <c r="H8" s="33">
        <f>SUMPRODUCT(B3:B7,H3:H7)</f>
        <v>257.67003999999997</v>
      </c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>
      <c r="B9" s="85"/>
      <c r="E9" s="33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spans="1:26" ht="26">
      <c r="A10" s="78" t="s">
        <v>6</v>
      </c>
      <c r="B10" s="78" t="s">
        <v>9</v>
      </c>
      <c r="C10" s="78" t="s">
        <v>0</v>
      </c>
      <c r="D10" s="78" t="s">
        <v>1</v>
      </c>
      <c r="E10" s="78" t="s">
        <v>2</v>
      </c>
      <c r="F10" s="78" t="s">
        <v>3</v>
      </c>
      <c r="G10" s="78" t="s">
        <v>4</v>
      </c>
      <c r="H10" s="79" t="s">
        <v>485</v>
      </c>
      <c r="Q10" s="79"/>
      <c r="R10" s="81"/>
      <c r="S10" s="81"/>
      <c r="T10" s="81"/>
      <c r="U10" s="81"/>
      <c r="V10" s="81"/>
      <c r="W10" s="81"/>
      <c r="X10" s="81"/>
      <c r="Y10" s="81"/>
      <c r="Z10" s="79"/>
    </row>
    <row r="11" spans="1:26" ht="26">
      <c r="A11" s="78" t="s">
        <v>5</v>
      </c>
      <c r="B11" s="86"/>
      <c r="C11" s="78"/>
      <c r="D11" s="78"/>
      <c r="E11" s="78"/>
      <c r="F11" s="78"/>
      <c r="G11" s="78"/>
      <c r="H11" s="79"/>
      <c r="Q11" s="79"/>
      <c r="Z11" s="79"/>
    </row>
    <row r="12" spans="1:26">
      <c r="A12" s="78">
        <v>1</v>
      </c>
      <c r="B12" s="82">
        <v>0.60299999999999998</v>
      </c>
      <c r="C12" s="83">
        <v>915.39800000000002</v>
      </c>
      <c r="D12" s="87">
        <v>586</v>
      </c>
      <c r="E12" s="87">
        <v>1.5621130000000001</v>
      </c>
      <c r="F12" s="87">
        <v>1.3263879999999999</v>
      </c>
      <c r="G12" s="87">
        <v>12.084562999999999</v>
      </c>
      <c r="H12" s="88">
        <v>1</v>
      </c>
      <c r="Q12" s="88"/>
      <c r="Z12" s="88"/>
    </row>
    <row r="13" spans="1:26">
      <c r="A13" s="78">
        <v>2</v>
      </c>
      <c r="B13" s="82">
        <v>0.22459999999999999</v>
      </c>
      <c r="C13" s="83">
        <v>2855.54</v>
      </c>
      <c r="D13" s="87">
        <v>248</v>
      </c>
      <c r="E13" s="87">
        <v>11.514274</v>
      </c>
      <c r="F13" s="87">
        <v>7.6724079999999999</v>
      </c>
      <c r="G13" s="87">
        <v>37.697211000000003</v>
      </c>
      <c r="H13" s="88">
        <v>942.4</v>
      </c>
      <c r="Q13" s="88"/>
      <c r="Z13" s="88"/>
    </row>
    <row r="14" spans="1:26">
      <c r="A14" s="78">
        <v>3</v>
      </c>
      <c r="B14" s="82">
        <v>4.7500000000000001E-2</v>
      </c>
      <c r="C14" s="83">
        <v>1130.3620000000001</v>
      </c>
      <c r="D14" s="87">
        <v>42</v>
      </c>
      <c r="E14" s="87">
        <v>26.913381000000001</v>
      </c>
      <c r="F14" s="87">
        <v>20.521536999999999</v>
      </c>
      <c r="G14" s="87">
        <v>14.922395</v>
      </c>
      <c r="H14" s="88">
        <v>293.7</v>
      </c>
      <c r="Q14" s="88"/>
      <c r="Z14" s="88"/>
    </row>
    <row r="15" spans="1:26">
      <c r="A15" s="78">
        <v>4</v>
      </c>
      <c r="B15" s="82">
        <v>0.114</v>
      </c>
      <c r="C15" s="83">
        <v>2672.6379999999999</v>
      </c>
      <c r="D15" s="87">
        <v>110</v>
      </c>
      <c r="E15" s="87">
        <v>24.296709</v>
      </c>
      <c r="F15" s="87">
        <v>19.526899</v>
      </c>
      <c r="G15" s="87">
        <v>35.282643</v>
      </c>
      <c r="H15" s="88">
        <v>270.2</v>
      </c>
      <c r="Q15" s="88"/>
      <c r="Z15" s="88"/>
    </row>
    <row r="16" spans="1:26">
      <c r="A16" s="78">
        <v>5</v>
      </c>
      <c r="B16" s="82">
        <v>1.09E-2</v>
      </c>
      <c r="C16" s="83">
        <v>0.999</v>
      </c>
      <c r="D16" s="87">
        <v>14</v>
      </c>
      <c r="E16" s="87">
        <v>7.1357000000000004E-2</v>
      </c>
      <c r="F16" s="87">
        <v>3.7962999999999997E-2</v>
      </c>
      <c r="G16" s="87">
        <v>1.3188E-2</v>
      </c>
      <c r="H16" s="88">
        <v>1</v>
      </c>
      <c r="Q16" s="88"/>
      <c r="Z16" s="88"/>
    </row>
    <row r="17" spans="1:35">
      <c r="B17" s="85"/>
      <c r="E17" s="33">
        <f>SUMPRODUCT(B12:B16,E12:E16)</f>
        <v>7.5770482941999999</v>
      </c>
      <c r="F17" s="33">
        <f>SQRT(SUMPRODUCT(B12:B16,F12:F16)/SUM(B12:B16))</f>
        <v>2.3925484511290467</v>
      </c>
      <c r="H17" s="33">
        <f>SUMPRODUCT(B12:B16,H12:H16)</f>
        <v>257.03048999999999</v>
      </c>
    </row>
    <row r="18" spans="1:35">
      <c r="B18" s="85"/>
      <c r="H18" s="80">
        <f>AVERAGEIF(H12:H16,"&gt;1")</f>
        <v>502.09999999999997</v>
      </c>
    </row>
    <row r="19" spans="1:35" ht="39">
      <c r="A19" s="78" t="s">
        <v>7</v>
      </c>
      <c r="B19" s="78" t="s">
        <v>9</v>
      </c>
      <c r="C19" s="78" t="s">
        <v>0</v>
      </c>
      <c r="D19" s="78" t="s">
        <v>1</v>
      </c>
      <c r="E19" s="78" t="s">
        <v>2</v>
      </c>
      <c r="F19" s="78" t="s">
        <v>3</v>
      </c>
      <c r="G19" s="78" t="s">
        <v>4</v>
      </c>
      <c r="H19" s="79" t="s">
        <v>485</v>
      </c>
      <c r="J19" s="78" t="s">
        <v>8</v>
      </c>
      <c r="K19" s="78" t="s">
        <v>9</v>
      </c>
      <c r="L19" s="78" t="s">
        <v>0</v>
      </c>
      <c r="M19" s="78" t="s">
        <v>1</v>
      </c>
      <c r="N19" s="78" t="s">
        <v>2</v>
      </c>
      <c r="O19" s="78" t="s">
        <v>3</v>
      </c>
      <c r="P19" s="78" t="s">
        <v>4</v>
      </c>
      <c r="Q19" s="79" t="s">
        <v>485</v>
      </c>
      <c r="S19" s="78">
        <v>2013</v>
      </c>
      <c r="T19" s="78" t="s">
        <v>9</v>
      </c>
      <c r="U19" s="78" t="s">
        <v>0</v>
      </c>
      <c r="V19" s="78" t="s">
        <v>1</v>
      </c>
      <c r="W19" s="78" t="s">
        <v>2</v>
      </c>
      <c r="X19" s="78" t="s">
        <v>3</v>
      </c>
      <c r="Y19" s="78" t="s">
        <v>4</v>
      </c>
      <c r="Z19" s="79" t="s">
        <v>485</v>
      </c>
    </row>
    <row r="20" spans="1:35" ht="26">
      <c r="A20" s="78" t="s">
        <v>5</v>
      </c>
      <c r="B20" s="86"/>
      <c r="C20" s="78"/>
      <c r="D20" s="78"/>
      <c r="E20" s="78"/>
      <c r="F20" s="78"/>
      <c r="G20" s="78"/>
      <c r="H20" s="79"/>
      <c r="J20" s="78" t="s">
        <v>5</v>
      </c>
      <c r="K20" s="86"/>
      <c r="L20" s="78"/>
      <c r="M20" s="78"/>
      <c r="N20" s="78"/>
      <c r="O20" s="78"/>
      <c r="P20" s="78"/>
      <c r="Q20" s="79"/>
      <c r="S20" s="78" t="s">
        <v>5</v>
      </c>
      <c r="T20" s="86"/>
      <c r="U20" s="78"/>
      <c r="V20" s="78"/>
      <c r="W20" s="78"/>
      <c r="X20" s="78"/>
      <c r="Y20" s="78"/>
      <c r="Z20" s="79"/>
    </row>
    <row r="21" spans="1:35">
      <c r="A21" s="78">
        <v>1</v>
      </c>
      <c r="B21" s="82">
        <v>0.1066</v>
      </c>
      <c r="C21" s="83">
        <v>1715.498</v>
      </c>
      <c r="D21" s="83">
        <v>1901</v>
      </c>
      <c r="E21" s="83">
        <v>9.0241899999999992E-7</v>
      </c>
      <c r="F21" s="83">
        <v>1.0240130000000001</v>
      </c>
      <c r="G21" s="83">
        <v>1.5064100000000001E-7</v>
      </c>
      <c r="H21" s="68">
        <v>1</v>
      </c>
      <c r="J21" s="78">
        <v>1</v>
      </c>
      <c r="K21" s="82">
        <v>0.1066</v>
      </c>
      <c r="L21" s="83">
        <v>34348.436999999998</v>
      </c>
      <c r="M21" s="83">
        <v>18899</v>
      </c>
      <c r="N21" s="83">
        <v>1.817474</v>
      </c>
      <c r="O21" s="83">
        <v>1.2299580000000001</v>
      </c>
      <c r="P21" s="83">
        <v>11.845737</v>
      </c>
      <c r="Q21" s="68">
        <v>1</v>
      </c>
      <c r="S21" s="78">
        <v>1</v>
      </c>
      <c r="T21" s="82">
        <v>0.1066</v>
      </c>
      <c r="U21" s="83">
        <v>186490.67600000001</v>
      </c>
      <c r="V21" s="83">
        <v>19009</v>
      </c>
      <c r="W21" s="83">
        <v>9.8106519999999993</v>
      </c>
      <c r="X21" s="83">
        <v>8.2625630000000001</v>
      </c>
      <c r="Y21" s="83">
        <v>3.7329759999999998</v>
      </c>
      <c r="Z21" s="68">
        <v>1</v>
      </c>
    </row>
    <row r="22" spans="1:35">
      <c r="A22" s="78">
        <v>2</v>
      </c>
      <c r="B22" s="82">
        <v>1.3299999999999999E-2</v>
      </c>
      <c r="C22" s="83">
        <v>2220.5770000000002</v>
      </c>
      <c r="D22" s="83">
        <v>251</v>
      </c>
      <c r="E22" s="83">
        <v>8.8469200000000008</v>
      </c>
      <c r="F22" s="83">
        <v>6.5103419999999996</v>
      </c>
      <c r="G22" s="83">
        <v>1.94993E-7</v>
      </c>
      <c r="H22" s="68">
        <v>1007</v>
      </c>
      <c r="J22" s="78">
        <v>2</v>
      </c>
      <c r="K22" s="82">
        <v>1.3299999999999999E-2</v>
      </c>
      <c r="L22" s="83">
        <v>28142.873</v>
      </c>
      <c r="M22" s="83">
        <v>2349</v>
      </c>
      <c r="N22" s="83">
        <v>11.980789</v>
      </c>
      <c r="O22" s="83">
        <v>7.9420780000000004</v>
      </c>
      <c r="P22" s="83">
        <v>9.7056260000000005</v>
      </c>
      <c r="Q22" s="68">
        <v>559.20000000000005</v>
      </c>
      <c r="S22" s="78">
        <v>2</v>
      </c>
      <c r="T22" s="82">
        <v>1.3299999999999999E-2</v>
      </c>
      <c r="U22" s="83">
        <v>813700.353</v>
      </c>
      <c r="V22" s="83">
        <v>2393</v>
      </c>
      <c r="W22" s="83">
        <v>340.03357799999998</v>
      </c>
      <c r="X22" s="83">
        <v>195.24015800000001</v>
      </c>
      <c r="Y22" s="83">
        <v>16.287807999999998</v>
      </c>
      <c r="Z22" s="68">
        <v>945.8</v>
      </c>
    </row>
    <row r="23" spans="1:35">
      <c r="A23" s="78">
        <v>3</v>
      </c>
      <c r="B23" s="82">
        <v>0.14130000000000001</v>
      </c>
      <c r="C23" s="83">
        <v>1132941.7520000001</v>
      </c>
      <c r="D23" s="83">
        <v>2521</v>
      </c>
      <c r="E23" s="83">
        <v>449.401726</v>
      </c>
      <c r="F23" s="83">
        <v>250.91588200000001</v>
      </c>
      <c r="G23" s="83">
        <v>99.485776000000001</v>
      </c>
      <c r="H23" s="68">
        <v>418.3</v>
      </c>
      <c r="J23" s="78">
        <v>3</v>
      </c>
      <c r="K23" s="82">
        <v>0.14130000000000001</v>
      </c>
      <c r="L23" s="83">
        <v>159735.82699999999</v>
      </c>
      <c r="M23" s="83">
        <v>25180</v>
      </c>
      <c r="N23" s="83">
        <v>6.3437580000000002</v>
      </c>
      <c r="O23" s="83">
        <v>3.4541230000000001</v>
      </c>
      <c r="P23" s="83">
        <v>55.088056000000002</v>
      </c>
      <c r="Q23" s="68">
        <v>426.3</v>
      </c>
      <c r="S23" s="78">
        <v>3</v>
      </c>
      <c r="T23" s="82">
        <v>0.14130000000000001</v>
      </c>
      <c r="U23" s="83">
        <v>3975849.0780000002</v>
      </c>
      <c r="V23" s="83">
        <v>25463</v>
      </c>
      <c r="W23" s="83">
        <v>156.14220900000001</v>
      </c>
      <c r="X23" s="83">
        <v>89.084965999999994</v>
      </c>
      <c r="Y23" s="83">
        <v>79.584413999999995</v>
      </c>
      <c r="Z23" s="68">
        <v>414.6</v>
      </c>
    </row>
    <row r="24" spans="1:35">
      <c r="A24" s="78">
        <v>4</v>
      </c>
      <c r="B24" s="82">
        <v>5.4699999999999999E-2</v>
      </c>
      <c r="C24" s="83">
        <v>41.125</v>
      </c>
      <c r="D24" s="83">
        <v>982</v>
      </c>
      <c r="E24" s="83">
        <v>4.1879000000000001E-8</v>
      </c>
      <c r="F24" s="83">
        <v>2.9314E-8</v>
      </c>
      <c r="G24" s="83">
        <v>3.611E-9</v>
      </c>
      <c r="H24" s="68">
        <v>1</v>
      </c>
      <c r="J24" s="78">
        <v>4</v>
      </c>
      <c r="K24" s="82">
        <v>5.4699999999999999E-2</v>
      </c>
      <c r="L24" s="83">
        <v>292.03199999999998</v>
      </c>
      <c r="M24" s="83">
        <v>9833</v>
      </c>
      <c r="N24" s="83">
        <v>2.9699E-8</v>
      </c>
      <c r="O24" s="83">
        <v>1.3224E-8</v>
      </c>
      <c r="P24" s="83">
        <v>1.00713E-7</v>
      </c>
      <c r="Q24" s="68">
        <v>1</v>
      </c>
      <c r="S24" s="78">
        <v>4</v>
      </c>
      <c r="T24" s="82">
        <v>5.4699999999999999E-2</v>
      </c>
      <c r="U24" s="83">
        <v>201.38900000000001</v>
      </c>
      <c r="V24" s="83">
        <v>9802</v>
      </c>
      <c r="W24" s="83">
        <v>2.0545999999999997E-8</v>
      </c>
      <c r="X24" s="83">
        <v>1.1872E-8</v>
      </c>
      <c r="Y24" s="83">
        <v>4.0309999999999998E-9</v>
      </c>
      <c r="Z24" s="68">
        <v>1</v>
      </c>
    </row>
    <row r="25" spans="1:35">
      <c r="A25" s="78">
        <v>5</v>
      </c>
      <c r="B25" s="82">
        <v>4.6800000000000001E-2</v>
      </c>
      <c r="C25" s="83">
        <v>23</v>
      </c>
      <c r="D25" s="83">
        <v>861</v>
      </c>
      <c r="E25" s="83">
        <v>2.6712999999999999E-8</v>
      </c>
      <c r="F25" s="83">
        <v>2.0211999999999999E-8</v>
      </c>
      <c r="G25" s="83">
        <v>2.0200000000000001E-9</v>
      </c>
      <c r="H25" s="68">
        <v>0.16</v>
      </c>
      <c r="J25" s="78">
        <v>5</v>
      </c>
      <c r="K25" s="82">
        <v>4.6800000000000001E-2</v>
      </c>
      <c r="L25" s="83">
        <v>8055.8959999999997</v>
      </c>
      <c r="M25" s="83">
        <v>8388</v>
      </c>
      <c r="N25" s="83">
        <v>9.6040699999999993E-7</v>
      </c>
      <c r="O25" s="83">
        <v>24.359742000000001</v>
      </c>
      <c r="P25" s="83">
        <v>2.778235</v>
      </c>
      <c r="Q25" s="68">
        <v>0.17</v>
      </c>
      <c r="S25" s="78">
        <v>5</v>
      </c>
      <c r="T25" s="82">
        <v>4.6800000000000001E-2</v>
      </c>
      <c r="U25" s="83">
        <v>100.319</v>
      </c>
      <c r="V25" s="83">
        <v>8352</v>
      </c>
      <c r="W25" s="83">
        <v>1.2011000000000001E-8</v>
      </c>
      <c r="X25" s="83">
        <v>7.861E-9</v>
      </c>
      <c r="Y25" s="83">
        <v>2.0079999999999997E-9</v>
      </c>
      <c r="Z25" s="68">
        <v>0.16</v>
      </c>
    </row>
    <row r="26" spans="1:35">
      <c r="A26" s="78">
        <v>6</v>
      </c>
      <c r="B26" s="82">
        <v>0.10780000000000001</v>
      </c>
      <c r="C26" s="83">
        <v>227.59</v>
      </c>
      <c r="D26" s="83">
        <v>1873</v>
      </c>
      <c r="E26" s="83">
        <v>1.2151099999999998E-7</v>
      </c>
      <c r="F26" s="83">
        <v>1.5622700000000001E-7</v>
      </c>
      <c r="G26" s="83">
        <v>1.9985E-8</v>
      </c>
      <c r="H26" s="68">
        <v>1</v>
      </c>
      <c r="J26" s="78">
        <v>6</v>
      </c>
      <c r="K26" s="82">
        <v>0.10780000000000001</v>
      </c>
      <c r="L26" s="83">
        <v>16143.956</v>
      </c>
      <c r="M26" s="83">
        <v>19448</v>
      </c>
      <c r="N26" s="83">
        <v>8.3010900000000004E-7</v>
      </c>
      <c r="O26" s="83">
        <v>13.875934000000001</v>
      </c>
      <c r="P26" s="83">
        <v>5.5675619999999997</v>
      </c>
      <c r="Q26" s="68">
        <v>1</v>
      </c>
      <c r="S26" s="78">
        <v>6</v>
      </c>
      <c r="T26" s="82">
        <v>0.10780000000000001</v>
      </c>
      <c r="U26" s="83">
        <v>250.40700000000001</v>
      </c>
      <c r="V26" s="83">
        <v>19363</v>
      </c>
      <c r="W26" s="83">
        <v>1.2932000000000001E-8</v>
      </c>
      <c r="X26" s="83">
        <v>7.7620000000000003E-9</v>
      </c>
      <c r="Y26" s="83">
        <v>5.0119999999999996E-9</v>
      </c>
      <c r="Z26" s="68">
        <v>1</v>
      </c>
    </row>
    <row r="27" spans="1:35">
      <c r="A27" s="78">
        <v>7</v>
      </c>
      <c r="B27" s="82">
        <v>3.49E-2</v>
      </c>
      <c r="C27" s="83">
        <v>17.433</v>
      </c>
      <c r="D27" s="83">
        <v>617</v>
      </c>
      <c r="E27" s="83">
        <v>2.8254000000000003E-8</v>
      </c>
      <c r="F27" s="83">
        <v>2.1226999999999999E-8</v>
      </c>
      <c r="G27" s="83">
        <v>1.531E-9</v>
      </c>
      <c r="H27" s="68">
        <v>4</v>
      </c>
      <c r="J27" s="78">
        <v>7</v>
      </c>
      <c r="K27" s="82">
        <v>3.49E-2</v>
      </c>
      <c r="L27" s="83">
        <v>12229.995999999999</v>
      </c>
      <c r="M27" s="83">
        <v>6294</v>
      </c>
      <c r="N27" s="83">
        <v>1.94312</v>
      </c>
      <c r="O27" s="83">
        <v>28.418641000000001</v>
      </c>
      <c r="P27" s="83">
        <v>4.2177559999999996</v>
      </c>
      <c r="Q27" s="68">
        <v>4</v>
      </c>
      <c r="S27" s="78">
        <v>7</v>
      </c>
      <c r="T27" s="82">
        <v>3.49E-2</v>
      </c>
      <c r="U27" s="83">
        <v>6654.2470000000003</v>
      </c>
      <c r="V27" s="83">
        <v>6217</v>
      </c>
      <c r="W27" s="83">
        <v>1.0703309999999999</v>
      </c>
      <c r="X27" s="83">
        <v>17.565949</v>
      </c>
      <c r="Y27" s="83">
        <v>1.33198E-7</v>
      </c>
      <c r="Z27" s="68">
        <v>4</v>
      </c>
    </row>
    <row r="28" spans="1:35">
      <c r="A28" s="78">
        <v>8</v>
      </c>
      <c r="B28" s="82">
        <v>2.63E-2</v>
      </c>
      <c r="C28" s="83">
        <v>12.48</v>
      </c>
      <c r="D28" s="83">
        <v>498</v>
      </c>
      <c r="E28" s="83">
        <v>2.5059999999999997E-8</v>
      </c>
      <c r="F28" s="83">
        <v>1.7746000000000002E-8</v>
      </c>
      <c r="G28" s="83">
        <v>1.0959999999999999E-9</v>
      </c>
      <c r="H28" s="68">
        <v>1</v>
      </c>
      <c r="J28" s="78">
        <v>8</v>
      </c>
      <c r="K28" s="82">
        <v>2.63E-2</v>
      </c>
      <c r="L28" s="83">
        <v>147.20099999999999</v>
      </c>
      <c r="M28" s="83">
        <v>4807</v>
      </c>
      <c r="N28" s="83">
        <v>3.0622000000000001E-8</v>
      </c>
      <c r="O28" s="83">
        <v>1.3769000000000001E-8</v>
      </c>
      <c r="P28" s="83">
        <v>5.0764999999999998E-8</v>
      </c>
      <c r="Q28" s="68">
        <v>1</v>
      </c>
      <c r="S28" s="78">
        <v>8</v>
      </c>
      <c r="T28" s="82">
        <v>2.63E-2</v>
      </c>
      <c r="U28" s="83">
        <v>100.56</v>
      </c>
      <c r="V28" s="83">
        <v>4672</v>
      </c>
      <c r="W28" s="83">
        <v>2.1524000000000001E-8</v>
      </c>
      <c r="X28" s="83">
        <v>1.2088E-8</v>
      </c>
      <c r="Y28" s="83">
        <v>2.013E-9</v>
      </c>
      <c r="Z28" s="68">
        <v>1</v>
      </c>
    </row>
    <row r="29" spans="1:35">
      <c r="A29" s="78">
        <v>9</v>
      </c>
      <c r="B29" s="82">
        <v>2.7300000000000001E-2</v>
      </c>
      <c r="C29" s="83">
        <v>1598.268</v>
      </c>
      <c r="D29" s="83">
        <v>496</v>
      </c>
      <c r="E29" s="83">
        <v>3.222315</v>
      </c>
      <c r="F29" s="83">
        <v>2.479346</v>
      </c>
      <c r="G29" s="83">
        <v>1.4034700000000001E-7</v>
      </c>
      <c r="H29" s="68">
        <v>0.13</v>
      </c>
      <c r="J29" s="78">
        <v>9</v>
      </c>
      <c r="K29" s="82">
        <v>2.7300000000000001E-2</v>
      </c>
      <c r="L29" s="83">
        <v>30868.317999999999</v>
      </c>
      <c r="M29" s="83">
        <v>4802</v>
      </c>
      <c r="N29" s="83">
        <v>6.4282209999999997</v>
      </c>
      <c r="O29" s="83">
        <v>2.8381400000000001</v>
      </c>
      <c r="P29" s="83">
        <v>10.645549000000001</v>
      </c>
      <c r="Q29" s="68">
        <v>0.08</v>
      </c>
      <c r="S29" s="78">
        <v>9</v>
      </c>
      <c r="T29" s="82">
        <v>2.7300000000000001E-2</v>
      </c>
      <c r="U29" s="83">
        <v>12416.446</v>
      </c>
      <c r="V29" s="83">
        <v>4729</v>
      </c>
      <c r="W29" s="83">
        <v>2.625597</v>
      </c>
      <c r="X29" s="83">
        <v>1.622757</v>
      </c>
      <c r="Y29" s="83">
        <v>2.4854000000000003E-7</v>
      </c>
      <c r="Z29" s="68">
        <v>0.1</v>
      </c>
    </row>
    <row r="30" spans="1:35">
      <c r="B30" s="85"/>
      <c r="E30" s="33">
        <f>SUMPRODUCT(B21:B29,E21:E29)</f>
        <v>63.706097233782849</v>
      </c>
      <c r="F30" s="33">
        <f>SQRT(SUMPRODUCT(B21:B29,F21:F29)/SUM(B21:B29))</f>
        <v>7.993495525169771</v>
      </c>
      <c r="H30" s="33">
        <f>SUMPRODUCT(B21:B29,H21:H29)</f>
        <v>72.944927000000007</v>
      </c>
      <c r="N30" s="33">
        <f>SUMPRODUCT(K21:K29,N21:N29)</f>
        <v>1.4927656856626921</v>
      </c>
      <c r="O30" s="33">
        <f>SQRT(SUMPRODUCT(K21:K29,O21:O29)/SUM(K21:K29))</f>
        <v>2.8151024298085345</v>
      </c>
      <c r="Q30" s="33">
        <f>SUMPRODUCT(K21:K29,Q21:Q29)</f>
        <v>68.118690000000001</v>
      </c>
      <c r="W30" s="33">
        <f>SUMPRODUCT(T21:T29,W21:W29)</f>
        <v>27.740189575946129</v>
      </c>
      <c r="Z30" s="33">
        <f>SUMPRODUCT(T21:T29,Z21:Z29)</f>
        <v>71.607337999999999</v>
      </c>
    </row>
    <row r="31" spans="1:35">
      <c r="B31" s="85"/>
      <c r="Z31" s="80">
        <f>AVERAGEIF(Z21:Z29,"&gt;1")</f>
        <v>454.8</v>
      </c>
    </row>
    <row r="32" spans="1:35" ht="39">
      <c r="A32" s="78" t="s">
        <v>10</v>
      </c>
      <c r="B32" s="78" t="s">
        <v>9</v>
      </c>
      <c r="C32" s="78" t="s">
        <v>0</v>
      </c>
      <c r="D32" s="78" t="s">
        <v>1</v>
      </c>
      <c r="E32" s="78" t="s">
        <v>2</v>
      </c>
      <c r="F32" s="78" t="s">
        <v>3</v>
      </c>
      <c r="G32" s="78" t="s">
        <v>4</v>
      </c>
      <c r="H32" s="79" t="s">
        <v>485</v>
      </c>
      <c r="J32" s="78" t="s">
        <v>11</v>
      </c>
      <c r="K32" s="78" t="s">
        <v>9</v>
      </c>
      <c r="L32" s="78" t="s">
        <v>0</v>
      </c>
      <c r="M32" s="78" t="s">
        <v>1</v>
      </c>
      <c r="N32" s="78" t="s">
        <v>2</v>
      </c>
      <c r="O32" s="78" t="s">
        <v>3</v>
      </c>
      <c r="P32" s="78" t="s">
        <v>4</v>
      </c>
      <c r="Q32" s="79" t="s">
        <v>485</v>
      </c>
      <c r="S32" s="78" t="s">
        <v>12</v>
      </c>
      <c r="T32" s="78" t="s">
        <v>9</v>
      </c>
      <c r="U32" s="78" t="s">
        <v>0</v>
      </c>
      <c r="V32" s="78" t="s">
        <v>1</v>
      </c>
      <c r="W32" s="78" t="s">
        <v>2</v>
      </c>
      <c r="X32" s="78" t="s">
        <v>3</v>
      </c>
      <c r="Y32" s="78" t="s">
        <v>4</v>
      </c>
      <c r="Z32" s="79" t="s">
        <v>485</v>
      </c>
      <c r="AB32" s="78">
        <v>2023</v>
      </c>
      <c r="AC32" s="78" t="s">
        <v>9</v>
      </c>
      <c r="AD32" s="78" t="s">
        <v>0</v>
      </c>
      <c r="AE32" s="78" t="s">
        <v>1</v>
      </c>
      <c r="AF32" s="78" t="s">
        <v>2</v>
      </c>
      <c r="AG32" s="78" t="s">
        <v>3</v>
      </c>
      <c r="AH32" s="78" t="s">
        <v>4</v>
      </c>
      <c r="AI32" s="79" t="s">
        <v>485</v>
      </c>
    </row>
    <row r="33" spans="1:35" ht="26">
      <c r="A33" s="78" t="s">
        <v>5</v>
      </c>
      <c r="B33" s="86"/>
      <c r="C33" s="78"/>
      <c r="D33" s="78"/>
      <c r="E33" s="78"/>
      <c r="F33" s="78"/>
      <c r="G33" s="78"/>
      <c r="H33" s="79"/>
      <c r="J33" s="78" t="s">
        <v>5</v>
      </c>
      <c r="K33" s="86"/>
      <c r="L33" s="78"/>
      <c r="M33" s="78"/>
      <c r="N33" s="78"/>
      <c r="O33" s="78"/>
      <c r="P33" s="78"/>
      <c r="Q33" s="79"/>
      <c r="S33" s="78" t="s">
        <v>5</v>
      </c>
      <c r="T33" s="86"/>
      <c r="U33" s="78"/>
      <c r="V33" s="78"/>
      <c r="W33" s="78"/>
      <c r="X33" s="78"/>
      <c r="Y33" s="78"/>
      <c r="Z33" s="79"/>
      <c r="AB33" s="78" t="s">
        <v>5</v>
      </c>
      <c r="AC33" s="86"/>
      <c r="AD33" s="78"/>
      <c r="AE33" s="78"/>
      <c r="AF33" s="78"/>
      <c r="AG33" s="78"/>
      <c r="AH33" s="78"/>
    </row>
    <row r="34" spans="1:35">
      <c r="A34" s="78">
        <v>1</v>
      </c>
      <c r="B34" s="82">
        <v>7.9299999999999995E-2</v>
      </c>
      <c r="C34" s="83">
        <v>7086.8249999999998</v>
      </c>
      <c r="D34" s="83">
        <v>794</v>
      </c>
      <c r="E34" s="83">
        <v>8.9254719999999992</v>
      </c>
      <c r="F34" s="83">
        <v>7.0637569999999998</v>
      </c>
      <c r="G34" s="83">
        <v>1.13449E-7</v>
      </c>
      <c r="H34" s="68">
        <v>937</v>
      </c>
      <c r="J34" s="78">
        <v>1</v>
      </c>
      <c r="K34" s="82">
        <v>7.9299999999999995E-2</v>
      </c>
      <c r="L34" s="83">
        <v>292597.20199999999</v>
      </c>
      <c r="M34" s="83">
        <v>846</v>
      </c>
      <c r="N34" s="83">
        <v>345.859577</v>
      </c>
      <c r="O34" s="83">
        <v>48.309655999999997</v>
      </c>
      <c r="P34" s="83">
        <v>10.109639</v>
      </c>
      <c r="Q34" s="68">
        <v>953.2</v>
      </c>
      <c r="R34" s="89"/>
      <c r="S34" s="78">
        <v>1</v>
      </c>
      <c r="T34" s="82">
        <v>7.9299999999999995E-2</v>
      </c>
      <c r="U34" s="80">
        <v>10102.714</v>
      </c>
      <c r="V34" s="80">
        <v>822</v>
      </c>
      <c r="W34" s="80">
        <v>12.290406000000001</v>
      </c>
      <c r="X34" s="80">
        <v>8.4700290000000003</v>
      </c>
      <c r="Y34" s="80">
        <v>1.364325</v>
      </c>
      <c r="Z34" s="68">
        <v>965.3</v>
      </c>
      <c r="AB34" s="78">
        <v>1</v>
      </c>
      <c r="AC34" s="82">
        <v>7.9299999999999995E-2</v>
      </c>
      <c r="AD34" s="80">
        <v>60549.925999999999</v>
      </c>
      <c r="AE34" s="80">
        <v>831</v>
      </c>
      <c r="AF34" s="80">
        <v>72.863929999999996</v>
      </c>
      <c r="AG34" s="80">
        <v>42.566394000000003</v>
      </c>
      <c r="AH34" s="80">
        <v>4.0658300000000001</v>
      </c>
      <c r="AI34" s="80">
        <v>191.2</v>
      </c>
    </row>
    <row r="35" spans="1:35">
      <c r="A35" s="78">
        <v>2</v>
      </c>
      <c r="B35" s="82">
        <v>6.1600000000000002E-2</v>
      </c>
      <c r="C35" s="83">
        <v>535.41700000000003</v>
      </c>
      <c r="D35" s="83">
        <v>616</v>
      </c>
      <c r="E35" s="83">
        <v>8.6918300000000003E-7</v>
      </c>
      <c r="F35" s="83">
        <v>9.3168600000000005E-7</v>
      </c>
      <c r="G35" s="83">
        <v>8.5710000000000011E-9</v>
      </c>
      <c r="H35" s="68">
        <v>1</v>
      </c>
      <c r="J35" s="78">
        <v>2</v>
      </c>
      <c r="K35" s="82">
        <v>6.1600000000000002E-2</v>
      </c>
      <c r="L35" s="83">
        <v>254.613</v>
      </c>
      <c r="M35" s="83">
        <v>607</v>
      </c>
      <c r="N35" s="83">
        <v>4.1946099999999995E-7</v>
      </c>
      <c r="O35" s="83">
        <v>4.5815200000000001E-7</v>
      </c>
      <c r="P35" s="83">
        <v>8.7969999999999993E-9</v>
      </c>
      <c r="Q35" s="68">
        <v>1</v>
      </c>
      <c r="R35" s="89"/>
      <c r="S35" s="78">
        <v>2</v>
      </c>
      <c r="T35" s="82">
        <v>6.1600000000000002E-2</v>
      </c>
      <c r="U35" s="80">
        <v>733.52099999999996</v>
      </c>
      <c r="V35" s="80">
        <v>608</v>
      </c>
      <c r="W35" s="80">
        <v>1.2064490000000001</v>
      </c>
      <c r="X35" s="80">
        <v>1.443203</v>
      </c>
      <c r="Y35" s="80">
        <v>9.9059E-8</v>
      </c>
      <c r="Z35" s="68">
        <v>1</v>
      </c>
      <c r="AB35" s="78">
        <v>2</v>
      </c>
      <c r="AC35" s="82">
        <v>6.1600000000000002E-2</v>
      </c>
      <c r="AD35" s="80">
        <v>2665.34</v>
      </c>
      <c r="AE35" s="80">
        <v>666</v>
      </c>
      <c r="AF35" s="80">
        <v>4.0020119999999997</v>
      </c>
      <c r="AG35" s="80">
        <v>2.9187970000000001</v>
      </c>
      <c r="AH35" s="80">
        <v>1.78973E-7</v>
      </c>
      <c r="AI35" s="80">
        <v>1</v>
      </c>
    </row>
    <row r="36" spans="1:35">
      <c r="A36" s="78">
        <v>3</v>
      </c>
      <c r="B36" s="82">
        <v>9.0300000000000005E-2</v>
      </c>
      <c r="C36" s="83">
        <v>112051.011</v>
      </c>
      <c r="D36" s="83">
        <v>956</v>
      </c>
      <c r="E36" s="83">
        <v>117.20817099999999</v>
      </c>
      <c r="F36" s="83">
        <v>163.155598</v>
      </c>
      <c r="G36" s="83">
        <v>1.7937620000000001</v>
      </c>
      <c r="H36" s="68">
        <v>154.69999999999999</v>
      </c>
      <c r="J36" s="78">
        <v>3</v>
      </c>
      <c r="K36" s="82">
        <v>9.0300000000000005E-2</v>
      </c>
      <c r="L36" s="83">
        <v>6078.9939999999997</v>
      </c>
      <c r="M36" s="83">
        <v>954</v>
      </c>
      <c r="N36" s="83">
        <v>6.3721110000000003</v>
      </c>
      <c r="O36" s="83">
        <v>6.0734680000000001</v>
      </c>
      <c r="P36" s="83">
        <v>2.1003799999999999E-7</v>
      </c>
      <c r="Q36" s="68">
        <v>2.5</v>
      </c>
      <c r="R36" s="89"/>
      <c r="S36" s="78">
        <v>3</v>
      </c>
      <c r="T36" s="82">
        <v>9.0300000000000005E-2</v>
      </c>
      <c r="U36" s="80">
        <v>46837.082999999999</v>
      </c>
      <c r="V36" s="80">
        <v>863</v>
      </c>
      <c r="W36" s="80">
        <v>54.272402</v>
      </c>
      <c r="X36" s="80">
        <v>69.290690999999995</v>
      </c>
      <c r="Y36" s="80">
        <v>6.325132</v>
      </c>
      <c r="Z36" s="68">
        <v>2.4500000000000002</v>
      </c>
      <c r="AB36" s="78">
        <v>3</v>
      </c>
      <c r="AC36" s="82">
        <v>9.0300000000000005E-2</v>
      </c>
      <c r="AD36" s="80">
        <v>18227.59</v>
      </c>
      <c r="AE36" s="80">
        <v>955</v>
      </c>
      <c r="AF36" s="80">
        <v>19.086482</v>
      </c>
      <c r="AG36" s="80">
        <v>25.383277</v>
      </c>
      <c r="AH36" s="80">
        <v>1.2239530000000001</v>
      </c>
      <c r="AI36" s="80">
        <v>29</v>
      </c>
    </row>
    <row r="37" spans="1:35">
      <c r="A37" s="78">
        <v>4</v>
      </c>
      <c r="B37" s="82">
        <v>7.6700000000000004E-2</v>
      </c>
      <c r="C37" s="83">
        <v>426870.788</v>
      </c>
      <c r="D37" s="83">
        <v>803</v>
      </c>
      <c r="E37" s="83">
        <v>531.59500400000002</v>
      </c>
      <c r="F37" s="83">
        <v>213.16259099999999</v>
      </c>
      <c r="G37" s="83">
        <v>6.8335359999999996</v>
      </c>
      <c r="H37" s="68">
        <v>3746.4</v>
      </c>
      <c r="J37" s="78">
        <v>4</v>
      </c>
      <c r="K37" s="82">
        <v>7.6700000000000004E-2</v>
      </c>
      <c r="L37" s="83">
        <v>99561.641000000003</v>
      </c>
      <c r="M37" s="83">
        <v>807</v>
      </c>
      <c r="N37" s="83">
        <v>123.372542</v>
      </c>
      <c r="O37" s="83">
        <v>296.18137200000001</v>
      </c>
      <c r="P37" s="83">
        <v>3.4399929999999999</v>
      </c>
      <c r="Q37" s="68">
        <v>3842.7</v>
      </c>
      <c r="R37" s="89"/>
      <c r="S37" s="78">
        <v>4</v>
      </c>
      <c r="T37" s="82">
        <v>7.6700000000000004E-2</v>
      </c>
      <c r="U37" s="80">
        <v>3620.0160000000001</v>
      </c>
      <c r="V37" s="80">
        <v>829</v>
      </c>
      <c r="W37" s="80">
        <v>4.3667259999999999</v>
      </c>
      <c r="X37" s="80">
        <v>9.7993369999999995</v>
      </c>
      <c r="Y37" s="80">
        <v>4.88866E-7</v>
      </c>
      <c r="Z37" s="68">
        <v>3283</v>
      </c>
      <c r="AB37" s="78">
        <v>4</v>
      </c>
      <c r="AC37" s="82">
        <v>7.6700000000000004E-2</v>
      </c>
      <c r="AD37" s="80">
        <v>393686.35800000001</v>
      </c>
      <c r="AE37" s="80">
        <v>761</v>
      </c>
      <c r="AF37" s="80">
        <v>517.32767100000001</v>
      </c>
      <c r="AG37" s="80">
        <v>208.58052599999999</v>
      </c>
      <c r="AH37" s="80">
        <v>26.435404999999999</v>
      </c>
      <c r="AI37" s="80">
        <v>3488.2</v>
      </c>
    </row>
    <row r="38" spans="1:35">
      <c r="A38" s="78">
        <v>5</v>
      </c>
      <c r="B38" s="82">
        <v>1.4200000000000001E-2</v>
      </c>
      <c r="C38" s="83">
        <v>4.931</v>
      </c>
      <c r="D38" s="83">
        <v>139</v>
      </c>
      <c r="E38" s="83">
        <v>3.5474999999999998E-8</v>
      </c>
      <c r="F38" s="83">
        <v>2.7178E-8</v>
      </c>
      <c r="G38" s="83">
        <v>7.8999999999999999E-11</v>
      </c>
      <c r="H38" s="68">
        <v>0.17</v>
      </c>
      <c r="J38" s="78">
        <v>5</v>
      </c>
      <c r="K38" s="82">
        <v>1.4200000000000001E-2</v>
      </c>
      <c r="L38" s="83">
        <v>5.3159999999999998</v>
      </c>
      <c r="M38" s="83">
        <v>142</v>
      </c>
      <c r="N38" s="83">
        <v>3.7437E-8</v>
      </c>
      <c r="O38" s="83">
        <v>2.3383999999999999E-8</v>
      </c>
      <c r="P38" s="83">
        <v>1.8400000000000001E-10</v>
      </c>
      <c r="Q38" s="68">
        <v>0.18</v>
      </c>
      <c r="R38" s="89"/>
      <c r="S38" s="78">
        <v>5</v>
      </c>
      <c r="T38" s="82">
        <v>1.4200000000000001E-2</v>
      </c>
      <c r="U38" s="80">
        <v>3.4289999999999998</v>
      </c>
      <c r="V38" s="80">
        <v>148</v>
      </c>
      <c r="W38" s="80">
        <v>2.3168999999999997E-8</v>
      </c>
      <c r="X38" s="80">
        <v>1.6193999999999999E-8</v>
      </c>
      <c r="Y38" s="80">
        <v>4.63E-10</v>
      </c>
      <c r="Z38" s="68">
        <v>0</v>
      </c>
      <c r="AB38" s="78">
        <v>5</v>
      </c>
      <c r="AC38" s="82">
        <v>1.4200000000000001E-2</v>
      </c>
      <c r="AD38" s="80">
        <v>1.722</v>
      </c>
      <c r="AE38" s="80">
        <v>154</v>
      </c>
      <c r="AF38" s="80">
        <v>1.1181999999999999E-8</v>
      </c>
      <c r="AG38" s="80">
        <v>4.7630000000000002E-9</v>
      </c>
      <c r="AH38" s="80">
        <v>1.16E-10</v>
      </c>
      <c r="AI38" s="80">
        <v>0.01</v>
      </c>
    </row>
    <row r="39" spans="1:35">
      <c r="A39" s="78">
        <v>6</v>
      </c>
      <c r="B39" s="82">
        <v>0.38009999999999999</v>
      </c>
      <c r="C39" s="83">
        <v>636.73699999999997</v>
      </c>
      <c r="D39" s="83">
        <v>3886</v>
      </c>
      <c r="E39" s="83">
        <v>1.6385400000000001E-7</v>
      </c>
      <c r="F39" s="83">
        <v>1.6594600000000002E-7</v>
      </c>
      <c r="G39" s="83">
        <v>1.0193000000000001E-8</v>
      </c>
      <c r="H39" s="68">
        <v>1</v>
      </c>
      <c r="J39" s="78">
        <v>6</v>
      </c>
      <c r="K39" s="82">
        <v>0.38009999999999999</v>
      </c>
      <c r="L39" s="83">
        <v>757.43399999999997</v>
      </c>
      <c r="M39" s="83">
        <v>3964</v>
      </c>
      <c r="N39" s="83">
        <v>1.9107799999999999E-7</v>
      </c>
      <c r="O39" s="83">
        <v>1.6928299999999999E-7</v>
      </c>
      <c r="P39" s="83">
        <v>2.6169999999999999E-8</v>
      </c>
      <c r="Q39" s="68">
        <v>1</v>
      </c>
      <c r="R39" s="89"/>
      <c r="S39" s="78">
        <v>6</v>
      </c>
      <c r="T39" s="82">
        <v>0.38009999999999999</v>
      </c>
      <c r="U39" s="80">
        <v>938.97500000000002</v>
      </c>
      <c r="V39" s="80">
        <v>4079</v>
      </c>
      <c r="W39" s="80">
        <v>2.3019700000000001E-7</v>
      </c>
      <c r="X39" s="80">
        <v>1.7263400000000001E-7</v>
      </c>
      <c r="Y39" s="80">
        <v>1.26804E-7</v>
      </c>
      <c r="Z39" s="68">
        <v>1</v>
      </c>
      <c r="AB39" s="78">
        <v>6</v>
      </c>
      <c r="AC39" s="82">
        <v>0.38009999999999999</v>
      </c>
      <c r="AD39" s="80">
        <v>165.273</v>
      </c>
      <c r="AE39" s="80">
        <v>4047</v>
      </c>
      <c r="AF39" s="80">
        <v>4.0837999999999998E-8</v>
      </c>
      <c r="AG39" s="80">
        <v>6.4435000000000008E-8</v>
      </c>
      <c r="AH39" s="80">
        <v>1.1098E-8</v>
      </c>
      <c r="AI39" s="80">
        <v>1</v>
      </c>
    </row>
    <row r="40" spans="1:35">
      <c r="A40" s="78">
        <v>7</v>
      </c>
      <c r="B40" s="82">
        <v>4.53E-2</v>
      </c>
      <c r="C40" s="83">
        <v>4786249.92</v>
      </c>
      <c r="D40" s="83">
        <v>483</v>
      </c>
      <c r="E40" s="83">
        <v>9909.4201240000002</v>
      </c>
      <c r="F40" s="83">
        <v>4050.822917</v>
      </c>
      <c r="G40" s="83">
        <v>76.620407</v>
      </c>
      <c r="H40" s="68">
        <v>8715.7999999999993</v>
      </c>
      <c r="J40" s="78">
        <v>7</v>
      </c>
      <c r="K40" s="82">
        <v>4.53E-2</v>
      </c>
      <c r="L40" s="83">
        <v>1812630.284</v>
      </c>
      <c r="M40" s="83">
        <v>496</v>
      </c>
      <c r="N40" s="83">
        <v>3654.4965400000001</v>
      </c>
      <c r="O40" s="83">
        <v>1364.9548030000001</v>
      </c>
      <c r="P40" s="83">
        <v>62.628891000000003</v>
      </c>
      <c r="Q40" s="68">
        <v>9241</v>
      </c>
      <c r="R40" s="89"/>
      <c r="S40" s="78">
        <v>7</v>
      </c>
      <c r="T40" s="82">
        <v>4.53E-2</v>
      </c>
      <c r="U40" s="80">
        <v>254725.171</v>
      </c>
      <c r="V40" s="80">
        <v>463</v>
      </c>
      <c r="W40" s="80">
        <v>550.16235600000005</v>
      </c>
      <c r="X40" s="80">
        <v>983.88583200000005</v>
      </c>
      <c r="Y40" s="80">
        <v>34.399461000000002</v>
      </c>
      <c r="Z40" s="68">
        <v>9669</v>
      </c>
      <c r="AB40" s="78">
        <v>7</v>
      </c>
      <c r="AC40" s="82">
        <v>4.53E-2</v>
      </c>
      <c r="AD40" s="80">
        <v>692063.41500000004</v>
      </c>
      <c r="AE40" s="80">
        <v>451</v>
      </c>
      <c r="AF40" s="80">
        <v>1534.508681</v>
      </c>
      <c r="AG40" s="80">
        <v>2174.2692269999998</v>
      </c>
      <c r="AH40" s="80">
        <v>46.470942999999998</v>
      </c>
      <c r="AI40" s="80">
        <v>10176.4</v>
      </c>
    </row>
    <row r="41" spans="1:35">
      <c r="A41" s="78">
        <v>8</v>
      </c>
      <c r="B41" s="82">
        <v>8.2000000000000003E-2</v>
      </c>
      <c r="C41" s="83">
        <v>173.809</v>
      </c>
      <c r="D41" s="83">
        <v>895</v>
      </c>
      <c r="E41" s="83">
        <v>1.9420000000000001E-7</v>
      </c>
      <c r="F41" s="83">
        <v>2.08083E-7</v>
      </c>
      <c r="G41" s="83">
        <v>2.7820000000000001E-9</v>
      </c>
      <c r="H41" s="68">
        <v>0.64</v>
      </c>
      <c r="J41" s="78">
        <v>8</v>
      </c>
      <c r="K41" s="82">
        <v>8.2000000000000003E-2</v>
      </c>
      <c r="L41" s="83">
        <v>153.70699999999999</v>
      </c>
      <c r="M41" s="83">
        <v>902</v>
      </c>
      <c r="N41" s="83">
        <v>1.70407E-7</v>
      </c>
      <c r="O41" s="83">
        <v>1.5755E-7</v>
      </c>
      <c r="P41" s="83">
        <v>5.3109999999999995E-9</v>
      </c>
      <c r="Q41" s="68">
        <v>0.64</v>
      </c>
      <c r="R41" s="89"/>
      <c r="S41" s="78">
        <v>8</v>
      </c>
      <c r="T41" s="82">
        <v>8.2000000000000003E-2</v>
      </c>
      <c r="U41" s="80">
        <v>183.233</v>
      </c>
      <c r="V41" s="80">
        <v>858</v>
      </c>
      <c r="W41" s="80">
        <v>2.1355799999999999E-7</v>
      </c>
      <c r="X41" s="80">
        <v>1.8099199999999998E-7</v>
      </c>
      <c r="Y41" s="80">
        <v>2.4745000000000001E-8</v>
      </c>
      <c r="Z41" s="68">
        <v>0.64</v>
      </c>
      <c r="AB41" s="78">
        <v>8</v>
      </c>
      <c r="AC41" s="82">
        <v>8.2000000000000003E-2</v>
      </c>
      <c r="AD41" s="80">
        <v>14.778</v>
      </c>
      <c r="AE41" s="80">
        <v>804</v>
      </c>
      <c r="AF41" s="80">
        <v>1.8381000000000001E-8</v>
      </c>
      <c r="AG41" s="80">
        <v>1.9748000000000003E-8</v>
      </c>
      <c r="AH41" s="80">
        <v>9.9200000000000009E-10</v>
      </c>
      <c r="AI41" s="80">
        <v>0.13</v>
      </c>
    </row>
    <row r="42" spans="1:35">
      <c r="A42" s="78">
        <v>9</v>
      </c>
      <c r="B42" s="82">
        <v>6.1000000000000004E-3</v>
      </c>
      <c r="C42" s="83">
        <v>118452.363</v>
      </c>
      <c r="D42" s="83">
        <v>72</v>
      </c>
      <c r="E42" s="83">
        <v>1645.1717080000001</v>
      </c>
      <c r="F42" s="83">
        <v>498.36442199999999</v>
      </c>
      <c r="G42" s="83">
        <v>1.8962380000000001</v>
      </c>
      <c r="H42" s="68">
        <v>3940.9</v>
      </c>
      <c r="J42" s="78">
        <v>9</v>
      </c>
      <c r="K42" s="82">
        <v>6.1000000000000004E-3</v>
      </c>
      <c r="L42" s="83">
        <v>178472.39</v>
      </c>
      <c r="M42" s="83">
        <v>66</v>
      </c>
      <c r="N42" s="83">
        <v>2704.127121</v>
      </c>
      <c r="O42" s="83">
        <v>1089.722935</v>
      </c>
      <c r="P42" s="83">
        <v>6.1664690000000002</v>
      </c>
      <c r="Q42" s="68">
        <v>3552</v>
      </c>
      <c r="R42" s="89"/>
      <c r="S42" s="78">
        <v>9</v>
      </c>
      <c r="T42" s="82">
        <v>6.1000000000000004E-3</v>
      </c>
      <c r="U42" s="80">
        <v>3393.6550000000002</v>
      </c>
      <c r="V42" s="80">
        <v>62</v>
      </c>
      <c r="W42" s="83">
        <v>54.736370999999998</v>
      </c>
      <c r="X42" s="80">
        <v>99.199455</v>
      </c>
      <c r="Y42" s="80">
        <v>4.5829699999999999E-7</v>
      </c>
      <c r="Z42" s="68">
        <v>3577.6</v>
      </c>
      <c r="AB42" s="78">
        <v>9</v>
      </c>
      <c r="AC42" s="82">
        <v>6.1000000000000004E-3</v>
      </c>
      <c r="AD42" s="80">
        <v>59771.34</v>
      </c>
      <c r="AE42" s="80">
        <v>67</v>
      </c>
      <c r="AF42" s="83">
        <v>892.10955200000001</v>
      </c>
      <c r="AG42" s="80">
        <v>1722.465989</v>
      </c>
      <c r="AH42" s="80">
        <v>4.0135490000000003</v>
      </c>
      <c r="AI42" s="80">
        <v>3550.9</v>
      </c>
    </row>
    <row r="43" spans="1:35">
      <c r="A43" s="78">
        <v>10</v>
      </c>
      <c r="B43" s="82">
        <v>5.4999999999999997E-3</v>
      </c>
      <c r="C43" s="83">
        <v>116362.038</v>
      </c>
      <c r="D43" s="83">
        <v>70</v>
      </c>
      <c r="E43" s="83">
        <v>1662.3148289999999</v>
      </c>
      <c r="F43" s="83">
        <v>480.93154500000003</v>
      </c>
      <c r="G43" s="83">
        <v>1.8627750000000001</v>
      </c>
      <c r="H43" s="68">
        <v>3954.1</v>
      </c>
      <c r="J43" s="78">
        <v>10</v>
      </c>
      <c r="K43" s="82">
        <v>5.4999999999999997E-3</v>
      </c>
      <c r="L43" s="83">
        <v>151989.21299999999</v>
      </c>
      <c r="M43" s="83">
        <v>56</v>
      </c>
      <c r="N43" s="83">
        <v>2714.093089</v>
      </c>
      <c r="O43" s="83">
        <v>864.30380500000001</v>
      </c>
      <c r="P43" s="83">
        <v>5.2514380000000003</v>
      </c>
      <c r="Q43" s="68">
        <v>2027.2</v>
      </c>
      <c r="R43" s="89"/>
      <c r="S43" s="78">
        <v>10</v>
      </c>
      <c r="T43" s="82">
        <v>5.4999999999999997E-3</v>
      </c>
      <c r="U43" s="80">
        <v>2795.0509999999999</v>
      </c>
      <c r="V43" s="80">
        <v>65</v>
      </c>
      <c r="W43" s="80">
        <v>43.000785</v>
      </c>
      <c r="X43" s="80">
        <v>19.369022999999999</v>
      </c>
      <c r="Y43" s="80">
        <v>3.7745899999999997E-7</v>
      </c>
      <c r="Z43" s="68">
        <v>4338.8</v>
      </c>
      <c r="AB43" s="78">
        <v>10</v>
      </c>
      <c r="AC43" s="82">
        <v>5.4999999999999997E-3</v>
      </c>
      <c r="AD43" s="80">
        <v>16288.583000000001</v>
      </c>
      <c r="AE43" s="80">
        <v>49</v>
      </c>
      <c r="AF43" s="80">
        <v>332.42006099999998</v>
      </c>
      <c r="AG43" s="80">
        <v>268.87516699999998</v>
      </c>
      <c r="AH43" s="80">
        <v>1.0937520000000001</v>
      </c>
      <c r="AI43" s="80">
        <v>3633.9</v>
      </c>
    </row>
    <row r="44" spans="1:35">
      <c r="A44" s="78">
        <v>11</v>
      </c>
      <c r="B44" s="82">
        <v>9.7000000000000003E-3</v>
      </c>
      <c r="C44" s="83">
        <v>83629.521999999997</v>
      </c>
      <c r="D44" s="83">
        <v>102</v>
      </c>
      <c r="E44" s="83">
        <v>819.89727500000004</v>
      </c>
      <c r="F44" s="83">
        <v>14.50006</v>
      </c>
      <c r="G44" s="83">
        <v>1.338778</v>
      </c>
      <c r="H44" s="68">
        <v>1</v>
      </c>
      <c r="J44" s="78">
        <v>11</v>
      </c>
      <c r="K44" s="82">
        <v>9.7000000000000003E-3</v>
      </c>
      <c r="L44" s="83">
        <v>28401.687000000002</v>
      </c>
      <c r="M44" s="83">
        <v>86</v>
      </c>
      <c r="N44" s="83">
        <v>330.25217400000002</v>
      </c>
      <c r="O44" s="83">
        <v>12.928972</v>
      </c>
      <c r="P44" s="83">
        <v>9.8131800000000011E-7</v>
      </c>
      <c r="Q44" s="68">
        <v>1</v>
      </c>
      <c r="R44" s="89"/>
      <c r="S44" s="78">
        <v>11</v>
      </c>
      <c r="T44" s="82">
        <v>9.7000000000000003E-3</v>
      </c>
      <c r="U44" s="80">
        <v>672.20699999999999</v>
      </c>
      <c r="V44" s="80">
        <v>101</v>
      </c>
      <c r="W44" s="80">
        <v>6.6555150000000003</v>
      </c>
      <c r="X44" s="80">
        <v>4.3190879999999998</v>
      </c>
      <c r="Y44" s="80">
        <v>9.0777999999999994E-8</v>
      </c>
      <c r="Z44" s="68">
        <v>1</v>
      </c>
      <c r="AB44" s="78">
        <v>11</v>
      </c>
      <c r="AC44" s="82">
        <v>9.7000000000000003E-3</v>
      </c>
      <c r="AD44" s="80">
        <v>18304.471000000001</v>
      </c>
      <c r="AE44" s="80">
        <v>84</v>
      </c>
      <c r="AF44" s="80">
        <v>217.910369</v>
      </c>
      <c r="AG44" s="80">
        <v>8.5535709999999998</v>
      </c>
      <c r="AH44" s="80">
        <v>1.2291160000000001</v>
      </c>
      <c r="AI44" s="80">
        <v>1</v>
      </c>
    </row>
    <row r="45" spans="1:35">
      <c r="A45" s="78">
        <v>12</v>
      </c>
      <c r="B45" s="82">
        <v>6.1999999999999998E-3</v>
      </c>
      <c r="C45" s="83">
        <v>101664.01300000001</v>
      </c>
      <c r="D45" s="83">
        <v>64</v>
      </c>
      <c r="E45" s="83">
        <v>1588.5002030000001</v>
      </c>
      <c r="F45" s="83">
        <v>517.03240700000003</v>
      </c>
      <c r="G45" s="83">
        <v>1.627483</v>
      </c>
      <c r="H45" s="68">
        <v>1</v>
      </c>
      <c r="J45" s="78">
        <v>12</v>
      </c>
      <c r="K45" s="82">
        <v>6.1999999999999998E-3</v>
      </c>
      <c r="L45" s="83">
        <v>171736.848</v>
      </c>
      <c r="M45" s="83">
        <v>68</v>
      </c>
      <c r="N45" s="83">
        <v>2525.541882</v>
      </c>
      <c r="O45" s="83">
        <v>510.99542000000002</v>
      </c>
      <c r="P45" s="83">
        <v>5.9337460000000002</v>
      </c>
      <c r="Q45" s="68">
        <v>1</v>
      </c>
      <c r="R45" s="89"/>
      <c r="S45" s="78">
        <v>12</v>
      </c>
      <c r="T45" s="82">
        <v>6.1999999999999998E-3</v>
      </c>
      <c r="U45" s="80">
        <v>4781.982</v>
      </c>
      <c r="V45" s="80">
        <v>70</v>
      </c>
      <c r="W45" s="80">
        <v>68.314029000000005</v>
      </c>
      <c r="X45" s="80">
        <v>12.51304</v>
      </c>
      <c r="Y45" s="80">
        <v>6.4578500000000004E-7</v>
      </c>
      <c r="Z45" s="68">
        <v>1</v>
      </c>
      <c r="AB45" s="78">
        <v>12</v>
      </c>
      <c r="AC45" s="82">
        <v>6.1999999999999998E-3</v>
      </c>
      <c r="AD45" s="80">
        <v>36005.421999999999</v>
      </c>
      <c r="AE45" s="80">
        <v>73</v>
      </c>
      <c r="AF45" s="80">
        <v>493.22495900000001</v>
      </c>
      <c r="AG45" s="80">
        <v>196.06330299999999</v>
      </c>
      <c r="AH45" s="80">
        <v>2.4177059999999999</v>
      </c>
      <c r="AI45" s="80">
        <v>1</v>
      </c>
    </row>
    <row r="46" spans="1:35">
      <c r="A46" s="78">
        <v>13</v>
      </c>
      <c r="B46" s="82">
        <v>6.1000000000000004E-3</v>
      </c>
      <c r="C46" s="83">
        <v>484645.576</v>
      </c>
      <c r="D46" s="83">
        <v>91</v>
      </c>
      <c r="E46" s="83">
        <v>5325.77556</v>
      </c>
      <c r="F46" s="83">
        <v>1694.139874</v>
      </c>
      <c r="G46" s="83">
        <v>7.7584210000000002</v>
      </c>
      <c r="H46" s="68">
        <v>4170.6000000000004</v>
      </c>
      <c r="J46" s="78">
        <v>13</v>
      </c>
      <c r="K46" s="82">
        <v>6.1000000000000004E-3</v>
      </c>
      <c r="L46" s="83">
        <v>143296.30600000001</v>
      </c>
      <c r="M46" s="83">
        <v>56</v>
      </c>
      <c r="N46" s="83">
        <v>2558.862607</v>
      </c>
      <c r="O46" s="83">
        <v>466.26275900000002</v>
      </c>
      <c r="P46" s="83">
        <v>4.9510860000000001</v>
      </c>
      <c r="Q46" s="68">
        <v>2328.5500000000002</v>
      </c>
      <c r="R46" s="89"/>
      <c r="S46" s="78">
        <v>13</v>
      </c>
      <c r="T46" s="82">
        <v>6.1000000000000004E-3</v>
      </c>
      <c r="U46" s="80">
        <v>406167.18300000002</v>
      </c>
      <c r="V46" s="80">
        <v>73</v>
      </c>
      <c r="W46" s="80">
        <v>5563.9340140000004</v>
      </c>
      <c r="X46" s="80">
        <v>19783.101938</v>
      </c>
      <c r="Y46" s="80">
        <v>54.851007000000003</v>
      </c>
      <c r="Z46" s="68">
        <v>1532.2</v>
      </c>
      <c r="AB46" s="78">
        <v>13</v>
      </c>
      <c r="AC46" s="82">
        <v>6.1000000000000004E-3</v>
      </c>
      <c r="AD46" s="80">
        <v>189375.21299999999</v>
      </c>
      <c r="AE46" s="80">
        <v>71</v>
      </c>
      <c r="AF46" s="80">
        <v>2667.2565209999998</v>
      </c>
      <c r="AG46" s="80">
        <v>4253.3020630000001</v>
      </c>
      <c r="AH46" s="80">
        <v>12.716240000000001</v>
      </c>
      <c r="AI46" s="80">
        <v>2788.6</v>
      </c>
    </row>
    <row r="47" spans="1:35">
      <c r="A47" s="78">
        <v>14</v>
      </c>
      <c r="B47" s="82">
        <v>1.6199999999999999E-2</v>
      </c>
      <c r="C47" s="83">
        <v>1029.6790000000001</v>
      </c>
      <c r="D47" s="83">
        <v>165</v>
      </c>
      <c r="E47" s="83">
        <v>6.2404789999999997</v>
      </c>
      <c r="F47" s="83">
        <v>5.4604229999999996</v>
      </c>
      <c r="G47" s="83">
        <v>1.6483999999999997E-8</v>
      </c>
      <c r="H47" s="68">
        <v>47</v>
      </c>
      <c r="J47" s="78">
        <v>14</v>
      </c>
      <c r="K47" s="82">
        <v>1.6199999999999999E-2</v>
      </c>
      <c r="L47" s="83">
        <v>952.86699999999996</v>
      </c>
      <c r="M47" s="83">
        <v>152</v>
      </c>
      <c r="N47" s="83">
        <v>6.2688620000000004</v>
      </c>
      <c r="O47" s="83">
        <v>5.4402020000000002</v>
      </c>
      <c r="P47" s="83">
        <v>3.2923000000000003E-8</v>
      </c>
      <c r="Q47" s="68">
        <v>53.3</v>
      </c>
      <c r="R47" s="89"/>
      <c r="S47" s="78">
        <v>14</v>
      </c>
      <c r="T47" s="82">
        <v>1.6199999999999999E-2</v>
      </c>
      <c r="U47" s="80">
        <v>74.179000000000002</v>
      </c>
      <c r="V47" s="80">
        <v>159</v>
      </c>
      <c r="W47" s="80">
        <v>4.6653499999999996E-7</v>
      </c>
      <c r="X47" s="80">
        <v>7.9882900000000004E-7</v>
      </c>
      <c r="Y47" s="80">
        <v>1.0018000000000001E-8</v>
      </c>
      <c r="Z47" s="68">
        <v>50.66</v>
      </c>
      <c r="AB47" s="78">
        <v>14</v>
      </c>
      <c r="AC47" s="82">
        <v>1.6199999999999999E-2</v>
      </c>
      <c r="AD47" s="80">
        <v>787.41099999999994</v>
      </c>
      <c r="AE47" s="80">
        <v>169</v>
      </c>
      <c r="AF47" s="80">
        <v>4.6592370000000001</v>
      </c>
      <c r="AG47" s="80">
        <v>2.9970650000000001</v>
      </c>
      <c r="AH47" s="80">
        <v>5.2873000000000006E-8</v>
      </c>
      <c r="AI47" s="80">
        <v>50.6</v>
      </c>
    </row>
    <row r="48" spans="1:35">
      <c r="A48" s="78">
        <v>15</v>
      </c>
      <c r="B48" s="82">
        <v>7.6899999999999996E-2</v>
      </c>
      <c r="C48" s="83">
        <v>7311.26</v>
      </c>
      <c r="D48" s="83">
        <v>864</v>
      </c>
      <c r="E48" s="83">
        <v>8.4621060000000003</v>
      </c>
      <c r="F48" s="83">
        <v>5.9198690000000003</v>
      </c>
      <c r="G48" s="83">
        <v>1.17042E-7</v>
      </c>
      <c r="H48" s="68">
        <v>0.88</v>
      </c>
      <c r="J48" s="78">
        <v>15</v>
      </c>
      <c r="K48" s="82">
        <v>7.6899999999999996E-2</v>
      </c>
      <c r="L48" s="83">
        <v>7351.2960000000003</v>
      </c>
      <c r="M48" s="83">
        <v>798</v>
      </c>
      <c r="N48" s="83">
        <v>9.2121499999999994</v>
      </c>
      <c r="O48" s="83">
        <v>6.0061239999999998</v>
      </c>
      <c r="P48" s="83">
        <v>2.5399699999999999E-7</v>
      </c>
      <c r="Q48" s="68">
        <v>0.89</v>
      </c>
      <c r="R48" s="89"/>
      <c r="S48" s="78">
        <v>15</v>
      </c>
      <c r="T48" s="82">
        <v>7.6899999999999996E-2</v>
      </c>
      <c r="U48" s="80">
        <v>5463.357</v>
      </c>
      <c r="V48" s="80">
        <v>800</v>
      </c>
      <c r="W48" s="80">
        <v>6.8291959999999996</v>
      </c>
      <c r="X48" s="80">
        <v>4.8871390000000003</v>
      </c>
      <c r="Y48" s="80">
        <v>7.3780100000000008E-7</v>
      </c>
      <c r="Z48" s="68">
        <v>0.88</v>
      </c>
      <c r="AB48" s="78">
        <v>15</v>
      </c>
      <c r="AC48" s="82">
        <v>7.6899999999999996E-2</v>
      </c>
      <c r="AD48" s="80">
        <v>1332.163</v>
      </c>
      <c r="AE48" s="80">
        <v>818</v>
      </c>
      <c r="AF48" s="80">
        <v>1.6285609999999999</v>
      </c>
      <c r="AG48" s="80">
        <v>3.595958</v>
      </c>
      <c r="AH48" s="80">
        <v>8.9453E-8</v>
      </c>
      <c r="AI48" s="80">
        <v>0.18</v>
      </c>
    </row>
    <row r="49" spans="5:35">
      <c r="E49" s="33">
        <f>SUMPRODUCT(B34:B48,E34:E48)</f>
        <v>571.18080275875081</v>
      </c>
      <c r="H49" s="33">
        <f>SUMPRODUCT(B34:B48,H34:H48)</f>
        <v>843.01739599999985</v>
      </c>
      <c r="N49" s="33">
        <f>SUMPRODUCT(K34:K48,N34:N48)</f>
        <v>269.71695841167246</v>
      </c>
      <c r="Q49" s="33">
        <f>SUMPRODUCT(K34:K48,Q34:Q48)</f>
        <v>837.63239199999998</v>
      </c>
      <c r="R49" s="89"/>
      <c r="W49" s="33">
        <f>SUMPRODUCT(T34:T48,W34:W48)</f>
        <v>66.730691392396508</v>
      </c>
      <c r="Z49" s="33">
        <f>SUMPRODUCT(T34:T48,Z34:Z48)</f>
        <v>823.01294899999982</v>
      </c>
      <c r="AF49" s="33">
        <f>SUMPRODUCT(AC34:AC48,AF34:AF48)</f>
        <v>145.85330323118853</v>
      </c>
      <c r="AI49" s="33">
        <f>SUMPRODUCT(AC34:AC48,AI34:AI48)</f>
        <v>806.27608399999986</v>
      </c>
    </row>
    <row r="50" spans="5:35">
      <c r="AI50" s="80">
        <f>AVERAGEIF(AI34:AI48,"&gt;1")</f>
        <v>2988.6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BBE08-8D6C-418A-913D-957647996473}">
  <dimension ref="A1:O24"/>
  <sheetViews>
    <sheetView zoomScale="115" zoomScaleNormal="115" workbookViewId="0">
      <selection activeCell="L8" sqref="L8"/>
    </sheetView>
  </sheetViews>
  <sheetFormatPr defaultColWidth="8.75" defaultRowHeight="14"/>
  <cols>
    <col min="1" max="1" width="15.33203125" style="12" bestFit="1" customWidth="1"/>
    <col min="2" max="2" width="12.08203125" style="12" bestFit="1" customWidth="1"/>
    <col min="3" max="3" width="13.83203125" style="12" bestFit="1" customWidth="1"/>
    <col min="4" max="4" width="15.08203125" style="12" customWidth="1"/>
    <col min="5" max="5" width="3" style="12" customWidth="1"/>
    <col min="6" max="6" width="14" style="12" bestFit="1" customWidth="1"/>
    <col min="7" max="7" width="15" style="12" customWidth="1"/>
    <col min="8" max="8" width="14.75" style="12" bestFit="1" customWidth="1"/>
    <col min="9" max="9" width="13.33203125" style="12" customWidth="1"/>
    <col min="10" max="10" width="3.08203125" style="12" customWidth="1"/>
    <col min="11" max="11" width="22.08203125" style="12" bestFit="1" customWidth="1"/>
    <col min="12" max="12" width="11.08203125" style="12" bestFit="1" customWidth="1"/>
    <col min="13" max="13" width="11.25" style="12" bestFit="1" customWidth="1"/>
    <col min="14" max="15" width="9.25" style="12" bestFit="1" customWidth="1"/>
    <col min="16" max="16" width="21.25" style="12" bestFit="1" customWidth="1"/>
    <col min="17" max="17" width="11.08203125" style="12" bestFit="1" customWidth="1"/>
    <col min="18" max="18" width="11.25" style="12" bestFit="1" customWidth="1"/>
    <col min="19" max="20" width="9.25" style="12" bestFit="1" customWidth="1"/>
    <col min="21" max="16384" width="8.75" style="12"/>
  </cols>
  <sheetData>
    <row r="1" spans="1:15" ht="28">
      <c r="A1" s="13" t="s">
        <v>22</v>
      </c>
      <c r="C1" s="19" t="s">
        <v>13</v>
      </c>
      <c r="D1" s="23" t="s">
        <v>35</v>
      </c>
      <c r="E1" s="13"/>
    </row>
    <row r="2" spans="1:15">
      <c r="A2" s="12" t="s">
        <v>23</v>
      </c>
      <c r="C2" s="12">
        <v>10000</v>
      </c>
      <c r="D2" s="12">
        <v>50333</v>
      </c>
    </row>
    <row r="3" spans="1:15">
      <c r="A3" s="12" t="s">
        <v>24</v>
      </c>
      <c r="C3" s="12">
        <v>10000</v>
      </c>
      <c r="D3" s="12">
        <v>1489126</v>
      </c>
    </row>
    <row r="4" spans="1:15">
      <c r="A4" s="12" t="s">
        <v>25</v>
      </c>
      <c r="C4" s="12">
        <v>10000</v>
      </c>
      <c r="D4" s="12">
        <v>3623390</v>
      </c>
    </row>
    <row r="6" spans="1:15" ht="42">
      <c r="A6" s="13" t="s">
        <v>36</v>
      </c>
      <c r="B6" s="13" t="s">
        <v>16</v>
      </c>
      <c r="C6" s="13" t="s">
        <v>39</v>
      </c>
      <c r="D6" s="13" t="s">
        <v>38</v>
      </c>
      <c r="E6" s="13"/>
      <c r="F6" s="13" t="s">
        <v>40</v>
      </c>
      <c r="G6" s="13" t="s">
        <v>41</v>
      </c>
      <c r="K6" s="13" t="s">
        <v>20</v>
      </c>
      <c r="L6" s="13" t="s">
        <v>31</v>
      </c>
      <c r="M6" s="13" t="s">
        <v>32</v>
      </c>
      <c r="N6" s="13" t="s">
        <v>33</v>
      </c>
      <c r="O6" s="13" t="s">
        <v>34</v>
      </c>
    </row>
    <row r="7" spans="1:15">
      <c r="A7" s="12" t="s">
        <v>14</v>
      </c>
      <c r="B7" s="14">
        <f>'Query 1x'!E30</f>
        <v>63.706097233782849</v>
      </c>
      <c r="C7" s="20">
        <f>$B7*C$3/1000</f>
        <v>637.0609723378285</v>
      </c>
      <c r="D7" s="22">
        <f>$B7*D$3/1000</f>
        <v>94866.405749354119</v>
      </c>
      <c r="E7" s="25"/>
      <c r="F7" s="21">
        <f>C7/60</f>
        <v>10.617682872297141</v>
      </c>
      <c r="G7" s="24">
        <f>D7/60</f>
        <v>1581.1067624892353</v>
      </c>
      <c r="H7" s="16"/>
      <c r="I7" s="16"/>
      <c r="J7" s="16"/>
    </row>
    <row r="8" spans="1:15">
      <c r="A8" s="12" t="s">
        <v>15</v>
      </c>
      <c r="B8" s="14">
        <f>'Query 1x'!N30</f>
        <v>1.4927656856626921</v>
      </c>
      <c r="C8" s="20">
        <f>$B8*C$3/1000</f>
        <v>14.927656856626921</v>
      </c>
      <c r="D8" s="22">
        <f>$B8*D$3/1000</f>
        <v>2222.9161944281423</v>
      </c>
      <c r="E8" s="25"/>
      <c r="F8" s="21">
        <f>C8/60</f>
        <v>0.24879428094378203</v>
      </c>
      <c r="G8" s="24">
        <f>D8/60</f>
        <v>37.048603240469035</v>
      </c>
      <c r="H8" s="16"/>
      <c r="I8" s="16"/>
      <c r="J8" s="16"/>
      <c r="K8" s="12">
        <v>55.1</v>
      </c>
      <c r="L8" s="17">
        <f>K8*$D$24</f>
        <v>678281</v>
      </c>
      <c r="M8" s="15">
        <f>L8/60</f>
        <v>11304.683333333332</v>
      </c>
      <c r="N8" s="15">
        <f>M8/60</f>
        <v>188.41138888888887</v>
      </c>
      <c r="O8" s="15">
        <f>N8/24</f>
        <v>7.8504745370370363</v>
      </c>
    </row>
    <row r="10" spans="1:15" ht="42">
      <c r="A10" s="13" t="s">
        <v>37</v>
      </c>
      <c r="B10" s="13" t="s">
        <v>16</v>
      </c>
      <c r="C10" s="13" t="s">
        <v>39</v>
      </c>
      <c r="D10" s="13" t="s">
        <v>38</v>
      </c>
      <c r="E10" s="13"/>
      <c r="F10" s="13" t="s">
        <v>40</v>
      </c>
      <c r="G10" s="13" t="s">
        <v>41</v>
      </c>
      <c r="H10" s="13" t="s">
        <v>42</v>
      </c>
      <c r="I10" s="13" t="s">
        <v>43</v>
      </c>
      <c r="J10" s="13"/>
      <c r="K10" s="13" t="s">
        <v>21</v>
      </c>
      <c r="L10" s="13" t="s">
        <v>31</v>
      </c>
      <c r="M10" s="13" t="s">
        <v>32</v>
      </c>
      <c r="N10" s="13" t="s">
        <v>33</v>
      </c>
      <c r="O10" s="13" t="s">
        <v>34</v>
      </c>
    </row>
    <row r="11" spans="1:15">
      <c r="A11" s="12" t="s">
        <v>17</v>
      </c>
      <c r="B11" s="14">
        <f>'Query 1x'!E49</f>
        <v>571.18080275875081</v>
      </c>
      <c r="C11" s="20">
        <f t="shared" ref="C11:D13" si="0">$B11*C$4/1000</f>
        <v>5711.8080275875081</v>
      </c>
      <c r="D11" s="22">
        <f t="shared" si="0"/>
        <v>2069610.8089080299</v>
      </c>
      <c r="E11" s="25"/>
      <c r="F11" s="21">
        <f t="shared" ref="F11:G13" si="1">C11/60</f>
        <v>95.196800459791802</v>
      </c>
      <c r="G11" s="24">
        <f t="shared" si="1"/>
        <v>34493.513481800495</v>
      </c>
      <c r="H11" s="24">
        <f>G11/60</f>
        <v>574.89189136334164</v>
      </c>
      <c r="I11" s="24">
        <f>H11/24</f>
        <v>23.953828806805902</v>
      </c>
      <c r="J11" s="16"/>
      <c r="K11" s="18"/>
      <c r="L11" s="18"/>
      <c r="M11" s="18"/>
      <c r="N11" s="18"/>
      <c r="O11" s="18"/>
    </row>
    <row r="12" spans="1:15">
      <c r="A12" s="12" t="s">
        <v>18</v>
      </c>
      <c r="B12" s="14">
        <f>'Query 1x'!N49</f>
        <v>269.71695841167246</v>
      </c>
      <c r="C12" s="20">
        <f t="shared" si="0"/>
        <v>2697.1695841167248</v>
      </c>
      <c r="D12" s="22">
        <f t="shared" si="0"/>
        <v>977289.72993926995</v>
      </c>
      <c r="E12" s="25"/>
      <c r="F12" s="21">
        <f t="shared" si="1"/>
        <v>44.952826401945416</v>
      </c>
      <c r="G12" s="24">
        <f t="shared" si="1"/>
        <v>16288.162165654499</v>
      </c>
      <c r="H12" s="24">
        <f>G12/60</f>
        <v>271.46936942757497</v>
      </c>
      <c r="I12" s="24">
        <f>H12/24</f>
        <v>11.311223726148958</v>
      </c>
      <c r="J12" s="16"/>
      <c r="K12" s="18"/>
      <c r="L12" s="18"/>
      <c r="M12" s="18"/>
      <c r="N12" s="18"/>
      <c r="O12" s="18"/>
    </row>
    <row r="13" spans="1:15">
      <c r="A13" s="12" t="s">
        <v>19</v>
      </c>
      <c r="B13" s="14">
        <f>'Query 1x'!W49</f>
        <v>66.730691392396508</v>
      </c>
      <c r="C13" s="20">
        <f t="shared" si="0"/>
        <v>667.30691392396511</v>
      </c>
      <c r="D13" s="22">
        <f t="shared" si="0"/>
        <v>241791.31988429558</v>
      </c>
      <c r="E13" s="25"/>
      <c r="F13" s="21">
        <f t="shared" si="1"/>
        <v>11.121781898732753</v>
      </c>
      <c r="G13" s="24">
        <f t="shared" si="1"/>
        <v>4029.8553314049263</v>
      </c>
      <c r="H13" s="24">
        <f>G13/60</f>
        <v>67.164255523415434</v>
      </c>
      <c r="I13" s="24">
        <f>H13/24</f>
        <v>2.7985106468089764</v>
      </c>
      <c r="J13" s="16"/>
      <c r="K13" s="18">
        <v>93</v>
      </c>
      <c r="L13" s="17">
        <f>K13*$D$24</f>
        <v>1144830</v>
      </c>
      <c r="M13" s="15">
        <f>L13/60</f>
        <v>19080.5</v>
      </c>
      <c r="N13" s="15">
        <f>M13/60</f>
        <v>318.00833333333333</v>
      </c>
      <c r="O13" s="15">
        <f>N13/24</f>
        <v>13.250347222222222</v>
      </c>
    </row>
    <row r="23" spans="1:7">
      <c r="A23" s="13" t="s">
        <v>26</v>
      </c>
      <c r="B23" s="13" t="s">
        <v>27</v>
      </c>
      <c r="C23" s="13" t="s">
        <v>28</v>
      </c>
      <c r="D23" s="13" t="s">
        <v>29</v>
      </c>
      <c r="E23" s="13"/>
      <c r="G23" s="13"/>
    </row>
    <row r="24" spans="1:7">
      <c r="A24" s="12" t="s">
        <v>30</v>
      </c>
      <c r="B24" s="12">
        <v>1231000000</v>
      </c>
      <c r="C24" s="12">
        <v>100000</v>
      </c>
      <c r="D24" s="17">
        <f>B24/C24</f>
        <v>12310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4097-27B2-4865-90BD-DFB4E26E291F}">
  <dimension ref="A1:AE49"/>
  <sheetViews>
    <sheetView topLeftCell="M28" zoomScaleNormal="100" workbookViewId="0">
      <selection activeCell="U49" sqref="U49"/>
    </sheetView>
  </sheetViews>
  <sheetFormatPr defaultColWidth="28.08203125" defaultRowHeight="14"/>
  <cols>
    <col min="1" max="1" width="7.83203125" customWidth="1"/>
    <col min="2" max="2" width="6.25" bestFit="1" customWidth="1"/>
    <col min="3" max="7" width="12.58203125" customWidth="1"/>
    <col min="8" max="8" width="4.83203125" customWidth="1"/>
    <col min="9" max="9" width="7.33203125" customWidth="1"/>
    <col min="10" max="10" width="6.33203125" bestFit="1" customWidth="1"/>
    <col min="11" max="15" width="11.83203125" customWidth="1"/>
    <col min="16" max="16" width="5.75" customWidth="1"/>
    <col min="17" max="18" width="6.75" customWidth="1"/>
    <col min="19" max="21" width="12.33203125" customWidth="1"/>
    <col min="22" max="22" width="12.33203125" hidden="1" customWidth="1"/>
    <col min="23" max="23" width="12.33203125" customWidth="1"/>
    <col min="24" max="24" width="6.33203125" customWidth="1"/>
    <col min="25" max="25" width="6.58203125" customWidth="1"/>
    <col min="26" max="26" width="6.33203125" bestFit="1" customWidth="1"/>
    <col min="27" max="29" width="11.58203125" customWidth="1"/>
    <col min="30" max="30" width="11.58203125" hidden="1" customWidth="1"/>
    <col min="31" max="31" width="11.58203125" customWidth="1"/>
  </cols>
  <sheetData>
    <row r="1" spans="1:7" ht="26">
      <c r="A1" s="1">
        <v>2003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26">
      <c r="A2" s="1" t="s">
        <v>5</v>
      </c>
      <c r="B2" s="1"/>
      <c r="C2" s="1"/>
      <c r="D2" s="1"/>
      <c r="E2" s="1"/>
      <c r="F2" s="1"/>
      <c r="G2" s="1"/>
    </row>
    <row r="3" spans="1:7">
      <c r="A3" s="1">
        <v>1</v>
      </c>
      <c r="B3" s="7">
        <v>0.60299999999999998</v>
      </c>
      <c r="C3" s="2">
        <v>422.07400000000001</v>
      </c>
      <c r="D3" s="2">
        <v>606</v>
      </c>
      <c r="E3" s="4">
        <v>6.9649200000000001E-7</v>
      </c>
      <c r="F3" s="2">
        <v>5.1492200000000001E-7</v>
      </c>
      <c r="G3" s="2">
        <v>5.9945400000000004E-7</v>
      </c>
    </row>
    <row r="4" spans="1:7">
      <c r="A4" s="1">
        <v>2</v>
      </c>
      <c r="B4" s="7">
        <v>0.22459999999999999</v>
      </c>
      <c r="C4" s="2">
        <v>37755.192999999999</v>
      </c>
      <c r="D4" s="2">
        <v>229</v>
      </c>
      <c r="E4" s="4">
        <v>164.86983799999999</v>
      </c>
      <c r="F4" s="2">
        <v>81.929844000000003</v>
      </c>
      <c r="G4" s="2">
        <v>53.622110999999997</v>
      </c>
    </row>
    <row r="5" spans="1:7">
      <c r="A5" s="1">
        <v>3</v>
      </c>
      <c r="B5" s="7">
        <v>4.7500000000000001E-2</v>
      </c>
      <c r="C5" s="2">
        <v>9367.6059999999998</v>
      </c>
      <c r="D5" s="2">
        <v>44</v>
      </c>
      <c r="E5" s="4">
        <v>212.900136</v>
      </c>
      <c r="F5" s="2">
        <v>158.20355799999999</v>
      </c>
      <c r="G5" s="2">
        <v>13.304417000000001</v>
      </c>
    </row>
    <row r="6" spans="1:7">
      <c r="A6" s="1">
        <v>4</v>
      </c>
      <c r="B6" s="7">
        <v>0.114</v>
      </c>
      <c r="C6" s="2">
        <v>22864.569</v>
      </c>
      <c r="D6" s="2">
        <v>108</v>
      </c>
      <c r="E6" s="4">
        <v>211.70897199999999</v>
      </c>
      <c r="F6" s="2">
        <v>153.71595300000001</v>
      </c>
      <c r="G6" s="2">
        <v>32.473585</v>
      </c>
    </row>
    <row r="7" spans="1:7">
      <c r="A7" s="1">
        <v>5</v>
      </c>
      <c r="B7" s="7">
        <v>1.09E-2</v>
      </c>
      <c r="C7" s="2">
        <v>3.0499999999999999E-4</v>
      </c>
      <c r="D7" s="2">
        <v>13</v>
      </c>
      <c r="E7" s="4">
        <v>2.3461999999999999E-8</v>
      </c>
      <c r="F7" s="2">
        <v>1.1949E-8</v>
      </c>
      <c r="G7" s="2">
        <v>4.33E-10</v>
      </c>
    </row>
    <row r="8" spans="1:7">
      <c r="B8" s="8"/>
      <c r="E8" s="10">
        <f>SUMPRODUCT(B3:B7,E3:E7)</f>
        <v>71.277345303040406</v>
      </c>
    </row>
    <row r="9" spans="1:7">
      <c r="B9" s="8"/>
      <c r="E9" s="6"/>
    </row>
    <row r="10" spans="1:7" ht="26">
      <c r="A10" s="1" t="s">
        <v>6</v>
      </c>
      <c r="B10" s="1" t="s">
        <v>9</v>
      </c>
      <c r="C10" s="1" t="s">
        <v>0</v>
      </c>
      <c r="D10" s="1" t="s">
        <v>1</v>
      </c>
      <c r="E10" s="1" t="s">
        <v>2</v>
      </c>
      <c r="F10" s="1" t="s">
        <v>3</v>
      </c>
      <c r="G10" s="1" t="s">
        <v>4</v>
      </c>
    </row>
    <row r="11" spans="1:7" ht="26">
      <c r="A11" s="1" t="s">
        <v>5</v>
      </c>
      <c r="B11" s="9"/>
      <c r="C11" s="1"/>
      <c r="D11" s="1"/>
      <c r="E11" s="1"/>
      <c r="F11" s="1"/>
      <c r="G11" s="1"/>
    </row>
    <row r="12" spans="1:7">
      <c r="A12" s="1">
        <v>1</v>
      </c>
      <c r="B12" s="7">
        <v>0.60299999999999998</v>
      </c>
      <c r="C12" s="2">
        <v>617.27599999999995</v>
      </c>
      <c r="D12" s="3">
        <v>623</v>
      </c>
      <c r="E12" s="5">
        <v>9.9081200000000002E-7</v>
      </c>
      <c r="F12" s="3">
        <v>9.0683899999999996E-7</v>
      </c>
      <c r="G12" s="3">
        <v>10.401206</v>
      </c>
    </row>
    <row r="13" spans="1:7">
      <c r="A13" s="1">
        <v>2</v>
      </c>
      <c r="B13" s="7">
        <v>0.22459999999999999</v>
      </c>
      <c r="C13" s="2">
        <v>1902.6079999999999</v>
      </c>
      <c r="D13" s="3">
        <v>187</v>
      </c>
      <c r="E13" s="5">
        <v>10.174374</v>
      </c>
      <c r="F13" s="3">
        <v>8.9871020000000001</v>
      </c>
      <c r="G13" s="3">
        <v>32.059269</v>
      </c>
    </row>
    <row r="14" spans="1:7">
      <c r="A14" s="1">
        <v>3</v>
      </c>
      <c r="B14" s="7">
        <v>4.7500000000000001E-2</v>
      </c>
      <c r="C14" s="2">
        <v>768.80499999999995</v>
      </c>
      <c r="D14" s="3">
        <v>54</v>
      </c>
      <c r="E14" s="5">
        <v>14.237130000000001</v>
      </c>
      <c r="F14" s="3">
        <v>19.181145000000001</v>
      </c>
      <c r="G14" s="3">
        <v>12.954495</v>
      </c>
    </row>
    <row r="15" spans="1:7">
      <c r="A15" s="1">
        <v>4</v>
      </c>
      <c r="B15" s="7">
        <v>0.114</v>
      </c>
      <c r="C15" s="2">
        <v>2645.3760000000002</v>
      </c>
      <c r="D15" s="3">
        <v>122</v>
      </c>
      <c r="E15" s="5">
        <v>21.683409999999999</v>
      </c>
      <c r="F15" s="3">
        <v>20.490525999999999</v>
      </c>
      <c r="G15" s="3">
        <v>44.575037000000002</v>
      </c>
    </row>
    <row r="16" spans="1:7">
      <c r="A16" s="1">
        <v>5</v>
      </c>
      <c r="B16" s="7">
        <v>1.09E-2</v>
      </c>
      <c r="C16" s="2">
        <v>5.9299999999999999E-4</v>
      </c>
      <c r="D16" s="3">
        <v>14</v>
      </c>
      <c r="E16" s="5">
        <v>4.2357E-8</v>
      </c>
      <c r="F16" s="3">
        <v>2.2687E-8</v>
      </c>
      <c r="G16" s="3">
        <v>9.9919999999999994E-9</v>
      </c>
    </row>
    <row r="17" spans="1:31">
      <c r="B17" s="8"/>
      <c r="E17" s="10">
        <f>SUMPRODUCT(B12:B16,E12:E16)</f>
        <v>5.4333374133213272</v>
      </c>
      <c r="F17" s="63">
        <f>SQRT(SUMPRODUCT(B12:B16,F12:F16)/SUM(B12:B16))</f>
        <v>2.2946738347249278</v>
      </c>
    </row>
    <row r="18" spans="1:31">
      <c r="B18" s="8"/>
    </row>
    <row r="19" spans="1:31" ht="39">
      <c r="A19" s="1" t="s">
        <v>7</v>
      </c>
      <c r="B19" s="1" t="s">
        <v>9</v>
      </c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I19" s="1" t="s">
        <v>8</v>
      </c>
      <c r="J19" s="1" t="s">
        <v>9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Q19" s="1">
        <v>2013</v>
      </c>
      <c r="R19" s="1" t="s">
        <v>9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</row>
    <row r="20" spans="1:31" ht="26">
      <c r="A20" s="1" t="s">
        <v>5</v>
      </c>
      <c r="B20" s="9"/>
      <c r="C20" s="1"/>
      <c r="D20" s="1"/>
      <c r="E20" s="1"/>
      <c r="F20" s="1"/>
      <c r="G20" s="1"/>
      <c r="I20" s="1" t="s">
        <v>5</v>
      </c>
      <c r="J20" s="9"/>
      <c r="K20" s="1"/>
      <c r="L20" s="1"/>
      <c r="M20" s="1"/>
      <c r="N20" s="1"/>
      <c r="O20" s="1"/>
      <c r="Q20" s="1" t="s">
        <v>5</v>
      </c>
      <c r="R20" s="9"/>
      <c r="S20" s="1"/>
      <c r="T20" s="1"/>
      <c r="U20" s="1"/>
      <c r="V20" s="1"/>
      <c r="W20" s="1"/>
    </row>
    <row r="21" spans="1:31">
      <c r="A21" s="1">
        <v>1</v>
      </c>
      <c r="B21" s="7">
        <v>0.1066</v>
      </c>
      <c r="C21" s="2">
        <v>1250.309</v>
      </c>
      <c r="D21" s="2">
        <v>1925</v>
      </c>
      <c r="E21" s="2">
        <v>6.4951099999999997E-7</v>
      </c>
      <c r="F21" s="2">
        <v>7.1566300000000002E-7</v>
      </c>
      <c r="G21" s="2">
        <v>1.17152E-7</v>
      </c>
      <c r="I21" s="1">
        <v>1</v>
      </c>
      <c r="J21" s="7">
        <v>0.1066</v>
      </c>
      <c r="K21" s="2">
        <v>1601.902</v>
      </c>
      <c r="L21" s="2">
        <v>1942</v>
      </c>
      <c r="M21" s="2">
        <v>8.24872E-7</v>
      </c>
      <c r="N21" s="2">
        <v>4.8448200000000001E-7</v>
      </c>
      <c r="O21" s="2">
        <v>5.6410929999999997</v>
      </c>
      <c r="Q21" s="1">
        <v>1</v>
      </c>
      <c r="R21" s="7">
        <v>0.1066</v>
      </c>
      <c r="S21" s="2">
        <v>1212.402</v>
      </c>
      <c r="T21" s="2">
        <v>1940</v>
      </c>
      <c r="U21" s="2">
        <v>6.2494900000000002E-7</v>
      </c>
      <c r="V21" s="2">
        <v>4.4747199999999997E-7</v>
      </c>
      <c r="W21" s="2">
        <v>2.48188E-7</v>
      </c>
    </row>
    <row r="22" spans="1:31">
      <c r="A22" s="1">
        <v>2</v>
      </c>
      <c r="B22" s="7">
        <v>1.3299999999999999E-2</v>
      </c>
      <c r="C22" s="2">
        <v>2465.7730000000001</v>
      </c>
      <c r="D22" s="2">
        <v>224</v>
      </c>
      <c r="E22" s="2">
        <v>11.007915000000001</v>
      </c>
      <c r="F22" s="2">
        <v>9.4221029999999999</v>
      </c>
      <c r="G22" s="2">
        <v>2.3103899999999998E-7</v>
      </c>
      <c r="I22" s="1">
        <v>2</v>
      </c>
      <c r="J22" s="7">
        <v>1.3299999999999999E-2</v>
      </c>
      <c r="K22" s="2">
        <v>3550.2860000000001</v>
      </c>
      <c r="L22" s="2">
        <v>206</v>
      </c>
      <c r="M22" s="2">
        <v>17.234397999999999</v>
      </c>
      <c r="N22" s="2">
        <v>8.6265900000000002</v>
      </c>
      <c r="O22" s="2">
        <v>12.502321</v>
      </c>
      <c r="Q22" s="1">
        <v>2</v>
      </c>
      <c r="R22" s="7">
        <v>1.3299999999999999E-2</v>
      </c>
      <c r="S22" s="2">
        <v>64886.811000000002</v>
      </c>
      <c r="T22" s="2">
        <v>228</v>
      </c>
      <c r="U22" s="2">
        <v>284.59127599999999</v>
      </c>
      <c r="V22" s="2">
        <v>132.459373</v>
      </c>
      <c r="W22" s="2">
        <v>13.28285</v>
      </c>
    </row>
    <row r="23" spans="1:31">
      <c r="A23" s="1">
        <v>3</v>
      </c>
      <c r="B23" s="7">
        <v>0.14130000000000001</v>
      </c>
      <c r="C23" s="2">
        <v>1050905.8829999999</v>
      </c>
      <c r="D23" s="2">
        <v>2501</v>
      </c>
      <c r="E23" s="2">
        <v>420.194275</v>
      </c>
      <c r="F23" s="2">
        <v>225.007305</v>
      </c>
      <c r="G23" s="2">
        <v>98.468305000000001</v>
      </c>
      <c r="I23" s="1">
        <v>3</v>
      </c>
      <c r="J23" s="7">
        <v>0.14130000000000001</v>
      </c>
      <c r="K23" s="2">
        <v>18066.353999999999</v>
      </c>
      <c r="L23" s="2">
        <v>2579</v>
      </c>
      <c r="M23" s="2">
        <v>7.0051779999999999</v>
      </c>
      <c r="N23" s="2">
        <v>3.9873349999999999</v>
      </c>
      <c r="O23" s="2">
        <v>63.620607</v>
      </c>
      <c r="Q23" s="1">
        <v>3</v>
      </c>
      <c r="R23" s="7">
        <v>0.14130000000000001</v>
      </c>
      <c r="S23" s="2">
        <v>422313.88299999997</v>
      </c>
      <c r="T23" s="2">
        <v>2654</v>
      </c>
      <c r="U23" s="2">
        <v>159.12354300000001</v>
      </c>
      <c r="V23" s="2">
        <v>89.085865999999996</v>
      </c>
      <c r="W23" s="2">
        <v>86.451036000000002</v>
      </c>
    </row>
    <row r="24" spans="1:31">
      <c r="A24" s="1">
        <v>4</v>
      </c>
      <c r="B24" s="7">
        <v>5.4699999999999999E-2</v>
      </c>
      <c r="C24" s="2">
        <v>806.48800000000006</v>
      </c>
      <c r="D24" s="2">
        <v>961</v>
      </c>
      <c r="E24" s="2">
        <v>8.3921699999999999E-7</v>
      </c>
      <c r="F24" s="2">
        <v>20.694286000000002</v>
      </c>
      <c r="G24" s="2">
        <v>7.5566999999999991E-8</v>
      </c>
      <c r="I24" s="1">
        <v>4</v>
      </c>
      <c r="J24" s="7">
        <v>5.4699999999999999E-2</v>
      </c>
      <c r="K24" s="2">
        <v>129.65899999999999</v>
      </c>
      <c r="L24" s="2">
        <v>951</v>
      </c>
      <c r="M24" s="2">
        <v>1.3633999999999999E-7</v>
      </c>
      <c r="N24" s="2">
        <v>1.1448160000000001</v>
      </c>
      <c r="O24" s="2">
        <v>4.5659399999999999E-7</v>
      </c>
      <c r="Q24" s="1">
        <v>4</v>
      </c>
      <c r="R24" s="7">
        <v>5.4699999999999999E-2</v>
      </c>
      <c r="S24" s="2">
        <v>20.693000000000001</v>
      </c>
      <c r="T24" s="2">
        <v>979</v>
      </c>
      <c r="U24" s="2">
        <v>2.1136999999999999E-8</v>
      </c>
      <c r="V24" s="2">
        <v>1.2507000000000001E-8</v>
      </c>
      <c r="W24" s="2">
        <v>4.2359999999999998E-9</v>
      </c>
    </row>
    <row r="25" spans="1:31">
      <c r="A25" s="1">
        <v>5</v>
      </c>
      <c r="B25" s="7">
        <v>4.6800000000000001E-2</v>
      </c>
      <c r="C25" s="2">
        <v>22.492000000000001</v>
      </c>
      <c r="D25" s="2">
        <v>826</v>
      </c>
      <c r="E25" s="2">
        <v>2.723E-8</v>
      </c>
      <c r="F25" s="2">
        <v>1.9897000000000003E-8</v>
      </c>
      <c r="G25" s="2">
        <v>2.1069999999999999E-9</v>
      </c>
      <c r="I25" s="1">
        <v>5</v>
      </c>
      <c r="J25" s="7">
        <v>4.6800000000000001E-2</v>
      </c>
      <c r="K25" s="2">
        <v>565.20299999999997</v>
      </c>
      <c r="L25" s="2">
        <v>808</v>
      </c>
      <c r="M25" s="2">
        <v>6.9950900000000007E-7</v>
      </c>
      <c r="N25" s="2">
        <v>3.7846009999999999</v>
      </c>
      <c r="O25" s="2">
        <v>1.990361</v>
      </c>
      <c r="Q25" s="1">
        <v>5</v>
      </c>
      <c r="R25" s="7">
        <v>4.6800000000000001E-2</v>
      </c>
      <c r="S25" s="2">
        <v>8.91</v>
      </c>
      <c r="T25" s="2">
        <v>788</v>
      </c>
      <c r="U25" s="2">
        <v>1.1307E-8</v>
      </c>
      <c r="V25" s="2">
        <v>6.631E-9</v>
      </c>
      <c r="W25" s="2">
        <v>1.8240000000000001E-9</v>
      </c>
    </row>
    <row r="26" spans="1:31">
      <c r="A26" s="1">
        <v>6</v>
      </c>
      <c r="B26" s="7">
        <v>0.10780000000000001</v>
      </c>
      <c r="C26" s="2">
        <v>4326.3689999999997</v>
      </c>
      <c r="D26" s="2">
        <v>1992</v>
      </c>
      <c r="E26" s="2">
        <v>2.171872</v>
      </c>
      <c r="F26" s="2">
        <v>34.158247000000003</v>
      </c>
      <c r="G26" s="2">
        <v>4.0537399999999999E-7</v>
      </c>
      <c r="I26" s="1">
        <v>6</v>
      </c>
      <c r="J26" s="7">
        <v>0.10780000000000001</v>
      </c>
      <c r="K26" s="2">
        <v>3339.2910000000002</v>
      </c>
      <c r="L26" s="2">
        <v>1939</v>
      </c>
      <c r="M26" s="2">
        <v>1.722172</v>
      </c>
      <c r="N26" s="2">
        <v>7.5847740000000003</v>
      </c>
      <c r="O26" s="2">
        <v>11.759302</v>
      </c>
      <c r="Q26" s="1">
        <v>6</v>
      </c>
      <c r="R26" s="7">
        <v>0.10780000000000001</v>
      </c>
      <c r="S26" s="2">
        <v>26.081</v>
      </c>
      <c r="T26" s="2">
        <v>1888</v>
      </c>
      <c r="U26" s="2">
        <v>1.3814E-8</v>
      </c>
      <c r="V26" s="2">
        <v>7.4660000000000005E-9</v>
      </c>
      <c r="W26" s="2">
        <v>5.3389999999999999E-9</v>
      </c>
    </row>
    <row r="27" spans="1:31">
      <c r="A27" s="1">
        <v>7</v>
      </c>
      <c r="B27" s="7">
        <v>3.49E-2</v>
      </c>
      <c r="C27" s="2">
        <v>6284.9989999999998</v>
      </c>
      <c r="D27" s="2">
        <v>617</v>
      </c>
      <c r="E27" s="2">
        <v>10.186384</v>
      </c>
      <c r="F27" s="2">
        <v>64.420383999999999</v>
      </c>
      <c r="G27" s="2">
        <v>5.8889499999999995E-7</v>
      </c>
      <c r="I27" s="1">
        <v>7</v>
      </c>
      <c r="J27" s="7">
        <v>3.49E-2</v>
      </c>
      <c r="K27" s="2">
        <v>849.84400000000005</v>
      </c>
      <c r="L27" s="2">
        <v>599</v>
      </c>
      <c r="M27" s="2">
        <v>1.418771</v>
      </c>
      <c r="N27" s="2">
        <v>6.4237580000000003</v>
      </c>
      <c r="O27" s="2">
        <v>2.9927229999999998</v>
      </c>
      <c r="Q27" s="1">
        <v>7</v>
      </c>
      <c r="R27" s="7">
        <v>3.49E-2</v>
      </c>
      <c r="S27" s="2">
        <v>12.557</v>
      </c>
      <c r="T27" s="2">
        <v>580</v>
      </c>
      <c r="U27" s="2">
        <v>2.1649999999999999E-8</v>
      </c>
      <c r="V27" s="2">
        <v>1.1171E-8</v>
      </c>
      <c r="W27" s="2">
        <v>2.5709999999999999E-9</v>
      </c>
    </row>
    <row r="28" spans="1:31">
      <c r="A28" s="1">
        <v>8</v>
      </c>
      <c r="B28" s="7">
        <v>2.63E-2</v>
      </c>
      <c r="C28" s="2">
        <v>10.929</v>
      </c>
      <c r="D28" s="2">
        <v>464</v>
      </c>
      <c r="E28" s="2">
        <v>2.3553999999999997E-8</v>
      </c>
      <c r="F28" s="2">
        <v>1.5492000000000001E-8</v>
      </c>
      <c r="G28" s="2">
        <v>1.024E-9</v>
      </c>
      <c r="I28" s="1">
        <v>8</v>
      </c>
      <c r="J28" s="7">
        <v>2.63E-2</v>
      </c>
      <c r="K28" s="2">
        <v>75.558999999999997</v>
      </c>
      <c r="L28" s="2">
        <v>468</v>
      </c>
      <c r="M28" s="2">
        <v>1.6145100000000001E-7</v>
      </c>
      <c r="N28" s="2">
        <v>1.5640069999999999</v>
      </c>
      <c r="O28" s="2">
        <v>2.6608099999999999E-7</v>
      </c>
      <c r="Q28" s="1">
        <v>8</v>
      </c>
      <c r="R28" s="7">
        <v>2.63E-2</v>
      </c>
      <c r="S28" s="2">
        <v>9.2620000000000005</v>
      </c>
      <c r="T28" s="2">
        <v>450</v>
      </c>
      <c r="U28" s="2">
        <v>2.0581999999999999E-8</v>
      </c>
      <c r="V28" s="2">
        <v>1.0417E-8</v>
      </c>
      <c r="W28" s="2">
        <v>1.8960000000000001E-9</v>
      </c>
    </row>
    <row r="29" spans="1:31">
      <c r="A29" s="1">
        <v>9</v>
      </c>
      <c r="B29" s="7">
        <v>2.7300000000000001E-2</v>
      </c>
      <c r="C29" s="2">
        <v>1179.6980000000001</v>
      </c>
      <c r="D29" s="2">
        <v>490</v>
      </c>
      <c r="E29" s="2">
        <v>2.4075470000000001</v>
      </c>
      <c r="F29" s="2">
        <v>25.608864000000001</v>
      </c>
      <c r="G29" s="2">
        <v>1.1053599999999999E-7</v>
      </c>
      <c r="I29" s="1">
        <v>9</v>
      </c>
      <c r="J29" s="7">
        <v>2.7300000000000001E-2</v>
      </c>
      <c r="K29" s="2">
        <v>218.91800000000001</v>
      </c>
      <c r="L29" s="2">
        <v>508</v>
      </c>
      <c r="M29" s="2">
        <v>4.3094099999999999E-7</v>
      </c>
      <c r="N29" s="2">
        <v>2.76023</v>
      </c>
      <c r="O29" s="2">
        <v>7.70919E-7</v>
      </c>
      <c r="Q29" s="1">
        <v>9</v>
      </c>
      <c r="R29" s="7">
        <v>2.7300000000000001E-2</v>
      </c>
      <c r="S29" s="2">
        <v>10.063000000000001</v>
      </c>
      <c r="T29" s="2">
        <v>493</v>
      </c>
      <c r="U29" s="2">
        <v>2.0412000000000001E-8</v>
      </c>
      <c r="V29" s="2">
        <v>1.09E-8</v>
      </c>
      <c r="W29" s="2">
        <v>2.0600000000000003E-9</v>
      </c>
    </row>
    <row r="30" spans="1:31">
      <c r="B30" s="8"/>
      <c r="E30" s="10">
        <f>SUMPRODUCT(B21:B29,E21:E29)</f>
        <v>60.175215080336883</v>
      </c>
      <c r="M30" s="10">
        <f>SUMPRODUCT(J21:J29,M21:M29)</f>
        <v>1.4542145384370246</v>
      </c>
      <c r="N30" s="63">
        <f>SQRT(SUMPRODUCT(J21:J29,N21:N29)/SUM(J21:J29))</f>
        <v>1.9272086048277106</v>
      </c>
      <c r="U30" s="10">
        <f>SUMPRODUCT(R21:R29,U21:U29)</f>
        <v>26.269220668348211</v>
      </c>
    </row>
    <row r="31" spans="1:31">
      <c r="B31" s="8"/>
    </row>
    <row r="32" spans="1:31" ht="39">
      <c r="A32" s="1" t="s">
        <v>10</v>
      </c>
      <c r="B32" s="1" t="s">
        <v>9</v>
      </c>
      <c r="C32" s="1" t="s">
        <v>0</v>
      </c>
      <c r="D32" s="1" t="s">
        <v>1</v>
      </c>
      <c r="E32" s="1" t="s">
        <v>2</v>
      </c>
      <c r="F32" s="1" t="s">
        <v>3</v>
      </c>
      <c r="G32" s="1" t="s">
        <v>4</v>
      </c>
      <c r="I32" s="1" t="s">
        <v>11</v>
      </c>
      <c r="J32" s="1" t="s">
        <v>9</v>
      </c>
      <c r="K32" s="1" t="s">
        <v>0</v>
      </c>
      <c r="L32" s="1" t="s">
        <v>1</v>
      </c>
      <c r="M32" s="1" t="s">
        <v>2</v>
      </c>
      <c r="N32" s="1" t="s">
        <v>3</v>
      </c>
      <c r="O32" s="1" t="s">
        <v>4</v>
      </c>
      <c r="Q32" s="1" t="s">
        <v>12</v>
      </c>
      <c r="R32" s="1" t="s">
        <v>9</v>
      </c>
      <c r="S32" s="1" t="s">
        <v>0</v>
      </c>
      <c r="T32" s="1" t="s">
        <v>1</v>
      </c>
      <c r="U32" s="1" t="s">
        <v>2</v>
      </c>
      <c r="V32" s="1" t="s">
        <v>3</v>
      </c>
      <c r="W32" s="1" t="s">
        <v>4</v>
      </c>
      <c r="Y32" s="1">
        <v>2023</v>
      </c>
      <c r="Z32" s="1" t="s">
        <v>9</v>
      </c>
      <c r="AA32" s="1" t="s">
        <v>0</v>
      </c>
      <c r="AB32" s="1" t="s">
        <v>1</v>
      </c>
      <c r="AC32" s="1" t="s">
        <v>2</v>
      </c>
      <c r="AD32" s="1" t="s">
        <v>3</v>
      </c>
      <c r="AE32" s="1" t="s">
        <v>4</v>
      </c>
    </row>
    <row r="33" spans="1:31" ht="26">
      <c r="A33" s="1" t="s">
        <v>5</v>
      </c>
      <c r="B33" s="9"/>
      <c r="C33" s="1"/>
      <c r="D33" s="1"/>
      <c r="E33" s="1"/>
      <c r="F33" s="1"/>
      <c r="G33" s="1"/>
      <c r="I33" s="1" t="s">
        <v>5</v>
      </c>
      <c r="J33" s="9"/>
      <c r="K33" s="1"/>
      <c r="L33" s="1"/>
      <c r="M33" s="1"/>
      <c r="N33" s="1"/>
      <c r="O33" s="1"/>
      <c r="Q33" s="1" t="s">
        <v>5</v>
      </c>
      <c r="R33" s="9"/>
      <c r="S33" s="1"/>
      <c r="T33" s="1"/>
      <c r="U33" s="1"/>
      <c r="V33" s="1"/>
      <c r="W33" s="1"/>
      <c r="Y33" s="1" t="s">
        <v>5</v>
      </c>
      <c r="Z33" s="9"/>
      <c r="AA33" s="1"/>
      <c r="AB33" s="1"/>
      <c r="AC33" s="1"/>
      <c r="AD33" s="1"/>
      <c r="AE33" s="1"/>
    </row>
    <row r="34" spans="1:31">
      <c r="A34" s="1">
        <v>1</v>
      </c>
      <c r="B34" s="7">
        <v>7.9299999999999995E-2</v>
      </c>
      <c r="C34" s="2">
        <v>677.26499999999999</v>
      </c>
      <c r="D34" s="2">
        <v>65</v>
      </c>
      <c r="E34" s="2">
        <v>10.419461999999999</v>
      </c>
      <c r="F34" s="2">
        <v>8.2835940000000008</v>
      </c>
      <c r="G34" s="2">
        <v>6.5806E-8</v>
      </c>
      <c r="I34" s="1">
        <v>1</v>
      </c>
      <c r="J34" s="7">
        <v>7.9299999999999995E-2</v>
      </c>
      <c r="K34" s="2">
        <v>51899.985000000001</v>
      </c>
      <c r="L34" s="2">
        <v>75</v>
      </c>
      <c r="M34" s="2">
        <v>691.99980000000005</v>
      </c>
      <c r="N34" s="2">
        <v>81.663264999999996</v>
      </c>
      <c r="O34" s="2">
        <v>9.4296579999999999</v>
      </c>
      <c r="Q34" s="1">
        <v>1</v>
      </c>
      <c r="R34" s="7">
        <v>7.9299999999999995E-2</v>
      </c>
      <c r="S34">
        <v>1458.0909999999999</v>
      </c>
      <c r="T34">
        <v>80</v>
      </c>
      <c r="U34">
        <v>18.226137999999999</v>
      </c>
      <c r="V34">
        <v>12.761842</v>
      </c>
      <c r="W34">
        <v>2.915959</v>
      </c>
      <c r="Y34" s="1">
        <v>1</v>
      </c>
      <c r="Z34" s="7">
        <v>7.9299999999999995E-2</v>
      </c>
      <c r="AA34">
        <v>259934.42199999999</v>
      </c>
      <c r="AB34">
        <v>901</v>
      </c>
      <c r="AC34">
        <v>288.495474</v>
      </c>
      <c r="AD34">
        <v>140.060924</v>
      </c>
      <c r="AE34">
        <v>9.0107769999999991</v>
      </c>
    </row>
    <row r="35" spans="1:31">
      <c r="A35" s="1">
        <v>2</v>
      </c>
      <c r="B35" s="7">
        <v>6.1600000000000002E-2</v>
      </c>
      <c r="C35" s="2">
        <v>32.441000000000003</v>
      </c>
      <c r="D35" s="2">
        <v>67</v>
      </c>
      <c r="E35" s="2">
        <v>4.84194E-7</v>
      </c>
      <c r="F35" s="2">
        <v>4.7274100000000001E-7</v>
      </c>
      <c r="G35" s="2">
        <v>3.1519999999999999E-9</v>
      </c>
      <c r="I35" s="1">
        <v>2</v>
      </c>
      <c r="J35" s="7">
        <v>6.1600000000000002E-2</v>
      </c>
      <c r="K35" s="2">
        <v>19.242000000000001</v>
      </c>
      <c r="L35" s="2">
        <v>71</v>
      </c>
      <c r="M35" s="2">
        <v>2.7101399999999999E-7</v>
      </c>
      <c r="N35" s="2">
        <v>5.6140199999999999E-7</v>
      </c>
      <c r="O35" s="2">
        <v>3.4959999999999999E-9</v>
      </c>
      <c r="Q35" s="1">
        <v>2</v>
      </c>
      <c r="R35" s="7">
        <v>6.1600000000000002E-2</v>
      </c>
      <c r="S35">
        <v>39.311</v>
      </c>
      <c r="T35">
        <v>69</v>
      </c>
      <c r="U35">
        <v>5.6972500000000008E-7</v>
      </c>
      <c r="V35">
        <v>4.7860000000000006E-7</v>
      </c>
      <c r="W35">
        <v>7.8616000000000007E-8</v>
      </c>
      <c r="Y35" s="1">
        <v>2</v>
      </c>
      <c r="Z35" s="7">
        <v>6.1600000000000002E-2</v>
      </c>
      <c r="AA35">
        <v>385.49400000000003</v>
      </c>
      <c r="AB35">
        <v>631</v>
      </c>
      <c r="AC35">
        <v>6.1092599999999992E-7</v>
      </c>
      <c r="AD35">
        <v>4.5235300000000003E-7</v>
      </c>
      <c r="AE35">
        <v>1.3363E-8</v>
      </c>
    </row>
    <row r="36" spans="1:31">
      <c r="A36" s="1">
        <v>3</v>
      </c>
      <c r="B36" s="7">
        <v>9.0300000000000005E-2</v>
      </c>
      <c r="C36" s="2">
        <v>24951.17</v>
      </c>
      <c r="D36" s="2">
        <v>98</v>
      </c>
      <c r="E36" s="2">
        <v>254.60377600000001</v>
      </c>
      <c r="F36" s="2">
        <v>356.67767199999997</v>
      </c>
      <c r="G36" s="2">
        <v>2.4243700000000001</v>
      </c>
      <c r="I36" s="1">
        <v>3</v>
      </c>
      <c r="J36" s="7">
        <v>9.0300000000000005E-2</v>
      </c>
      <c r="K36" s="2">
        <v>1580.1959999999999</v>
      </c>
      <c r="L36" s="2">
        <v>100</v>
      </c>
      <c r="M36" s="2">
        <v>15.801959999999999</v>
      </c>
      <c r="N36" s="2">
        <v>15.437245000000001</v>
      </c>
      <c r="O36" s="2">
        <v>2.8710400000000003E-7</v>
      </c>
      <c r="Q36" s="1">
        <v>3</v>
      </c>
      <c r="R36" s="7">
        <v>9.0300000000000005E-2</v>
      </c>
      <c r="S36">
        <v>12340.065000000001</v>
      </c>
      <c r="T36">
        <v>115</v>
      </c>
      <c r="U36">
        <v>107.304913</v>
      </c>
      <c r="V36">
        <v>145.87512699999999</v>
      </c>
      <c r="W36">
        <v>24.678239000000001</v>
      </c>
      <c r="Y36" s="1">
        <v>3</v>
      </c>
      <c r="Z36" s="7">
        <v>9.0300000000000005E-2</v>
      </c>
      <c r="AA36">
        <v>51349.296999999999</v>
      </c>
      <c r="AB36">
        <v>918</v>
      </c>
      <c r="AC36">
        <v>55.936053000000001</v>
      </c>
      <c r="AD36">
        <v>108.343593</v>
      </c>
      <c r="AE36">
        <v>1.7800530000000001</v>
      </c>
    </row>
    <row r="37" spans="1:31">
      <c r="A37" s="1">
        <v>4</v>
      </c>
      <c r="B37" s="7">
        <v>7.6700000000000004E-2</v>
      </c>
      <c r="C37" s="2">
        <v>82973.376999999993</v>
      </c>
      <c r="D37" s="2">
        <v>84</v>
      </c>
      <c r="E37" s="2">
        <v>987.77829799999995</v>
      </c>
      <c r="F37" s="2">
        <v>334.42307799999998</v>
      </c>
      <c r="G37" s="2">
        <v>8.0620729999999998</v>
      </c>
      <c r="I37" s="1">
        <v>4</v>
      </c>
      <c r="J37" s="7">
        <v>7.6700000000000004E-2</v>
      </c>
      <c r="K37" s="2">
        <v>23499.771000000001</v>
      </c>
      <c r="L37" s="2">
        <v>79</v>
      </c>
      <c r="M37" s="2">
        <v>297.46545600000002</v>
      </c>
      <c r="N37" s="2">
        <v>671.28152599999999</v>
      </c>
      <c r="O37" s="2">
        <v>4.2696509999999996</v>
      </c>
      <c r="Q37" s="1">
        <v>4</v>
      </c>
      <c r="R37" s="7">
        <v>7.6700000000000004E-2</v>
      </c>
      <c r="S37">
        <v>521.71600000000001</v>
      </c>
      <c r="T37">
        <v>75</v>
      </c>
      <c r="U37">
        <v>6.956213</v>
      </c>
      <c r="V37">
        <v>14.32982</v>
      </c>
      <c r="W37">
        <v>1.0433520000000001</v>
      </c>
      <c r="Y37" s="1">
        <v>4</v>
      </c>
      <c r="Z37" s="7">
        <v>7.6700000000000004E-2</v>
      </c>
      <c r="AA37">
        <v>807973.76100000006</v>
      </c>
      <c r="AB37">
        <v>766</v>
      </c>
      <c r="AC37">
        <v>1054.7960330000001</v>
      </c>
      <c r="AD37">
        <v>401.768349</v>
      </c>
      <c r="AE37">
        <v>28.008879</v>
      </c>
    </row>
    <row r="38" spans="1:31">
      <c r="A38" s="1">
        <v>5</v>
      </c>
      <c r="B38" s="7">
        <v>1.4200000000000001E-2</v>
      </c>
      <c r="C38" s="2">
        <v>4.08E-4</v>
      </c>
      <c r="D38" s="2">
        <v>14</v>
      </c>
      <c r="E38" s="2">
        <v>2.9142999999999998E-8</v>
      </c>
      <c r="F38" s="2">
        <v>5.5589999999999995E-9</v>
      </c>
      <c r="G38" s="2">
        <v>4.0000000000000004E-11</v>
      </c>
      <c r="I38" s="1">
        <v>5</v>
      </c>
      <c r="J38" s="7">
        <v>1.4200000000000001E-2</v>
      </c>
      <c r="K38" s="2">
        <v>3.8500000000000003E-4</v>
      </c>
      <c r="L38" s="2">
        <v>13</v>
      </c>
      <c r="M38" s="2">
        <v>2.9614999999999998E-8</v>
      </c>
      <c r="N38" s="2">
        <v>8.5880000000000005E-9</v>
      </c>
      <c r="O38" s="2">
        <v>6.9999999999999991E-11</v>
      </c>
      <c r="Q38" s="1">
        <v>5</v>
      </c>
      <c r="R38" s="7">
        <v>1.4200000000000001E-2</v>
      </c>
      <c r="S38">
        <v>4.7399999999999997E-4</v>
      </c>
      <c r="T38">
        <v>16</v>
      </c>
      <c r="U38">
        <v>2.9624999999999999E-8</v>
      </c>
      <c r="V38">
        <v>2.3799E-8</v>
      </c>
      <c r="W38">
        <v>9.4800000000000004E-10</v>
      </c>
      <c r="Y38" s="1">
        <v>5</v>
      </c>
      <c r="Z38" s="7">
        <v>1.4200000000000001E-2</v>
      </c>
      <c r="AA38">
        <v>2.5289999999999999</v>
      </c>
      <c r="AB38">
        <v>148</v>
      </c>
      <c r="AC38">
        <v>1.7088000000000001E-8</v>
      </c>
      <c r="AD38">
        <v>1.0876000000000001E-8</v>
      </c>
      <c r="AE38">
        <v>8.7999999999999993E-11</v>
      </c>
    </row>
    <row r="39" spans="1:31">
      <c r="A39" s="1">
        <v>6</v>
      </c>
      <c r="B39" s="7">
        <v>0.38009999999999999</v>
      </c>
      <c r="C39" s="2">
        <v>54.573999999999998</v>
      </c>
      <c r="D39" s="2">
        <v>415</v>
      </c>
      <c r="E39" s="2">
        <v>1.3150400000000001E-7</v>
      </c>
      <c r="F39" s="2">
        <v>1.1376899999999999E-7</v>
      </c>
      <c r="G39" s="2">
        <v>5.3030000000000004E-9</v>
      </c>
      <c r="I39" s="1">
        <v>6</v>
      </c>
      <c r="J39" s="7">
        <v>0.38009999999999999</v>
      </c>
      <c r="K39" s="2">
        <v>70.576999999999998</v>
      </c>
      <c r="L39" s="2">
        <v>389</v>
      </c>
      <c r="M39" s="2">
        <v>1.8143200000000001E-7</v>
      </c>
      <c r="N39" s="2">
        <v>1.6826E-7</v>
      </c>
      <c r="O39" s="2">
        <v>1.2823E-8</v>
      </c>
      <c r="Q39" s="1">
        <v>6</v>
      </c>
      <c r="R39" s="7">
        <v>0.38009999999999999</v>
      </c>
      <c r="S39">
        <v>83.435000000000002</v>
      </c>
      <c r="T39">
        <v>390</v>
      </c>
      <c r="U39">
        <v>2.1393599999999999E-7</v>
      </c>
      <c r="V39">
        <v>1.78529E-7</v>
      </c>
      <c r="W39">
        <v>1.66857E-7</v>
      </c>
      <c r="Y39" s="1">
        <v>6</v>
      </c>
      <c r="Z39" s="7">
        <v>0.38009999999999999</v>
      </c>
      <c r="AA39">
        <v>683.84100000000001</v>
      </c>
      <c r="AB39">
        <v>4032</v>
      </c>
      <c r="AC39">
        <v>1.6960300000000001E-7</v>
      </c>
      <c r="AD39">
        <v>9.9705000000000005E-8</v>
      </c>
      <c r="AE39">
        <v>2.3706000000000001E-8</v>
      </c>
    </row>
    <row r="40" spans="1:31">
      <c r="A40" s="1">
        <v>7</v>
      </c>
      <c r="B40" s="7">
        <v>4.53E-2</v>
      </c>
      <c r="C40" s="2">
        <v>772960.27500000002</v>
      </c>
      <c r="D40" s="2">
        <v>40</v>
      </c>
      <c r="E40" s="2">
        <v>19324.006874999999</v>
      </c>
      <c r="F40" s="2">
        <v>7442.785758</v>
      </c>
      <c r="G40" s="2">
        <v>75.104356999999993</v>
      </c>
      <c r="I40" s="1">
        <v>7</v>
      </c>
      <c r="J40" s="7">
        <v>4.53E-2</v>
      </c>
      <c r="K40" s="2">
        <v>358213.60700000002</v>
      </c>
      <c r="L40" s="2">
        <v>53</v>
      </c>
      <c r="M40" s="2">
        <v>6758.7473019999998</v>
      </c>
      <c r="N40" s="2">
        <v>2403.9389409999999</v>
      </c>
      <c r="O40" s="2">
        <v>65.083482000000004</v>
      </c>
      <c r="Q40" s="1">
        <v>7</v>
      </c>
      <c r="R40" s="7">
        <v>4.53E-2</v>
      </c>
      <c r="S40">
        <v>18131.53</v>
      </c>
      <c r="T40">
        <v>48</v>
      </c>
      <c r="U40">
        <v>377.740208</v>
      </c>
      <c r="V40">
        <v>782.17475400000001</v>
      </c>
      <c r="W40">
        <v>36.260280999999999</v>
      </c>
      <c r="Y40" s="1">
        <v>7</v>
      </c>
      <c r="Z40" s="7">
        <v>4.53E-2</v>
      </c>
      <c r="AA40">
        <v>1199798.8670000001</v>
      </c>
      <c r="AB40">
        <v>446</v>
      </c>
      <c r="AC40">
        <v>2690.131989</v>
      </c>
      <c r="AD40">
        <v>3691.9875069999998</v>
      </c>
      <c r="AE40">
        <v>41.591723000000002</v>
      </c>
    </row>
    <row r="41" spans="1:31">
      <c r="A41" s="1">
        <v>8</v>
      </c>
      <c r="B41" s="7">
        <v>8.2000000000000003E-2</v>
      </c>
      <c r="C41" s="2">
        <v>11.648</v>
      </c>
      <c r="D41" s="2">
        <v>77</v>
      </c>
      <c r="E41" s="2">
        <v>1.5127299999999998E-7</v>
      </c>
      <c r="F41" s="2">
        <v>1.01089E-7</v>
      </c>
      <c r="G41" s="2">
        <v>1.132E-9</v>
      </c>
      <c r="I41" s="1">
        <v>8</v>
      </c>
      <c r="J41" s="7">
        <v>8.2000000000000003E-2</v>
      </c>
      <c r="K41" s="2">
        <v>13.765000000000001</v>
      </c>
      <c r="L41" s="2">
        <v>78</v>
      </c>
      <c r="M41" s="2">
        <v>1.76474E-7</v>
      </c>
      <c r="N41" s="2">
        <v>1.8353600000000001E-7</v>
      </c>
      <c r="O41" s="2">
        <v>2.5010000000000004E-9</v>
      </c>
      <c r="Q41" s="1">
        <v>8</v>
      </c>
      <c r="R41" s="7">
        <v>8.2000000000000003E-2</v>
      </c>
      <c r="S41">
        <v>15.606999999999999</v>
      </c>
      <c r="T41">
        <v>75</v>
      </c>
      <c r="U41">
        <v>2.0809300000000001E-7</v>
      </c>
      <c r="V41">
        <v>1.6196300000000001E-7</v>
      </c>
      <c r="W41">
        <v>3.1212000000000002E-8</v>
      </c>
      <c r="Y41" s="1">
        <v>8</v>
      </c>
      <c r="Z41" s="7">
        <v>8.2000000000000003E-2</v>
      </c>
      <c r="AA41">
        <v>48.006</v>
      </c>
      <c r="AB41">
        <v>832</v>
      </c>
      <c r="AC41">
        <v>5.7700000000000001E-8</v>
      </c>
      <c r="AD41">
        <v>3.0587000000000001E-8</v>
      </c>
      <c r="AE41">
        <v>1.6639999999999998E-9</v>
      </c>
    </row>
    <row r="42" spans="1:31">
      <c r="A42" s="1">
        <v>9</v>
      </c>
      <c r="B42" s="7">
        <v>6.1000000000000004E-3</v>
      </c>
      <c r="C42" s="2">
        <v>14899.731</v>
      </c>
      <c r="D42" s="2">
        <v>5</v>
      </c>
      <c r="E42" s="2">
        <v>2979.9461999999999</v>
      </c>
      <c r="F42" s="2">
        <v>728.64027799999997</v>
      </c>
      <c r="G42" s="2">
        <v>1.4477260000000001</v>
      </c>
      <c r="I42" s="1">
        <v>9</v>
      </c>
      <c r="J42" s="7">
        <v>6.1000000000000004E-3</v>
      </c>
      <c r="K42" s="2">
        <v>21543.946</v>
      </c>
      <c r="L42" s="2">
        <v>6</v>
      </c>
      <c r="M42" s="11">
        <v>3590.6576669999999</v>
      </c>
      <c r="N42" s="2">
        <v>1168.2414229999999</v>
      </c>
      <c r="O42" s="2">
        <v>3.9142990000000002</v>
      </c>
      <c r="Q42" s="1">
        <v>9</v>
      </c>
      <c r="R42" s="7">
        <v>6.1000000000000004E-3</v>
      </c>
      <c r="S42">
        <v>2542.0300000000002</v>
      </c>
      <c r="T42">
        <v>10</v>
      </c>
      <c r="U42" s="11">
        <v>254.203</v>
      </c>
      <c r="V42">
        <v>641.07768199999998</v>
      </c>
      <c r="W42">
        <v>5.0836699999999997</v>
      </c>
      <c r="Y42" s="1">
        <v>9</v>
      </c>
      <c r="Z42" s="7">
        <v>6.1000000000000004E-3</v>
      </c>
      <c r="AA42">
        <v>101159.698</v>
      </c>
      <c r="AB42">
        <v>69</v>
      </c>
      <c r="AC42" s="2">
        <v>1466.08258</v>
      </c>
      <c r="AD42">
        <v>2389.029857</v>
      </c>
      <c r="AE42">
        <v>3.5067599999999999</v>
      </c>
    </row>
    <row r="43" spans="1:31">
      <c r="A43" s="1">
        <v>10</v>
      </c>
      <c r="B43" s="7">
        <v>5.4999999999999997E-3</v>
      </c>
      <c r="C43" s="2">
        <v>12877.596</v>
      </c>
      <c r="D43" s="2">
        <v>5</v>
      </c>
      <c r="E43" s="2">
        <v>2575.5192000000002</v>
      </c>
      <c r="F43" s="2">
        <v>384.58791600000001</v>
      </c>
      <c r="G43" s="2">
        <v>1.2512460000000001</v>
      </c>
      <c r="I43" s="1">
        <v>10</v>
      </c>
      <c r="J43" s="7">
        <v>5.4999999999999997E-3</v>
      </c>
      <c r="K43" s="2">
        <v>16404.585999999999</v>
      </c>
      <c r="L43" s="2">
        <v>5</v>
      </c>
      <c r="M43" s="2">
        <v>3280.9171999999999</v>
      </c>
      <c r="N43" s="2">
        <v>964.41263900000001</v>
      </c>
      <c r="O43" s="2">
        <v>2.9805329999999999</v>
      </c>
      <c r="Q43" s="1">
        <v>10</v>
      </c>
      <c r="R43" s="7">
        <v>5.4999999999999997E-3</v>
      </c>
      <c r="S43">
        <v>158.011</v>
      </c>
      <c r="T43">
        <v>4</v>
      </c>
      <c r="U43">
        <v>39.502749999999999</v>
      </c>
      <c r="V43">
        <v>16.667940000000002</v>
      </c>
      <c r="W43">
        <v>3.1599800000000002E-7</v>
      </c>
      <c r="Y43" s="1">
        <v>10</v>
      </c>
      <c r="Z43" s="7">
        <v>5.4999999999999997E-3</v>
      </c>
      <c r="AA43">
        <v>48440.343999999997</v>
      </c>
      <c r="AB43">
        <v>74</v>
      </c>
      <c r="AC43">
        <v>654.599243</v>
      </c>
      <c r="AD43">
        <v>473.79763600000001</v>
      </c>
      <c r="AE43">
        <v>1.6792130000000001</v>
      </c>
    </row>
    <row r="44" spans="1:31">
      <c r="A44" s="1">
        <v>11</v>
      </c>
      <c r="B44" s="7">
        <v>9.7000000000000003E-3</v>
      </c>
      <c r="C44" s="2">
        <v>22784.842000000001</v>
      </c>
      <c r="D44" s="2">
        <v>14</v>
      </c>
      <c r="E44" s="2">
        <v>1627.4887140000001</v>
      </c>
      <c r="F44" s="2">
        <v>20.023875</v>
      </c>
      <c r="G44" s="2">
        <v>2.2138789999999999</v>
      </c>
      <c r="I44" s="1">
        <v>11</v>
      </c>
      <c r="J44" s="7">
        <v>9.7000000000000003E-3</v>
      </c>
      <c r="K44" s="2">
        <v>7472.25</v>
      </c>
      <c r="L44" s="2">
        <v>9</v>
      </c>
      <c r="M44" s="2">
        <v>830.25</v>
      </c>
      <c r="N44" s="2">
        <v>19.940591999999999</v>
      </c>
      <c r="O44" s="2">
        <v>1.357626</v>
      </c>
      <c r="Q44" s="1">
        <v>11</v>
      </c>
      <c r="R44" s="7">
        <v>9.7000000000000003E-3</v>
      </c>
      <c r="S44">
        <v>80.415000000000006</v>
      </c>
      <c r="T44">
        <v>7</v>
      </c>
      <c r="U44">
        <v>11.487857</v>
      </c>
      <c r="V44">
        <v>6.2657980000000002</v>
      </c>
      <c r="W44">
        <v>1.6081799999999998E-7</v>
      </c>
      <c r="Y44" s="1">
        <v>11</v>
      </c>
      <c r="Z44" s="7">
        <v>9.7000000000000003E-3</v>
      </c>
      <c r="AA44">
        <v>45476.998</v>
      </c>
      <c r="AB44">
        <v>101</v>
      </c>
      <c r="AC44">
        <v>450.26730700000002</v>
      </c>
      <c r="AD44">
        <v>9.6609499999999997</v>
      </c>
      <c r="AE44">
        <v>1.5764860000000001</v>
      </c>
    </row>
    <row r="45" spans="1:31">
      <c r="A45" s="1">
        <v>12</v>
      </c>
      <c r="B45" s="7">
        <v>6.1999999999999998E-3</v>
      </c>
      <c r="C45" s="2">
        <v>31841.401000000002</v>
      </c>
      <c r="D45" s="2">
        <v>9</v>
      </c>
      <c r="E45" s="2">
        <v>3537.9334439999998</v>
      </c>
      <c r="F45" s="2">
        <v>1013.381292</v>
      </c>
      <c r="G45" s="2">
        <v>3.0938560000000002</v>
      </c>
      <c r="I45" s="1">
        <v>12</v>
      </c>
      <c r="J45" s="7">
        <v>6.1999999999999998E-3</v>
      </c>
      <c r="K45" s="2">
        <v>39964.139000000003</v>
      </c>
      <c r="L45" s="2">
        <v>9</v>
      </c>
      <c r="M45" s="2">
        <v>4440.4598889999997</v>
      </c>
      <c r="N45" s="2">
        <v>740.67542700000001</v>
      </c>
      <c r="O45" s="2">
        <v>7.2610460000000003</v>
      </c>
      <c r="Q45" s="1">
        <v>12</v>
      </c>
      <c r="R45" s="7">
        <v>6.1999999999999998E-3</v>
      </c>
      <c r="S45">
        <v>490.41699999999997</v>
      </c>
      <c r="T45">
        <v>6</v>
      </c>
      <c r="U45">
        <v>81.736166999999995</v>
      </c>
      <c r="V45">
        <v>12.606175</v>
      </c>
      <c r="W45">
        <v>9.8075900000000013E-7</v>
      </c>
      <c r="Y45" s="1">
        <v>12</v>
      </c>
      <c r="Z45" s="7">
        <v>6.1999999999999998E-3</v>
      </c>
      <c r="AA45">
        <v>86343</v>
      </c>
      <c r="AB45">
        <v>77</v>
      </c>
      <c r="AC45">
        <v>1121.3376619999999</v>
      </c>
      <c r="AD45">
        <v>511.721317</v>
      </c>
      <c r="AE45">
        <v>2.9931299999999998</v>
      </c>
    </row>
    <row r="46" spans="1:31">
      <c r="A46" s="1">
        <v>13</v>
      </c>
      <c r="B46" s="7">
        <v>6.1000000000000004E-3</v>
      </c>
      <c r="C46" s="2">
        <v>65032.997000000003</v>
      </c>
      <c r="D46" s="2">
        <v>5</v>
      </c>
      <c r="E46" s="2">
        <v>13006.599399999999</v>
      </c>
      <c r="F46" s="2">
        <v>2386.8109669999999</v>
      </c>
      <c r="G46" s="2">
        <v>6.3189039999999999</v>
      </c>
      <c r="I46" s="1">
        <v>13</v>
      </c>
      <c r="J46" s="7">
        <v>6.1000000000000004E-3</v>
      </c>
      <c r="K46" s="2">
        <v>29524.234</v>
      </c>
      <c r="L46" s="2">
        <v>6</v>
      </c>
      <c r="M46" s="2">
        <v>4920.7056670000002</v>
      </c>
      <c r="N46" s="2">
        <v>1076.259916</v>
      </c>
      <c r="O46" s="2">
        <v>5.3642289999999999</v>
      </c>
      <c r="Q46" s="1">
        <v>13</v>
      </c>
      <c r="R46" s="7">
        <v>6.1000000000000004E-3</v>
      </c>
      <c r="S46">
        <v>14125.422</v>
      </c>
      <c r="T46">
        <v>6</v>
      </c>
      <c r="U46">
        <v>2354.2370000000001</v>
      </c>
      <c r="V46">
        <v>2714.4491750000002</v>
      </c>
      <c r="W46">
        <v>28.248678999999999</v>
      </c>
      <c r="Y46" s="1">
        <v>13</v>
      </c>
      <c r="Z46" s="7">
        <v>6.1000000000000004E-3</v>
      </c>
      <c r="AA46">
        <v>282130.57799999998</v>
      </c>
      <c r="AB46">
        <v>56</v>
      </c>
      <c r="AC46">
        <v>5038.0460359999997</v>
      </c>
      <c r="AD46">
        <v>7920.8931750000002</v>
      </c>
      <c r="AE46">
        <v>9.7802199999999999</v>
      </c>
    </row>
    <row r="47" spans="1:31">
      <c r="A47" s="1">
        <v>14</v>
      </c>
      <c r="B47" s="7">
        <v>1.6199999999999999E-2</v>
      </c>
      <c r="C47" s="2">
        <v>75.962999999999994</v>
      </c>
      <c r="D47" s="2">
        <v>15</v>
      </c>
      <c r="E47" s="2">
        <v>5.0641999999999996</v>
      </c>
      <c r="F47" s="2">
        <v>3.7441529999999998</v>
      </c>
      <c r="G47" s="2">
        <v>7.3810000000000001E-9</v>
      </c>
      <c r="I47" s="1">
        <v>14</v>
      </c>
      <c r="J47" s="7">
        <v>1.6199999999999999E-2</v>
      </c>
      <c r="K47" s="2">
        <v>176.43100000000001</v>
      </c>
      <c r="L47" s="2">
        <v>32</v>
      </c>
      <c r="M47" s="2">
        <v>5.5134689999999997</v>
      </c>
      <c r="N47" s="2">
        <v>5.4869279999999998</v>
      </c>
      <c r="O47" s="2">
        <v>3.2055999999999999E-8</v>
      </c>
      <c r="Q47" s="1">
        <v>14</v>
      </c>
      <c r="R47" s="7">
        <v>1.6199999999999999E-2</v>
      </c>
      <c r="S47">
        <v>9.8469999999999995</v>
      </c>
      <c r="T47">
        <v>14</v>
      </c>
      <c r="U47">
        <v>7.0335699999999999E-7</v>
      </c>
      <c r="V47">
        <v>1.298154</v>
      </c>
      <c r="W47">
        <v>1.9692000000000002E-8</v>
      </c>
      <c r="Y47" s="1">
        <v>14</v>
      </c>
      <c r="Z47" s="7">
        <v>1.6199999999999999E-2</v>
      </c>
      <c r="AA47">
        <v>909.86800000000005</v>
      </c>
      <c r="AB47">
        <v>174</v>
      </c>
      <c r="AC47">
        <v>5.2291259999999999</v>
      </c>
      <c r="AD47">
        <v>4.6961149999999998</v>
      </c>
      <c r="AE47">
        <v>3.1540999999999998E-8</v>
      </c>
    </row>
    <row r="48" spans="1:31">
      <c r="A48" s="1">
        <v>15</v>
      </c>
      <c r="B48" s="7">
        <v>7.6899999999999996E-2</v>
      </c>
      <c r="C48" s="2">
        <v>7.9880000000000004</v>
      </c>
      <c r="D48" s="2">
        <v>87</v>
      </c>
      <c r="E48" s="2">
        <v>9.1815999999999993E-8</v>
      </c>
      <c r="F48" s="2">
        <v>5.0472999999999998E-8</v>
      </c>
      <c r="G48" s="2">
        <v>7.7600000000000001E-10</v>
      </c>
      <c r="I48" s="1">
        <v>15</v>
      </c>
      <c r="J48" s="7">
        <v>7.6899999999999996E-2</v>
      </c>
      <c r="K48" s="2">
        <v>7.8540000000000001</v>
      </c>
      <c r="L48" s="2">
        <v>75</v>
      </c>
      <c r="M48" s="2">
        <v>1.0471999999999999E-7</v>
      </c>
      <c r="N48" s="2">
        <v>7.9217000000000001E-8</v>
      </c>
      <c r="O48" s="2">
        <v>1.4270000000000001E-9</v>
      </c>
      <c r="Q48" s="1">
        <v>15</v>
      </c>
      <c r="R48" s="7">
        <v>7.6899999999999996E-2</v>
      </c>
      <c r="S48">
        <v>7.4610000000000003</v>
      </c>
      <c r="T48">
        <v>85</v>
      </c>
      <c r="U48">
        <v>8.7776000000000005E-8</v>
      </c>
      <c r="V48">
        <v>6.4220000000000002E-8</v>
      </c>
      <c r="W48">
        <v>1.4921000000000002E-8</v>
      </c>
      <c r="Y48" s="1">
        <v>15</v>
      </c>
      <c r="Z48" s="7">
        <v>7.6899999999999996E-2</v>
      </c>
      <c r="AA48">
        <v>69.153999999999996</v>
      </c>
      <c r="AB48">
        <v>775</v>
      </c>
      <c r="AC48">
        <v>8.9231E-8</v>
      </c>
      <c r="AD48">
        <v>5.2707999999999998E-8</v>
      </c>
      <c r="AE48">
        <v>2.3969999999999999E-9</v>
      </c>
    </row>
    <row r="49" spans="5:29">
      <c r="E49" s="10">
        <f>SUMPRODUCT(B34:B48,E34:E48)</f>
        <v>1124.4442429817898</v>
      </c>
      <c r="M49" s="10">
        <f>SUMPRODUCT(J34:J48,M34:M48)</f>
        <v>490.92730993940114</v>
      </c>
      <c r="U49" s="10">
        <f>SUMPRODUCT(R34:R48,U34:U48)</f>
        <v>45.527085072140785</v>
      </c>
      <c r="AC49" s="10">
        <f>SUMPRODUCT(Z34:Z48,AC34:AC48)</f>
        <v>285.37463023843503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56F6-0B6F-48F2-BBBB-E0CC77A83875}">
  <dimension ref="A1:O24"/>
  <sheetViews>
    <sheetView topLeftCell="B1" zoomScale="130" zoomScaleNormal="130" workbookViewId="0">
      <selection activeCell="J14" sqref="J14"/>
    </sheetView>
  </sheetViews>
  <sheetFormatPr defaultColWidth="8.75" defaultRowHeight="14"/>
  <cols>
    <col min="1" max="1" width="15.33203125" style="12" bestFit="1" customWidth="1"/>
    <col min="2" max="2" width="12.08203125" style="12" bestFit="1" customWidth="1"/>
    <col min="3" max="3" width="13.83203125" style="12" bestFit="1" customWidth="1"/>
    <col min="4" max="4" width="15.08203125" style="12" customWidth="1"/>
    <col min="5" max="5" width="3" style="12" customWidth="1"/>
    <col min="6" max="6" width="14" style="12" bestFit="1" customWidth="1"/>
    <col min="7" max="7" width="15" style="12" customWidth="1"/>
    <col min="8" max="8" width="14.75" style="12" bestFit="1" customWidth="1"/>
    <col min="9" max="9" width="13.33203125" style="12" customWidth="1"/>
    <col min="10" max="10" width="3.08203125" style="12" customWidth="1"/>
    <col min="11" max="11" width="22.08203125" style="12" bestFit="1" customWidth="1"/>
    <col min="12" max="12" width="11.08203125" style="12" bestFit="1" customWidth="1"/>
    <col min="13" max="13" width="11.25" style="12" bestFit="1" customWidth="1"/>
    <col min="14" max="15" width="9.25" style="12" bestFit="1" customWidth="1"/>
    <col min="16" max="16" width="21.25" style="12" bestFit="1" customWidth="1"/>
    <col min="17" max="17" width="11.08203125" style="12" bestFit="1" customWidth="1"/>
    <col min="18" max="18" width="11.25" style="12" bestFit="1" customWidth="1"/>
    <col min="19" max="20" width="9.25" style="12" bestFit="1" customWidth="1"/>
    <col min="21" max="16384" width="8.75" style="12"/>
  </cols>
  <sheetData>
    <row r="1" spans="1:15" ht="28">
      <c r="A1" s="13" t="s">
        <v>22</v>
      </c>
      <c r="C1" s="19" t="s">
        <v>13</v>
      </c>
      <c r="D1" s="23" t="s">
        <v>35</v>
      </c>
      <c r="E1" s="13"/>
    </row>
    <row r="2" spans="1:15">
      <c r="A2" s="12" t="s">
        <v>23</v>
      </c>
      <c r="C2" s="12">
        <v>10000</v>
      </c>
      <c r="D2" s="12">
        <v>50333</v>
      </c>
    </row>
    <row r="3" spans="1:15">
      <c r="A3" s="12" t="s">
        <v>24</v>
      </c>
      <c r="C3" s="12">
        <v>10000</v>
      </c>
      <c r="D3" s="12">
        <v>1489126</v>
      </c>
    </row>
    <row r="4" spans="1:15">
      <c r="A4" s="12" t="s">
        <v>25</v>
      </c>
      <c r="C4" s="12">
        <v>10000</v>
      </c>
      <c r="D4" s="12">
        <v>3623390</v>
      </c>
    </row>
    <row r="6" spans="1:15" ht="42">
      <c r="A6" s="13" t="s">
        <v>36</v>
      </c>
      <c r="B6" s="13" t="s">
        <v>16</v>
      </c>
      <c r="C6" s="13" t="s">
        <v>39</v>
      </c>
      <c r="D6" s="13" t="s">
        <v>38</v>
      </c>
      <c r="E6" s="13"/>
      <c r="F6" s="13" t="s">
        <v>40</v>
      </c>
      <c r="G6" s="13" t="s">
        <v>41</v>
      </c>
      <c r="K6" s="13" t="s">
        <v>44</v>
      </c>
      <c r="L6" s="13" t="s">
        <v>31</v>
      </c>
      <c r="M6" s="13" t="s">
        <v>32</v>
      </c>
      <c r="N6" s="13" t="s">
        <v>33</v>
      </c>
      <c r="O6" s="13" t="s">
        <v>34</v>
      </c>
    </row>
    <row r="7" spans="1:15">
      <c r="A7" s="12" t="s">
        <v>14</v>
      </c>
      <c r="B7" s="14">
        <f>'Query 2x'!E30</f>
        <v>60.175215080336883</v>
      </c>
      <c r="C7" s="20">
        <f>$B7*C$3/1000</f>
        <v>601.75215080336886</v>
      </c>
      <c r="D7" s="22">
        <f>$B7*D$3/1000</f>
        <v>89608.477331721733</v>
      </c>
      <c r="E7" s="25"/>
      <c r="F7" s="21">
        <f>C7/60</f>
        <v>10.029202513389482</v>
      </c>
      <c r="G7" s="24">
        <f>D7/60</f>
        <v>1493.4746221953621</v>
      </c>
      <c r="H7" s="16"/>
      <c r="I7" s="16"/>
      <c r="J7" s="16"/>
    </row>
    <row r="8" spans="1:15">
      <c r="A8" s="12" t="s">
        <v>15</v>
      </c>
      <c r="B8" s="14">
        <f>'Query 2x'!M30</f>
        <v>1.4542145384370246</v>
      </c>
      <c r="C8" s="20">
        <f>$B8*C$3/1000</f>
        <v>14.542145384370246</v>
      </c>
      <c r="D8" s="22">
        <f>$B8*D$3/1000</f>
        <v>2165.5086787645728</v>
      </c>
      <c r="E8" s="25"/>
      <c r="F8" s="21">
        <f>C8/60</f>
        <v>0.24236908973950408</v>
      </c>
      <c r="G8" s="24">
        <f>D8/60</f>
        <v>36.091811312742877</v>
      </c>
      <c r="H8" s="16"/>
      <c r="I8" s="16"/>
      <c r="J8" s="16"/>
      <c r="K8" s="12">
        <v>127.1</v>
      </c>
      <c r="L8" s="17">
        <f>K8*$D$24</f>
        <v>782300.5</v>
      </c>
      <c r="M8" s="15">
        <f>L8/60</f>
        <v>13038.341666666667</v>
      </c>
      <c r="N8" s="15">
        <f>M8/60</f>
        <v>217.30569444444444</v>
      </c>
      <c r="O8" s="15">
        <f>N8/24</f>
        <v>9.054403935185185</v>
      </c>
    </row>
    <row r="10" spans="1:15" ht="42">
      <c r="A10" s="13" t="s">
        <v>37</v>
      </c>
      <c r="B10" s="13" t="s">
        <v>16</v>
      </c>
      <c r="C10" s="13" t="s">
        <v>39</v>
      </c>
      <c r="D10" s="13" t="s">
        <v>38</v>
      </c>
      <c r="E10" s="13"/>
      <c r="F10" s="13" t="s">
        <v>40</v>
      </c>
      <c r="G10" s="13" t="s">
        <v>41</v>
      </c>
      <c r="H10" s="13" t="s">
        <v>42</v>
      </c>
      <c r="I10" s="13" t="s">
        <v>43</v>
      </c>
      <c r="J10" s="13"/>
      <c r="K10" s="13" t="s">
        <v>45</v>
      </c>
      <c r="L10" s="13" t="s">
        <v>31</v>
      </c>
      <c r="M10" s="13" t="s">
        <v>32</v>
      </c>
      <c r="N10" s="13" t="s">
        <v>33</v>
      </c>
      <c r="O10" s="13" t="s">
        <v>34</v>
      </c>
    </row>
    <row r="11" spans="1:15">
      <c r="A11" s="12" t="s">
        <v>17</v>
      </c>
      <c r="B11" s="14">
        <f>'Query 2x'!E49</f>
        <v>1124.4442429817898</v>
      </c>
      <c r="C11" s="20">
        <f t="shared" ref="C11:D13" si="0">$B11*C$4/1000</f>
        <v>11244.442429817898</v>
      </c>
      <c r="D11" s="22">
        <f t="shared" si="0"/>
        <v>4074300.0255777873</v>
      </c>
      <c r="E11" s="25"/>
      <c r="F11" s="21">
        <f t="shared" ref="F11:G13" si="1">C11/60</f>
        <v>187.4073738302983</v>
      </c>
      <c r="G11" s="24">
        <f t="shared" si="1"/>
        <v>67905.00042629645</v>
      </c>
      <c r="H11" s="24">
        <f>G11/60</f>
        <v>1131.7500071049408</v>
      </c>
      <c r="I11" s="24">
        <f>H11/24</f>
        <v>47.156250296039197</v>
      </c>
      <c r="J11" s="16"/>
      <c r="K11" s="18"/>
      <c r="L11" s="18"/>
      <c r="M11" s="18"/>
      <c r="N11" s="18"/>
      <c r="O11" s="18"/>
    </row>
    <row r="12" spans="1:15">
      <c r="A12" s="12" t="s">
        <v>18</v>
      </c>
      <c r="B12" s="14">
        <f>'Query 2x'!M49</f>
        <v>490.92730993940114</v>
      </c>
      <c r="C12" s="20">
        <f t="shared" si="0"/>
        <v>4909.2730993940113</v>
      </c>
      <c r="D12" s="22">
        <f t="shared" si="0"/>
        <v>1778821.1055613267</v>
      </c>
      <c r="E12" s="25"/>
      <c r="F12" s="21">
        <f t="shared" si="1"/>
        <v>81.821218323233524</v>
      </c>
      <c r="G12" s="24">
        <f t="shared" si="1"/>
        <v>29647.01842602211</v>
      </c>
      <c r="H12" s="24">
        <f>G12/60</f>
        <v>494.11697376703518</v>
      </c>
      <c r="I12" s="24">
        <f>H12/24</f>
        <v>20.588207240293134</v>
      </c>
      <c r="J12" s="16"/>
      <c r="K12" s="18"/>
      <c r="L12" s="18"/>
      <c r="M12" s="18"/>
      <c r="N12" s="18"/>
      <c r="O12" s="18"/>
    </row>
    <row r="13" spans="1:15">
      <c r="A13" s="12" t="s">
        <v>19</v>
      </c>
      <c r="B13" s="14">
        <f>'Query 2x'!U49</f>
        <v>45.527085072140785</v>
      </c>
      <c r="C13" s="20">
        <f t="shared" si="0"/>
        <v>455.27085072140784</v>
      </c>
      <c r="D13" s="22">
        <f t="shared" si="0"/>
        <v>164962.3847795442</v>
      </c>
      <c r="E13" s="25"/>
      <c r="F13" s="21">
        <f t="shared" si="1"/>
        <v>7.5878475120234636</v>
      </c>
      <c r="G13" s="24">
        <f t="shared" si="1"/>
        <v>2749.3730796590698</v>
      </c>
      <c r="H13" s="24">
        <f>G13/60</f>
        <v>45.822884660984499</v>
      </c>
      <c r="I13" s="24">
        <f>H13/24</f>
        <v>1.9092868608743541</v>
      </c>
      <c r="J13" s="16"/>
      <c r="K13" s="18">
        <v>233.3</v>
      </c>
      <c r="L13" s="17">
        <f>K13*$D$24</f>
        <v>1435961.5</v>
      </c>
      <c r="M13" s="15">
        <f>L13/60</f>
        <v>23932.691666666666</v>
      </c>
      <c r="N13" s="15">
        <f>M13/60</f>
        <v>398.87819444444443</v>
      </c>
      <c r="O13" s="15">
        <f>N13/24</f>
        <v>16.619924768518519</v>
      </c>
    </row>
    <row r="23" spans="1:7">
      <c r="A23" s="13" t="s">
        <v>26</v>
      </c>
      <c r="B23" s="13" t="s">
        <v>27</v>
      </c>
      <c r="C23" s="13" t="s">
        <v>28</v>
      </c>
      <c r="D23" s="13" t="s">
        <v>29</v>
      </c>
      <c r="E23" s="13"/>
      <c r="G23" s="13"/>
    </row>
    <row r="24" spans="1:7">
      <c r="A24" s="12" t="s">
        <v>30</v>
      </c>
      <c r="B24" s="12">
        <v>1231000000</v>
      </c>
      <c r="C24" s="12">
        <v>200000</v>
      </c>
      <c r="D24" s="17">
        <f>B24/C24</f>
        <v>6155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B206-3452-44F6-80E0-8B59E5B46EFD}">
  <dimension ref="A1:AE49"/>
  <sheetViews>
    <sheetView topLeftCell="H26" zoomScaleNormal="100" workbookViewId="0">
      <selection activeCell="M49" sqref="M49"/>
    </sheetView>
  </sheetViews>
  <sheetFormatPr defaultColWidth="28.08203125" defaultRowHeight="14"/>
  <cols>
    <col min="1" max="1" width="7.83203125" customWidth="1"/>
    <col min="2" max="2" width="6.25" bestFit="1" customWidth="1"/>
    <col min="3" max="7" width="12.58203125" customWidth="1"/>
    <col min="8" max="8" width="4.83203125" customWidth="1"/>
    <col min="9" max="9" width="7.33203125" customWidth="1"/>
    <col min="10" max="10" width="6.33203125" bestFit="1" customWidth="1"/>
    <col min="11" max="15" width="11.83203125" customWidth="1"/>
    <col min="16" max="16" width="5.75" customWidth="1"/>
    <col min="17" max="18" width="6.75" customWidth="1"/>
    <col min="19" max="21" width="12.33203125" customWidth="1"/>
    <col min="22" max="22" width="12.33203125" hidden="1" customWidth="1"/>
    <col min="23" max="23" width="12.33203125" customWidth="1"/>
    <col min="24" max="24" width="6.33203125" customWidth="1"/>
    <col min="25" max="25" width="6.58203125" customWidth="1"/>
    <col min="26" max="26" width="6.33203125" bestFit="1" customWidth="1"/>
    <col min="27" max="29" width="11.58203125" customWidth="1"/>
    <col min="30" max="30" width="11.58203125" hidden="1" customWidth="1"/>
    <col min="31" max="31" width="11.58203125" customWidth="1"/>
  </cols>
  <sheetData>
    <row r="1" spans="1:7" ht="26">
      <c r="A1" s="1">
        <v>2003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26">
      <c r="A2" s="1" t="s">
        <v>5</v>
      </c>
      <c r="B2" s="1"/>
      <c r="C2" s="1"/>
      <c r="D2" s="1"/>
      <c r="E2" s="1"/>
      <c r="F2" s="1"/>
      <c r="G2" s="1"/>
    </row>
    <row r="3" spans="1:7">
      <c r="A3" s="1">
        <v>1</v>
      </c>
      <c r="B3" s="7">
        <v>0.60299999999999998</v>
      </c>
      <c r="C3" s="2">
        <v>11766.534</v>
      </c>
      <c r="D3" s="2">
        <v>6036</v>
      </c>
      <c r="E3" s="4">
        <v>1.9493929999999999</v>
      </c>
      <c r="F3" s="2">
        <v>1.900345</v>
      </c>
      <c r="G3" s="2">
        <v>1.827869</v>
      </c>
    </row>
    <row r="4" spans="1:7">
      <c r="A4" s="1">
        <v>2</v>
      </c>
      <c r="B4" s="7">
        <v>0.22459999999999999</v>
      </c>
      <c r="C4" s="2">
        <v>273720.28600000002</v>
      </c>
      <c r="D4" s="2">
        <v>2233</v>
      </c>
      <c r="E4" s="4">
        <v>122.579618</v>
      </c>
      <c r="F4" s="2">
        <v>47.309742</v>
      </c>
      <c r="G4" s="2">
        <v>42.521009999999997</v>
      </c>
    </row>
    <row r="5" spans="1:7">
      <c r="A5" s="1">
        <v>3</v>
      </c>
      <c r="B5" s="7">
        <v>4.7500000000000001E-2</v>
      </c>
      <c r="C5" s="2">
        <v>105330.6</v>
      </c>
      <c r="D5" s="2">
        <v>471</v>
      </c>
      <c r="E5" s="4">
        <v>223.63184699999999</v>
      </c>
      <c r="F5" s="2">
        <v>149.71257900000001</v>
      </c>
      <c r="G5" s="2">
        <v>16.362556000000001</v>
      </c>
    </row>
    <row r="6" spans="1:7">
      <c r="A6" s="1">
        <v>4</v>
      </c>
      <c r="B6" s="7">
        <v>0.114</v>
      </c>
      <c r="C6" s="2">
        <v>252908.95</v>
      </c>
      <c r="D6" s="2">
        <v>1149</v>
      </c>
      <c r="E6" s="4">
        <v>220.11222799999999</v>
      </c>
      <c r="F6" s="2">
        <v>148.48736400000001</v>
      </c>
      <c r="G6" s="2">
        <v>39.288077999999999</v>
      </c>
    </row>
    <row r="7" spans="1:7">
      <c r="A7" s="1">
        <v>5</v>
      </c>
      <c r="B7" s="7">
        <v>1.09E-2</v>
      </c>
      <c r="C7" s="2">
        <v>3.1280000000000001</v>
      </c>
      <c r="D7" s="2">
        <v>111</v>
      </c>
      <c r="E7" s="4">
        <v>2.8180000000000002E-8</v>
      </c>
      <c r="F7" s="2">
        <v>1.6517000000000002E-8</v>
      </c>
      <c r="G7" s="2">
        <v>4.8599999999999998E-10</v>
      </c>
    </row>
    <row r="8" spans="1:7">
      <c r="B8" s="8"/>
      <c r="E8" s="10">
        <f>SUMPRODUCT(B3:B7,E3:E7)</f>
        <v>64.422172906607173</v>
      </c>
    </row>
    <row r="9" spans="1:7">
      <c r="B9" s="8"/>
      <c r="E9" s="6"/>
    </row>
    <row r="10" spans="1:7" ht="26">
      <c r="A10" s="1" t="s">
        <v>6</v>
      </c>
      <c r="B10" s="1" t="s">
        <v>9</v>
      </c>
      <c r="C10" s="1" t="s">
        <v>0</v>
      </c>
      <c r="D10" s="1" t="s">
        <v>1</v>
      </c>
      <c r="E10" s="1" t="s">
        <v>2</v>
      </c>
      <c r="F10" s="1" t="s">
        <v>3</v>
      </c>
      <c r="G10" s="1" t="s">
        <v>4</v>
      </c>
    </row>
    <row r="11" spans="1:7" ht="26">
      <c r="A11" s="1" t="s">
        <v>5</v>
      </c>
      <c r="B11" s="9"/>
      <c r="C11" s="1"/>
      <c r="D11" s="1"/>
      <c r="E11" s="1"/>
      <c r="F11" s="1"/>
      <c r="G11" s="1"/>
    </row>
    <row r="12" spans="1:7">
      <c r="A12" s="1">
        <v>1</v>
      </c>
      <c r="B12" s="7">
        <v>0.60299999999999998</v>
      </c>
      <c r="C12" s="2">
        <v>4990.027</v>
      </c>
      <c r="D12" s="3">
        <v>6104</v>
      </c>
      <c r="E12" s="5">
        <v>8.1750100000000004E-7</v>
      </c>
      <c r="F12" s="3">
        <v>7.0529100000000001E-7</v>
      </c>
      <c r="G12" s="3">
        <v>9.2245679999999997</v>
      </c>
    </row>
    <row r="13" spans="1:7">
      <c r="A13" s="1">
        <v>2</v>
      </c>
      <c r="B13" s="7">
        <v>0.22459999999999999</v>
      </c>
      <c r="C13" s="2">
        <v>16426.294000000002</v>
      </c>
      <c r="D13" s="3">
        <v>2165</v>
      </c>
      <c r="E13" s="5">
        <v>7.5872029999999997</v>
      </c>
      <c r="F13" s="3">
        <v>5.225244</v>
      </c>
      <c r="G13" s="3">
        <v>30.365662</v>
      </c>
    </row>
    <row r="14" spans="1:7">
      <c r="A14" s="1">
        <v>3</v>
      </c>
      <c r="B14" s="7">
        <v>4.7500000000000001E-2</v>
      </c>
      <c r="C14" s="2">
        <v>9779.8919999999998</v>
      </c>
      <c r="D14" s="3">
        <v>489</v>
      </c>
      <c r="E14" s="5">
        <v>19.999779</v>
      </c>
      <c r="F14" s="3">
        <v>21.725107999999999</v>
      </c>
      <c r="G14" s="3">
        <v>18.079117</v>
      </c>
    </row>
    <row r="15" spans="1:7">
      <c r="A15" s="1">
        <v>4</v>
      </c>
      <c r="B15" s="7">
        <v>0.114</v>
      </c>
      <c r="C15" s="2">
        <v>22893.451000000001</v>
      </c>
      <c r="D15" s="3">
        <v>1119</v>
      </c>
      <c r="E15" s="5">
        <v>20.458848</v>
      </c>
      <c r="F15" s="3">
        <v>19.964324000000001</v>
      </c>
      <c r="G15" s="3">
        <v>42.320853999999997</v>
      </c>
    </row>
    <row r="16" spans="1:7">
      <c r="A16" s="1">
        <v>5</v>
      </c>
      <c r="B16" s="7">
        <v>1.09E-2</v>
      </c>
      <c r="C16" s="2">
        <v>5.3</v>
      </c>
      <c r="D16" s="3">
        <v>123</v>
      </c>
      <c r="E16" s="5">
        <v>4.3089000000000003E-8</v>
      </c>
      <c r="F16" s="3">
        <v>2.0423E-8</v>
      </c>
      <c r="G16" s="3">
        <v>9.7979999999999995E-9</v>
      </c>
    </row>
    <row r="17" spans="1:31">
      <c r="B17" s="8"/>
      <c r="E17" s="10">
        <f>SUMPRODUCT(B12:B16,E12:E16)</f>
        <v>4.9863844617227731</v>
      </c>
      <c r="F17" s="63">
        <f>SQRT(SUMPRODUCT(B12:B16,F12:F16)/SUM(B12:B16))</f>
        <v>2.1169472817982697</v>
      </c>
    </row>
    <row r="18" spans="1:31">
      <c r="B18" s="8"/>
    </row>
    <row r="19" spans="1:31" ht="39">
      <c r="A19" s="1" t="s">
        <v>7</v>
      </c>
      <c r="B19" s="1" t="s">
        <v>9</v>
      </c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I19" s="1" t="s">
        <v>8</v>
      </c>
      <c r="J19" s="1" t="s">
        <v>9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Q19" s="1">
        <v>2013</v>
      </c>
      <c r="R19" s="1" t="s">
        <v>9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</row>
    <row r="20" spans="1:31" ht="26">
      <c r="A20" s="1" t="s">
        <v>5</v>
      </c>
      <c r="B20" s="9"/>
      <c r="C20" s="1"/>
      <c r="D20" s="1"/>
      <c r="E20" s="1"/>
      <c r="F20" s="1"/>
      <c r="G20" s="1"/>
      <c r="I20" s="1" t="s">
        <v>5</v>
      </c>
      <c r="J20" s="9"/>
      <c r="K20" s="1"/>
      <c r="L20" s="1"/>
      <c r="M20" s="1"/>
      <c r="N20" s="1"/>
      <c r="O20" s="1"/>
      <c r="Q20" s="1" t="s">
        <v>5</v>
      </c>
      <c r="R20" s="9"/>
      <c r="S20" s="1"/>
      <c r="T20" s="1"/>
      <c r="U20" s="1"/>
      <c r="V20" s="1"/>
      <c r="W20" s="1"/>
    </row>
    <row r="21" spans="1:31">
      <c r="A21" s="1">
        <v>1</v>
      </c>
      <c r="B21" s="7">
        <v>0.1066</v>
      </c>
      <c r="C21" s="2">
        <v>1058.2719999999999</v>
      </c>
      <c r="D21" s="2">
        <v>1916</v>
      </c>
      <c r="E21" s="2">
        <v>5.5233399999999997E-7</v>
      </c>
      <c r="F21" s="2">
        <v>5.4834099999999997E-7</v>
      </c>
      <c r="G21" s="2">
        <v>9.2299000000000011E-8</v>
      </c>
      <c r="I21" s="1">
        <v>1</v>
      </c>
      <c r="J21" s="7">
        <v>0.1066</v>
      </c>
      <c r="K21" s="2">
        <v>1722.325</v>
      </c>
      <c r="L21" s="2">
        <v>1997</v>
      </c>
      <c r="M21" s="2">
        <v>8.6245599999999995E-7</v>
      </c>
      <c r="N21" s="2">
        <v>5.1556199999999999E-7</v>
      </c>
      <c r="O21" s="2">
        <v>4.7494940000000003</v>
      </c>
      <c r="Q21" s="1">
        <v>1</v>
      </c>
      <c r="R21" s="7">
        <v>0.1066</v>
      </c>
      <c r="S21" s="2">
        <v>3823.8679999999999</v>
      </c>
      <c r="T21" s="2">
        <v>1953</v>
      </c>
      <c r="U21" s="2">
        <v>1.957946</v>
      </c>
      <c r="V21" s="2">
        <v>2.0620210000000001</v>
      </c>
      <c r="W21" s="2">
        <v>8.6011999999999995E-7</v>
      </c>
    </row>
    <row r="22" spans="1:31">
      <c r="A22" s="1">
        <v>2</v>
      </c>
      <c r="B22" s="7">
        <v>1.3299999999999999E-2</v>
      </c>
      <c r="C22" s="2">
        <v>1466</v>
      </c>
      <c r="D22" s="2">
        <v>209</v>
      </c>
      <c r="E22" s="2">
        <v>7.014354</v>
      </c>
      <c r="F22" s="2">
        <v>5.1938950000000004</v>
      </c>
      <c r="G22" s="2">
        <v>1.2786000000000001E-7</v>
      </c>
      <c r="I22" s="1">
        <v>2</v>
      </c>
      <c r="J22" s="7">
        <v>1.3299999999999999E-2</v>
      </c>
      <c r="K22" s="2">
        <v>6022.4189999999999</v>
      </c>
      <c r="L22" s="2">
        <v>261</v>
      </c>
      <c r="M22" s="2">
        <v>23.074401999999999</v>
      </c>
      <c r="N22" s="2">
        <v>12.227681</v>
      </c>
      <c r="O22" s="2">
        <v>16.607458999999999</v>
      </c>
      <c r="Q22" s="1">
        <v>2</v>
      </c>
      <c r="R22" s="7">
        <v>1.3299999999999999E-2</v>
      </c>
      <c r="S22" s="2">
        <v>45594.711000000003</v>
      </c>
      <c r="T22" s="2">
        <v>225</v>
      </c>
      <c r="U22" s="2">
        <v>202.64315999999999</v>
      </c>
      <c r="V22" s="2">
        <v>81.587408999999994</v>
      </c>
      <c r="W22" s="2">
        <v>10.255822999999999</v>
      </c>
    </row>
    <row r="23" spans="1:31">
      <c r="A23" s="1">
        <v>3</v>
      </c>
      <c r="B23" s="7">
        <v>0.14130000000000001</v>
      </c>
      <c r="C23" s="2">
        <v>1143761.9680000001</v>
      </c>
      <c r="D23" s="2">
        <v>2583</v>
      </c>
      <c r="E23" s="2">
        <v>442.80370399999998</v>
      </c>
      <c r="F23" s="2">
        <v>253.032893</v>
      </c>
      <c r="G23" s="2">
        <v>99.755307999999999</v>
      </c>
      <c r="I23" s="1">
        <v>3</v>
      </c>
      <c r="J23" s="7">
        <v>0.14130000000000001</v>
      </c>
      <c r="K23" s="2">
        <v>26718.795999999998</v>
      </c>
      <c r="L23" s="2">
        <v>2483</v>
      </c>
      <c r="M23" s="2">
        <v>10.760691</v>
      </c>
      <c r="N23" s="2">
        <v>8.9144860000000001</v>
      </c>
      <c r="O23" s="2">
        <v>73.679914999999994</v>
      </c>
      <c r="Q23" s="1">
        <v>3</v>
      </c>
      <c r="R23" s="7">
        <v>0.14130000000000001</v>
      </c>
      <c r="S23" s="2">
        <v>394366.01899999997</v>
      </c>
      <c r="T23" s="2">
        <v>2462</v>
      </c>
      <c r="U23" s="2">
        <v>160.181161</v>
      </c>
      <c r="V23" s="2">
        <v>91.958650000000006</v>
      </c>
      <c r="W23" s="2">
        <v>88.706519999999998</v>
      </c>
    </row>
    <row r="24" spans="1:31">
      <c r="A24" s="1">
        <v>4</v>
      </c>
      <c r="B24" s="7">
        <v>5.4699999999999999E-2</v>
      </c>
      <c r="C24" s="2">
        <v>35.201999999999998</v>
      </c>
      <c r="D24" s="2">
        <v>986</v>
      </c>
      <c r="E24" s="2">
        <v>3.5701999999999998E-8</v>
      </c>
      <c r="F24" s="2">
        <v>1.8846000000000002E-8</v>
      </c>
      <c r="G24" s="2">
        <v>3.0699999999999999E-9</v>
      </c>
      <c r="I24" s="1">
        <v>4</v>
      </c>
      <c r="J24" s="7">
        <v>5.4699999999999999E-2</v>
      </c>
      <c r="K24" s="2">
        <v>195.636</v>
      </c>
      <c r="L24" s="2">
        <v>948</v>
      </c>
      <c r="M24" s="2">
        <v>2.0636699999999998E-7</v>
      </c>
      <c r="N24" s="2">
        <v>5.008661</v>
      </c>
      <c r="O24" s="2">
        <v>5.3948700000000005E-7</v>
      </c>
      <c r="Q24" s="1">
        <v>4</v>
      </c>
      <c r="R24" s="7">
        <v>5.4699999999999999E-2</v>
      </c>
      <c r="S24" s="2">
        <v>603.85599999999999</v>
      </c>
      <c r="T24" s="2">
        <v>929</v>
      </c>
      <c r="U24" s="2">
        <v>6.5000599999999998E-7</v>
      </c>
      <c r="V24" s="2">
        <v>10.756586</v>
      </c>
      <c r="W24" s="2">
        <v>1.3582800000000002E-7</v>
      </c>
    </row>
    <row r="25" spans="1:31">
      <c r="A25" s="1">
        <v>5</v>
      </c>
      <c r="B25" s="7">
        <v>4.6800000000000001E-2</v>
      </c>
      <c r="C25" s="2">
        <v>20.298999999999999</v>
      </c>
      <c r="D25" s="2">
        <v>844</v>
      </c>
      <c r="E25" s="2">
        <v>2.4050999999999998E-8</v>
      </c>
      <c r="F25" s="2">
        <v>1.3055E-8</v>
      </c>
      <c r="G25" s="2">
        <v>1.7700000000000001E-9</v>
      </c>
      <c r="I25" s="1">
        <v>5</v>
      </c>
      <c r="J25" s="7">
        <v>4.6800000000000001E-2</v>
      </c>
      <c r="K25" s="2">
        <v>1401.6980000000001</v>
      </c>
      <c r="L25" s="2">
        <v>826</v>
      </c>
      <c r="M25" s="2">
        <v>1.696971</v>
      </c>
      <c r="N25" s="2">
        <v>26.132981999999998</v>
      </c>
      <c r="O25" s="2">
        <v>3.8653309999999999</v>
      </c>
      <c r="Q25" s="1">
        <v>5</v>
      </c>
      <c r="R25" s="7">
        <v>4.6800000000000001E-2</v>
      </c>
      <c r="S25" s="2">
        <v>10.670999999999999</v>
      </c>
      <c r="T25" s="2">
        <v>841</v>
      </c>
      <c r="U25" s="2">
        <v>1.2687999999999999E-8</v>
      </c>
      <c r="V25" s="2">
        <v>8.163E-9</v>
      </c>
      <c r="W25" s="2">
        <v>2.4E-9</v>
      </c>
    </row>
    <row r="26" spans="1:31">
      <c r="A26" s="1">
        <v>6</v>
      </c>
      <c r="B26" s="7">
        <v>0.10780000000000001</v>
      </c>
      <c r="C26" s="2">
        <v>190.51599999999999</v>
      </c>
      <c r="D26" s="2">
        <v>1892</v>
      </c>
      <c r="E26" s="2">
        <v>1.0069599999999999E-7</v>
      </c>
      <c r="F26" s="2">
        <v>1.0138800000000001E-7</v>
      </c>
      <c r="G26" s="2">
        <v>1.6615999999999998E-8</v>
      </c>
      <c r="I26" s="1">
        <v>6</v>
      </c>
      <c r="J26" s="7">
        <v>0.10780000000000001</v>
      </c>
      <c r="K26" s="2">
        <v>163.416</v>
      </c>
      <c r="L26" s="2">
        <v>1887</v>
      </c>
      <c r="M26" s="2">
        <v>8.6600999999999996E-8</v>
      </c>
      <c r="N26" s="2">
        <v>6.3121899999999998E-7</v>
      </c>
      <c r="O26" s="2">
        <v>4.5063699999999999E-7</v>
      </c>
      <c r="Q26" s="1">
        <v>6</v>
      </c>
      <c r="R26" s="7">
        <v>0.10780000000000001</v>
      </c>
      <c r="S26" s="2">
        <v>33.808999999999997</v>
      </c>
      <c r="T26" s="2">
        <v>2036</v>
      </c>
      <c r="U26" s="2">
        <v>1.6606E-8</v>
      </c>
      <c r="V26" s="2">
        <v>1.0132000000000001E-8</v>
      </c>
      <c r="W26" s="2">
        <v>7.6049999999999993E-9</v>
      </c>
    </row>
    <row r="27" spans="1:31">
      <c r="A27" s="1">
        <v>7</v>
      </c>
      <c r="B27" s="7">
        <v>3.49E-2</v>
      </c>
      <c r="C27" s="2">
        <v>14.06</v>
      </c>
      <c r="D27" s="2">
        <v>624</v>
      </c>
      <c r="E27" s="2">
        <v>2.2532E-8</v>
      </c>
      <c r="F27" s="2">
        <v>1.2529999999999999E-8</v>
      </c>
      <c r="G27" s="2">
        <v>1.2260000000000001E-9</v>
      </c>
      <c r="I27" s="1">
        <v>7</v>
      </c>
      <c r="J27" s="7">
        <v>3.49E-2</v>
      </c>
      <c r="K27" s="2">
        <v>16.239000000000001</v>
      </c>
      <c r="L27" s="2">
        <v>599</v>
      </c>
      <c r="M27" s="2">
        <v>2.7109999999999999E-8</v>
      </c>
      <c r="N27" s="2">
        <v>1.4146000000000001E-8</v>
      </c>
      <c r="O27" s="2">
        <v>4.4781000000000002E-8</v>
      </c>
      <c r="Q27" s="1">
        <v>7</v>
      </c>
      <c r="R27" s="7">
        <v>3.49E-2</v>
      </c>
      <c r="S27" s="2">
        <v>106.977</v>
      </c>
      <c r="T27" s="2">
        <v>634</v>
      </c>
      <c r="U27" s="2">
        <v>1.6873300000000001E-7</v>
      </c>
      <c r="V27" s="2">
        <v>3.6085630000000002</v>
      </c>
      <c r="W27" s="2">
        <v>2.4063000000000002E-8</v>
      </c>
    </row>
    <row r="28" spans="1:31">
      <c r="A28" s="1">
        <v>8</v>
      </c>
      <c r="B28" s="7">
        <v>2.63E-2</v>
      </c>
      <c r="C28" s="2">
        <v>10.529</v>
      </c>
      <c r="D28" s="2">
        <v>496</v>
      </c>
      <c r="E28" s="2">
        <v>2.1228E-8</v>
      </c>
      <c r="F28" s="2">
        <v>1.1704E-8</v>
      </c>
      <c r="G28" s="2">
        <v>9.1799999999999993E-10</v>
      </c>
      <c r="I28" s="1">
        <v>8</v>
      </c>
      <c r="J28" s="7">
        <v>2.63E-2</v>
      </c>
      <c r="K28" s="2">
        <v>9.4139999999999997</v>
      </c>
      <c r="L28" s="2">
        <v>506</v>
      </c>
      <c r="M28" s="2">
        <v>1.8605E-8</v>
      </c>
      <c r="N28" s="2">
        <v>9.352E-9</v>
      </c>
      <c r="O28" s="2">
        <v>2.5959999999999999E-8</v>
      </c>
      <c r="Q28" s="1">
        <v>8</v>
      </c>
      <c r="R28" s="7">
        <v>2.63E-2</v>
      </c>
      <c r="S28" s="2">
        <v>9.6240000000000006</v>
      </c>
      <c r="T28" s="2">
        <v>454</v>
      </c>
      <c r="U28" s="2">
        <v>2.1198000000000002E-8</v>
      </c>
      <c r="V28" s="2">
        <v>1.0985E-8</v>
      </c>
      <c r="W28" s="2">
        <v>2.1649999999999999E-9</v>
      </c>
    </row>
    <row r="29" spans="1:31">
      <c r="A29" s="1">
        <v>9</v>
      </c>
      <c r="B29" s="7">
        <v>2.7300000000000001E-2</v>
      </c>
      <c r="C29" s="2">
        <v>10.679</v>
      </c>
      <c r="D29" s="2">
        <v>450</v>
      </c>
      <c r="E29" s="2">
        <v>2.3730999999999999E-8</v>
      </c>
      <c r="F29" s="2">
        <v>1.2948E-8</v>
      </c>
      <c r="G29" s="2">
        <v>9.3099999999999999E-10</v>
      </c>
      <c r="I29" s="1">
        <v>9</v>
      </c>
      <c r="J29" s="7">
        <v>2.7300000000000001E-2</v>
      </c>
      <c r="K29" s="2">
        <v>13.394</v>
      </c>
      <c r="L29" s="2">
        <v>493</v>
      </c>
      <c r="M29" s="2">
        <v>2.7168000000000002E-8</v>
      </c>
      <c r="N29" s="2">
        <v>2.9565999999999998E-8</v>
      </c>
      <c r="O29" s="2">
        <v>3.6935E-8</v>
      </c>
      <c r="Q29" s="1">
        <v>9</v>
      </c>
      <c r="R29" s="7">
        <v>2.7300000000000001E-2</v>
      </c>
      <c r="S29" s="2">
        <v>24.347999999999999</v>
      </c>
      <c r="T29" s="2">
        <v>466</v>
      </c>
      <c r="U29" s="2">
        <v>5.2248999999999994E-8</v>
      </c>
      <c r="V29" s="2">
        <v>1.2195599999999998E-7</v>
      </c>
      <c r="W29" s="2">
        <v>5.477E-9</v>
      </c>
    </row>
    <row r="30" spans="1:31">
      <c r="B30" s="8"/>
      <c r="E30" s="10">
        <f>SUMPRODUCT(B21:B29,E21:E29)</f>
        <v>62.661454358204836</v>
      </c>
      <c r="M30" s="10">
        <f>SUMPRODUCT(J21:J29,M21:M29)</f>
        <v>1.9067935424388094</v>
      </c>
      <c r="N30" s="63">
        <f>SQRT(SUMPRODUCT(J21:J29,N21:N29)/SUM(J21:J29))</f>
        <v>2.2852261244752388</v>
      </c>
      <c r="U30" s="10">
        <f>SUMPRODUCT(R21:R29,U21:U29)</f>
        <v>25.53746916671194</v>
      </c>
    </row>
    <row r="31" spans="1:31">
      <c r="B31" s="8"/>
    </row>
    <row r="32" spans="1:31" ht="39">
      <c r="A32" s="1" t="s">
        <v>10</v>
      </c>
      <c r="B32" s="1" t="s">
        <v>9</v>
      </c>
      <c r="C32" s="1" t="s">
        <v>0</v>
      </c>
      <c r="D32" s="1" t="s">
        <v>1</v>
      </c>
      <c r="E32" s="1" t="s">
        <v>2</v>
      </c>
      <c r="F32" s="1" t="s">
        <v>3</v>
      </c>
      <c r="G32" s="1" t="s">
        <v>4</v>
      </c>
      <c r="I32" s="1" t="s">
        <v>11</v>
      </c>
      <c r="J32" s="1" t="s">
        <v>9</v>
      </c>
      <c r="K32" s="1" t="s">
        <v>0</v>
      </c>
      <c r="L32" s="1" t="s">
        <v>1</v>
      </c>
      <c r="M32" s="1" t="s">
        <v>2</v>
      </c>
      <c r="N32" s="1" t="s">
        <v>3</v>
      </c>
      <c r="O32" s="1" t="s">
        <v>4</v>
      </c>
      <c r="Q32" s="1" t="s">
        <v>12</v>
      </c>
      <c r="R32" s="1" t="s">
        <v>9</v>
      </c>
      <c r="S32" s="1" t="s">
        <v>0</v>
      </c>
      <c r="T32" s="1" t="s">
        <v>1</v>
      </c>
      <c r="U32" s="1" t="s">
        <v>2</v>
      </c>
      <c r="V32" s="1" t="s">
        <v>3</v>
      </c>
      <c r="W32" s="1" t="s">
        <v>4</v>
      </c>
      <c r="Y32" s="1">
        <v>2023</v>
      </c>
      <c r="Z32" s="1" t="s">
        <v>9</v>
      </c>
      <c r="AA32" s="1" t="s">
        <v>0</v>
      </c>
      <c r="AB32" s="1" t="s">
        <v>1</v>
      </c>
      <c r="AC32" s="1" t="s">
        <v>2</v>
      </c>
      <c r="AD32" s="1" t="s">
        <v>3</v>
      </c>
      <c r="AE32" s="1" t="s">
        <v>4</v>
      </c>
    </row>
    <row r="33" spans="1:31" ht="26">
      <c r="A33" s="1" t="s">
        <v>5</v>
      </c>
      <c r="B33" s="9"/>
      <c r="C33" s="1"/>
      <c r="D33" s="1"/>
      <c r="E33" s="1"/>
      <c r="F33" s="1"/>
      <c r="G33" s="1"/>
      <c r="I33" s="1" t="s">
        <v>5</v>
      </c>
      <c r="J33" s="9"/>
      <c r="K33" s="1"/>
      <c r="L33" s="1"/>
      <c r="M33" s="1"/>
      <c r="N33" s="1"/>
      <c r="O33" s="1"/>
      <c r="Q33" s="1" t="s">
        <v>5</v>
      </c>
      <c r="R33" s="9"/>
      <c r="S33" s="1"/>
      <c r="T33" s="1"/>
      <c r="U33" s="1"/>
      <c r="V33" s="1"/>
      <c r="W33" s="1"/>
      <c r="Y33" s="1" t="s">
        <v>5</v>
      </c>
      <c r="Z33" s="9"/>
      <c r="AA33" s="1"/>
      <c r="AB33" s="1"/>
      <c r="AC33" s="1"/>
      <c r="AD33" s="1"/>
      <c r="AE33" s="1"/>
    </row>
    <row r="34" spans="1:31">
      <c r="A34" s="1">
        <v>1</v>
      </c>
      <c r="B34" s="7">
        <v>7.9299999999999995E-2</v>
      </c>
      <c r="C34" s="2">
        <v>6487699</v>
      </c>
      <c r="D34" s="2">
        <v>833</v>
      </c>
      <c r="E34" s="2">
        <v>7.788354</v>
      </c>
      <c r="F34" s="2">
        <v>9.5107590000000002</v>
      </c>
      <c r="G34" s="2">
        <v>4.0685999999999998E-8</v>
      </c>
      <c r="I34" s="1">
        <v>1</v>
      </c>
      <c r="J34" s="7">
        <v>7.9299999999999995E-2</v>
      </c>
      <c r="K34" s="2">
        <v>528020.21900000004</v>
      </c>
      <c r="L34" s="2">
        <v>840</v>
      </c>
      <c r="M34" s="2">
        <v>628.59549900000002</v>
      </c>
      <c r="N34" s="2">
        <v>812.84328000000005</v>
      </c>
      <c r="O34" s="2">
        <v>4.3428560000000003</v>
      </c>
      <c r="Q34" s="1">
        <v>1</v>
      </c>
      <c r="R34" s="7">
        <v>7.9299999999999995E-2</v>
      </c>
      <c r="S34">
        <v>16172.704</v>
      </c>
      <c r="T34">
        <v>792</v>
      </c>
      <c r="U34">
        <v>20.420081</v>
      </c>
      <c r="V34">
        <v>10.430300000000001</v>
      </c>
      <c r="W34">
        <v>1.2136020000000001</v>
      </c>
      <c r="Y34" s="1">
        <v>1</v>
      </c>
      <c r="Z34" s="7">
        <v>7.9299999999999995E-2</v>
      </c>
      <c r="AA34">
        <v>171503.08300000001</v>
      </c>
      <c r="AB34">
        <v>839</v>
      </c>
      <c r="AC34">
        <v>204.41368700000001</v>
      </c>
      <c r="AD34">
        <v>81.219211999999999</v>
      </c>
      <c r="AE34">
        <v>2.2883300000000002</v>
      </c>
    </row>
    <row r="35" spans="1:31">
      <c r="A35" s="1">
        <v>2</v>
      </c>
      <c r="B35" s="7">
        <v>6.1600000000000002E-2</v>
      </c>
      <c r="C35" s="2">
        <v>391568</v>
      </c>
      <c r="D35" s="2">
        <v>670</v>
      </c>
      <c r="E35" s="2">
        <v>5.8443000000000005E-7</v>
      </c>
      <c r="F35" s="2">
        <v>5.9112799999999997E-7</v>
      </c>
      <c r="G35" s="2">
        <v>2.4559999999999998E-9</v>
      </c>
      <c r="I35" s="1">
        <v>2</v>
      </c>
      <c r="J35" s="7">
        <v>6.1600000000000002E-2</v>
      </c>
      <c r="K35" s="2">
        <v>377.517</v>
      </c>
      <c r="L35" s="2">
        <v>656</v>
      </c>
      <c r="M35" s="2">
        <v>5.7548299999999999E-7</v>
      </c>
      <c r="N35" s="2">
        <v>4.06736E-7</v>
      </c>
      <c r="O35" s="2">
        <v>3.1049999999999999E-9</v>
      </c>
      <c r="Q35" s="1">
        <v>2</v>
      </c>
      <c r="R35" s="7">
        <v>6.1600000000000002E-2</v>
      </c>
      <c r="S35">
        <v>553.83199999999999</v>
      </c>
      <c r="T35">
        <v>676</v>
      </c>
      <c r="U35">
        <v>8.1927799999999996E-7</v>
      </c>
      <c r="V35">
        <v>5.8605300000000007E-7</v>
      </c>
      <c r="W35">
        <v>4.1560000000000003E-8</v>
      </c>
      <c r="Y35" s="1">
        <v>2</v>
      </c>
      <c r="Z35" s="7">
        <v>6.1600000000000002E-2</v>
      </c>
      <c r="AA35">
        <v>1175.172</v>
      </c>
      <c r="AB35">
        <v>661</v>
      </c>
      <c r="AC35">
        <v>1.7778700000000001</v>
      </c>
      <c r="AD35">
        <v>1.603755</v>
      </c>
      <c r="AE35">
        <v>1.5679999999999999E-8</v>
      </c>
    </row>
    <row r="36" spans="1:31">
      <c r="A36" s="1">
        <v>3</v>
      </c>
      <c r="B36" s="7">
        <v>9.0300000000000005E-2</v>
      </c>
      <c r="C36" s="2">
        <v>197201600</v>
      </c>
      <c r="D36" s="2">
        <v>926</v>
      </c>
      <c r="E36" s="2">
        <v>212.96067400000001</v>
      </c>
      <c r="F36" s="2">
        <v>246.40833499999999</v>
      </c>
      <c r="G36" s="2">
        <v>1.236699</v>
      </c>
      <c r="I36" s="1">
        <v>3</v>
      </c>
      <c r="J36" s="7">
        <v>9.0300000000000005E-2</v>
      </c>
      <c r="K36" s="2">
        <v>28887.762999999999</v>
      </c>
      <c r="L36" s="2">
        <v>970</v>
      </c>
      <c r="M36" s="2">
        <v>29.781199000000001</v>
      </c>
      <c r="N36" s="2">
        <v>18.370908</v>
      </c>
      <c r="O36" s="2">
        <v>2.3759600000000001E-7</v>
      </c>
      <c r="Q36" s="1">
        <v>3</v>
      </c>
      <c r="R36" s="7">
        <v>9.0300000000000005E-2</v>
      </c>
      <c r="S36">
        <v>60353.347999999998</v>
      </c>
      <c r="T36">
        <v>996</v>
      </c>
      <c r="U36">
        <v>60.595731000000001</v>
      </c>
      <c r="V36">
        <v>104.944209</v>
      </c>
      <c r="W36">
        <v>4.5289239999999999</v>
      </c>
      <c r="Y36" s="1">
        <v>3</v>
      </c>
      <c r="Z36" s="7">
        <v>9.0300000000000005E-2</v>
      </c>
      <c r="AA36">
        <v>50316.241000000002</v>
      </c>
      <c r="AB36">
        <v>949</v>
      </c>
      <c r="AC36">
        <v>53.020274999999998</v>
      </c>
      <c r="AD36">
        <v>108.087625</v>
      </c>
      <c r="AE36">
        <v>6.7135900000000008E-7</v>
      </c>
    </row>
    <row r="37" spans="1:31">
      <c r="A37" s="1">
        <v>4</v>
      </c>
      <c r="B37" s="7">
        <v>7.6700000000000004E-2</v>
      </c>
      <c r="C37" s="2">
        <v>796218600</v>
      </c>
      <c r="D37" s="2">
        <v>787</v>
      </c>
      <c r="E37" s="2">
        <v>1011.713535</v>
      </c>
      <c r="F37" s="2">
        <v>393.91319499999997</v>
      </c>
      <c r="G37" s="2">
        <v>4.9932809999999996</v>
      </c>
      <c r="I37" s="1">
        <v>4</v>
      </c>
      <c r="J37" s="7">
        <v>7.6700000000000004E-2</v>
      </c>
      <c r="K37" s="2">
        <v>553639.625</v>
      </c>
      <c r="L37" s="2">
        <v>771</v>
      </c>
      <c r="M37" s="2">
        <v>718.07992899999999</v>
      </c>
      <c r="N37" s="2">
        <v>1658.8355409999999</v>
      </c>
      <c r="O37" s="2">
        <v>4.5535699999999997</v>
      </c>
      <c r="Q37" s="1">
        <v>4</v>
      </c>
      <c r="R37" s="7">
        <v>7.6700000000000004E-2</v>
      </c>
      <c r="S37">
        <v>13368.735000000001</v>
      </c>
      <c r="T37">
        <v>817</v>
      </c>
      <c r="U37">
        <v>16.363201</v>
      </c>
      <c r="V37">
        <v>33.475006</v>
      </c>
      <c r="W37">
        <v>1.0031920000000001</v>
      </c>
      <c r="Y37" s="1">
        <v>4</v>
      </c>
      <c r="Z37" s="7">
        <v>7.6700000000000004E-2</v>
      </c>
      <c r="AA37">
        <v>2106806.2889999999</v>
      </c>
      <c r="AB37">
        <v>760</v>
      </c>
      <c r="AC37">
        <v>2772.1135380000001</v>
      </c>
      <c r="AD37">
        <v>1049.753882</v>
      </c>
      <c r="AE37">
        <v>28.110672999999998</v>
      </c>
    </row>
    <row r="38" spans="1:31">
      <c r="A38" s="1">
        <v>5</v>
      </c>
      <c r="B38" s="7">
        <v>1.4200000000000001E-2</v>
      </c>
      <c r="C38" s="2">
        <v>5186</v>
      </c>
      <c r="D38" s="2">
        <v>151</v>
      </c>
      <c r="E38" s="2">
        <v>3.4344E-8</v>
      </c>
      <c r="F38" s="2">
        <v>1.3549999999999999E-8</v>
      </c>
      <c r="G38" s="2">
        <v>3.3000000000000002E-11</v>
      </c>
      <c r="I38" s="1">
        <v>5</v>
      </c>
      <c r="J38" s="7">
        <v>1.4200000000000001E-2</v>
      </c>
      <c r="K38" s="2">
        <v>3.9929999999999999</v>
      </c>
      <c r="L38" s="2">
        <v>130</v>
      </c>
      <c r="M38" s="2">
        <v>3.0715000000000001E-8</v>
      </c>
      <c r="N38" s="2">
        <v>1.1865000000000001E-8</v>
      </c>
      <c r="O38" s="2">
        <v>3.3000000000000002E-11</v>
      </c>
      <c r="Q38" s="1">
        <v>5</v>
      </c>
      <c r="R38" s="7">
        <v>1.4200000000000001E-2</v>
      </c>
      <c r="S38">
        <v>2.6869999999999998</v>
      </c>
      <c r="T38">
        <v>132</v>
      </c>
      <c r="U38">
        <v>2.0356E-8</v>
      </c>
      <c r="V38">
        <v>9.2599999999999999E-9</v>
      </c>
      <c r="W38">
        <v>2.02E-10</v>
      </c>
      <c r="Y38" s="1">
        <v>5</v>
      </c>
      <c r="Z38" s="7">
        <v>1.4200000000000001E-2</v>
      </c>
      <c r="AA38">
        <v>2.278</v>
      </c>
      <c r="AB38">
        <v>144</v>
      </c>
      <c r="AC38">
        <v>1.5819000000000001E-8</v>
      </c>
      <c r="AD38">
        <v>7.5469999999999997E-9</v>
      </c>
      <c r="AE38">
        <v>3E-11</v>
      </c>
    </row>
    <row r="39" spans="1:31">
      <c r="A39" s="1">
        <v>6</v>
      </c>
      <c r="B39" s="7">
        <v>0.38009999999999999</v>
      </c>
      <c r="C39" s="2">
        <v>540205</v>
      </c>
      <c r="D39" s="2">
        <v>3918</v>
      </c>
      <c r="E39" s="2">
        <v>1.3787800000000001E-7</v>
      </c>
      <c r="F39" s="2">
        <v>1.11407E-7</v>
      </c>
      <c r="G39" s="2">
        <v>3.3879999999999999E-9</v>
      </c>
      <c r="I39" s="1">
        <v>6</v>
      </c>
      <c r="J39" s="7">
        <v>0.38009999999999999</v>
      </c>
      <c r="K39" s="2">
        <v>587.44299999999998</v>
      </c>
      <c r="L39" s="2">
        <v>3979</v>
      </c>
      <c r="M39" s="2">
        <v>1.4763599999999999E-7</v>
      </c>
      <c r="N39" s="2">
        <v>9.7044000000000005E-8</v>
      </c>
      <c r="O39" s="2">
        <v>4.8320000000000007E-9</v>
      </c>
      <c r="Q39" s="1">
        <v>6</v>
      </c>
      <c r="R39" s="7">
        <v>0.38009999999999999</v>
      </c>
      <c r="S39">
        <v>720.68399999999997</v>
      </c>
      <c r="T39">
        <v>4003</v>
      </c>
      <c r="U39">
        <v>1.8003600000000001E-7</v>
      </c>
      <c r="V39">
        <v>1.0052300000000001E-7</v>
      </c>
      <c r="W39">
        <v>5.4080000000000005E-8</v>
      </c>
      <c r="Y39" s="1">
        <v>6</v>
      </c>
      <c r="Z39" s="7">
        <v>0.38009999999999999</v>
      </c>
      <c r="AA39">
        <v>658.68700000000001</v>
      </c>
      <c r="AB39">
        <v>3993</v>
      </c>
      <c r="AC39">
        <v>1.6495999999999999E-7</v>
      </c>
      <c r="AD39">
        <v>7.8259E-8</v>
      </c>
      <c r="AE39">
        <v>8.7890000000000002E-9</v>
      </c>
    </row>
    <row r="40" spans="1:31">
      <c r="A40" s="1">
        <v>7</v>
      </c>
      <c r="B40" s="7">
        <v>4.53E-2</v>
      </c>
      <c r="C40" s="2">
        <v>11277410000</v>
      </c>
      <c r="D40" s="2">
        <v>462</v>
      </c>
      <c r="E40" s="2">
        <v>24409.971699000002</v>
      </c>
      <c r="F40" s="2">
        <v>14434.159915</v>
      </c>
      <c r="G40" s="2">
        <v>70.723371</v>
      </c>
      <c r="I40" s="1">
        <v>7</v>
      </c>
      <c r="J40" s="7">
        <v>4.53E-2</v>
      </c>
      <c r="K40" s="2">
        <v>8709268.1610000003</v>
      </c>
      <c r="L40" s="2">
        <v>504</v>
      </c>
      <c r="M40" s="2">
        <v>17280.293969999999</v>
      </c>
      <c r="N40" s="2">
        <v>6253.0849280000002</v>
      </c>
      <c r="O40" s="2">
        <v>71.631907999999996</v>
      </c>
      <c r="Q40" s="1">
        <v>7</v>
      </c>
      <c r="R40" s="7">
        <v>4.53E-2</v>
      </c>
      <c r="S40">
        <v>588599.81400000001</v>
      </c>
      <c r="T40">
        <v>495</v>
      </c>
      <c r="U40">
        <v>1189.0905330000001</v>
      </c>
      <c r="V40">
        <v>1875.6620789999999</v>
      </c>
      <c r="W40">
        <v>44.168613000000001</v>
      </c>
      <c r="Y40" s="1">
        <v>7</v>
      </c>
      <c r="Z40" s="7">
        <v>4.53E-2</v>
      </c>
      <c r="AA40">
        <v>3705459.3879999998</v>
      </c>
      <c r="AB40">
        <v>493</v>
      </c>
      <c r="AC40">
        <v>7516.1448030000001</v>
      </c>
      <c r="AD40">
        <v>11780.573103999999</v>
      </c>
      <c r="AE40">
        <v>49.441164999999998</v>
      </c>
    </row>
    <row r="41" spans="1:31">
      <c r="A41" s="1">
        <v>8</v>
      </c>
      <c r="B41" s="7">
        <v>8.2000000000000003E-2</v>
      </c>
      <c r="C41" s="2">
        <v>165230</v>
      </c>
      <c r="D41" s="2">
        <v>903</v>
      </c>
      <c r="E41" s="2">
        <v>1.8297900000000001E-7</v>
      </c>
      <c r="F41" s="2">
        <v>1.6026000000000001E-7</v>
      </c>
      <c r="G41" s="2">
        <v>1.0359999999999999E-9</v>
      </c>
      <c r="I41" s="1">
        <v>8</v>
      </c>
      <c r="J41" s="7">
        <v>8.2000000000000003E-2</v>
      </c>
      <c r="K41" s="2">
        <v>117.524</v>
      </c>
      <c r="L41" s="2">
        <v>862</v>
      </c>
      <c r="M41" s="2">
        <v>1.3633899999999999E-7</v>
      </c>
      <c r="N41" s="2">
        <v>9.9482000000000004E-8</v>
      </c>
      <c r="O41" s="2">
        <v>9.6700000000000007E-10</v>
      </c>
      <c r="Q41" s="1">
        <v>8</v>
      </c>
      <c r="R41" s="7">
        <v>8.2000000000000003E-2</v>
      </c>
      <c r="S41">
        <v>145.03399999999999</v>
      </c>
      <c r="T41">
        <v>800</v>
      </c>
      <c r="U41">
        <v>1.8129200000000001E-7</v>
      </c>
      <c r="V41">
        <v>1.4555199999999998E-7</v>
      </c>
      <c r="W41">
        <v>1.0883000000000001E-8</v>
      </c>
      <c r="Y41" s="1">
        <v>8</v>
      </c>
      <c r="Z41" s="7">
        <v>8.2000000000000003E-2</v>
      </c>
      <c r="AA41">
        <v>49.347999999999999</v>
      </c>
      <c r="AB41">
        <v>838</v>
      </c>
      <c r="AC41">
        <v>5.8888000000000004E-8</v>
      </c>
      <c r="AD41">
        <v>2.7917999999999999E-8</v>
      </c>
      <c r="AE41">
        <v>6.579999999999999E-10</v>
      </c>
    </row>
    <row r="42" spans="1:31">
      <c r="A42" s="1">
        <v>9</v>
      </c>
      <c r="B42" s="7">
        <v>6.1000000000000004E-3</v>
      </c>
      <c r="C42" s="2">
        <v>577427900</v>
      </c>
      <c r="D42" s="2">
        <v>71</v>
      </c>
      <c r="E42" s="2">
        <v>8132.7880139999997</v>
      </c>
      <c r="F42" s="2">
        <v>2271.5446010000001</v>
      </c>
      <c r="G42" s="2">
        <v>3.6211920000000002</v>
      </c>
      <c r="I42" s="1">
        <v>9</v>
      </c>
      <c r="J42" s="7">
        <v>6.1000000000000004E-3</v>
      </c>
      <c r="K42" s="2">
        <v>529017.522</v>
      </c>
      <c r="L42" s="2">
        <v>60</v>
      </c>
      <c r="M42" s="11">
        <v>8816.9586999999992</v>
      </c>
      <c r="N42" s="2">
        <v>2499.252086</v>
      </c>
      <c r="O42" s="2">
        <v>4.3510580000000001</v>
      </c>
      <c r="Q42" s="1">
        <v>9</v>
      </c>
      <c r="R42" s="7">
        <v>6.1000000000000004E-3</v>
      </c>
      <c r="S42">
        <v>15148.761</v>
      </c>
      <c r="T42">
        <v>65</v>
      </c>
      <c r="U42" s="11">
        <v>233.057862</v>
      </c>
      <c r="V42">
        <v>658.22432500000002</v>
      </c>
      <c r="W42">
        <v>1.136765</v>
      </c>
      <c r="Y42" s="1">
        <v>9</v>
      </c>
      <c r="Z42" s="7">
        <v>6.1000000000000004E-3</v>
      </c>
      <c r="AA42">
        <v>293722.58</v>
      </c>
      <c r="AB42">
        <v>54</v>
      </c>
      <c r="AC42" s="2">
        <v>5439.3070369999996</v>
      </c>
      <c r="AD42">
        <v>6223.7169700000004</v>
      </c>
      <c r="AE42">
        <v>3.919079</v>
      </c>
    </row>
    <row r="43" spans="1:31">
      <c r="A43" s="1">
        <v>10</v>
      </c>
      <c r="B43" s="7">
        <v>5.4999999999999997E-3</v>
      </c>
      <c r="C43" s="2">
        <v>362968500</v>
      </c>
      <c r="D43" s="2">
        <v>47</v>
      </c>
      <c r="E43" s="2">
        <v>7722.7350429999997</v>
      </c>
      <c r="F43" s="2">
        <v>2258.036732</v>
      </c>
      <c r="G43" s="2">
        <v>2.2762639999999998</v>
      </c>
      <c r="I43" s="1">
        <v>10</v>
      </c>
      <c r="J43" s="7">
        <v>5.4999999999999997E-3</v>
      </c>
      <c r="K43" s="2">
        <v>476992.22399999999</v>
      </c>
      <c r="L43" s="2">
        <v>51</v>
      </c>
      <c r="M43" s="2">
        <v>9352.7887059999994</v>
      </c>
      <c r="N43" s="2">
        <v>2686.451251</v>
      </c>
      <c r="O43" s="2">
        <v>3.9231609999999999</v>
      </c>
      <c r="Q43" s="1">
        <v>10</v>
      </c>
      <c r="R43" s="7">
        <v>5.4999999999999997E-3</v>
      </c>
      <c r="S43">
        <v>14283.398999999999</v>
      </c>
      <c r="T43">
        <v>51</v>
      </c>
      <c r="U43">
        <v>280.06664699999999</v>
      </c>
      <c r="V43">
        <v>814.08557499999995</v>
      </c>
      <c r="W43">
        <v>1.071828</v>
      </c>
      <c r="Y43" s="1">
        <v>10</v>
      </c>
      <c r="Z43" s="7">
        <v>5.4999999999999997E-3</v>
      </c>
      <c r="AA43">
        <v>200860.421</v>
      </c>
      <c r="AB43">
        <v>60</v>
      </c>
      <c r="AC43">
        <v>3347.673683</v>
      </c>
      <c r="AD43">
        <v>4345.6787560000002</v>
      </c>
      <c r="AE43">
        <v>2.6800380000000001</v>
      </c>
    </row>
    <row r="44" spans="1:31">
      <c r="A44" s="1">
        <v>11</v>
      </c>
      <c r="B44" s="7">
        <v>9.7000000000000003E-3</v>
      </c>
      <c r="C44" s="2">
        <v>435033100</v>
      </c>
      <c r="D44" s="2">
        <v>103</v>
      </c>
      <c r="E44" s="2">
        <v>4223.6224849999999</v>
      </c>
      <c r="F44" s="2">
        <v>67.235319000000004</v>
      </c>
      <c r="G44" s="2">
        <v>2.728199</v>
      </c>
      <c r="I44" s="1">
        <v>11</v>
      </c>
      <c r="J44" s="7">
        <v>9.7000000000000003E-3</v>
      </c>
      <c r="K44" s="2">
        <v>323806.43199999997</v>
      </c>
      <c r="L44" s="2">
        <v>93</v>
      </c>
      <c r="M44" s="2">
        <v>3481.7895910000002</v>
      </c>
      <c r="N44" s="2">
        <v>36.989241999999997</v>
      </c>
      <c r="O44" s="2">
        <v>2.6632400000000001</v>
      </c>
      <c r="Q44" s="1">
        <v>11</v>
      </c>
      <c r="R44" s="7">
        <v>9.7000000000000003E-3</v>
      </c>
      <c r="S44">
        <v>1868.5309999999999</v>
      </c>
      <c r="T44">
        <v>85</v>
      </c>
      <c r="U44">
        <v>21.982717999999998</v>
      </c>
      <c r="V44">
        <v>7.4886699999999999</v>
      </c>
      <c r="W44">
        <v>1.4021500000000002E-7</v>
      </c>
      <c r="Y44" s="1">
        <v>11</v>
      </c>
      <c r="Z44" s="7">
        <v>9.7000000000000003E-3</v>
      </c>
      <c r="AA44">
        <v>134761.09</v>
      </c>
      <c r="AB44">
        <v>115</v>
      </c>
      <c r="AC44">
        <v>1171.8355650000001</v>
      </c>
      <c r="AD44">
        <v>22.046621999999999</v>
      </c>
      <c r="AE44">
        <v>1.798089</v>
      </c>
    </row>
    <row r="45" spans="1:31">
      <c r="A45" s="1">
        <v>12</v>
      </c>
      <c r="B45" s="7">
        <v>6.1999999999999998E-3</v>
      </c>
      <c r="C45" s="2">
        <v>514741500</v>
      </c>
      <c r="D45" s="2">
        <v>63</v>
      </c>
      <c r="E45" s="2">
        <v>8170.5007299999997</v>
      </c>
      <c r="F45" s="2">
        <v>2940.5389449999998</v>
      </c>
      <c r="G45" s="2">
        <v>3.2280700000000002</v>
      </c>
      <c r="I45" s="1">
        <v>12</v>
      </c>
      <c r="J45" s="7">
        <v>6.1999999999999998E-3</v>
      </c>
      <c r="K45" s="2">
        <v>380412.22499999998</v>
      </c>
      <c r="L45" s="2">
        <v>78</v>
      </c>
      <c r="M45" s="2">
        <v>4877.0798080000004</v>
      </c>
      <c r="N45" s="2">
        <v>1657.4241709999999</v>
      </c>
      <c r="O45" s="2">
        <v>3.1288109999999998</v>
      </c>
      <c r="Q45" s="1">
        <v>12</v>
      </c>
      <c r="R45" s="7">
        <v>6.1999999999999998E-3</v>
      </c>
      <c r="S45">
        <v>10344.276</v>
      </c>
      <c r="T45">
        <v>65</v>
      </c>
      <c r="U45">
        <v>159.142708</v>
      </c>
      <c r="V45">
        <v>15.527756999999999</v>
      </c>
      <c r="W45">
        <v>7.7623600000000002E-7</v>
      </c>
      <c r="Y45" s="1">
        <v>12</v>
      </c>
      <c r="Z45" s="7">
        <v>6.1999999999999998E-3</v>
      </c>
      <c r="AA45">
        <v>211605.891</v>
      </c>
      <c r="AB45">
        <v>79</v>
      </c>
      <c r="AC45">
        <v>2678.555582</v>
      </c>
      <c r="AD45">
        <v>1156.713716</v>
      </c>
      <c r="AE45">
        <v>2.823413</v>
      </c>
    </row>
    <row r="46" spans="1:31">
      <c r="A46" s="1">
        <v>13</v>
      </c>
      <c r="B46" s="7">
        <v>6.1000000000000004E-3</v>
      </c>
      <c r="C46" s="2">
        <v>1776324000</v>
      </c>
      <c r="D46" s="2">
        <v>68</v>
      </c>
      <c r="E46" s="2">
        <v>26122.416249999998</v>
      </c>
      <c r="F46" s="2">
        <v>7290.7312030000003</v>
      </c>
      <c r="G46" s="2">
        <v>11.139763</v>
      </c>
      <c r="I46" s="1">
        <v>13</v>
      </c>
      <c r="J46" s="7">
        <v>6.1000000000000004E-3</v>
      </c>
      <c r="K46" s="2">
        <v>626312.23199999996</v>
      </c>
      <c r="L46" s="2">
        <v>51</v>
      </c>
      <c r="M46" s="2">
        <v>12280.632</v>
      </c>
      <c r="N46" s="2">
        <v>9247.6582799999996</v>
      </c>
      <c r="O46" s="2">
        <v>5.1512869999999999</v>
      </c>
      <c r="Q46" s="1">
        <v>13</v>
      </c>
      <c r="R46" s="7">
        <v>6.1000000000000004E-3</v>
      </c>
      <c r="S46">
        <v>610923.09499999997</v>
      </c>
      <c r="T46">
        <v>63</v>
      </c>
      <c r="U46">
        <v>9697.1919839999991</v>
      </c>
      <c r="V46">
        <v>10582.016167</v>
      </c>
      <c r="W46">
        <v>45.843755999999999</v>
      </c>
      <c r="Y46" s="1">
        <v>13</v>
      </c>
      <c r="Z46" s="7">
        <v>6.1000000000000004E-3</v>
      </c>
      <c r="AA46">
        <v>616663.93999999994</v>
      </c>
      <c r="AB46">
        <v>62</v>
      </c>
      <c r="AC46">
        <v>9946.1925809999993</v>
      </c>
      <c r="AD46">
        <v>17690.482263000002</v>
      </c>
      <c r="AE46">
        <v>8.2280169999999995</v>
      </c>
    </row>
    <row r="47" spans="1:31">
      <c r="A47" s="1">
        <v>14</v>
      </c>
      <c r="B47" s="7">
        <v>1.6199999999999999E-2</v>
      </c>
      <c r="C47" s="2">
        <v>793584</v>
      </c>
      <c r="D47" s="2">
        <v>161</v>
      </c>
      <c r="E47" s="2">
        <v>4.9290929999999999</v>
      </c>
      <c r="F47" s="2">
        <v>3.6855570000000002</v>
      </c>
      <c r="G47" s="2">
        <v>4.9769999999999997E-9</v>
      </c>
      <c r="I47" s="1">
        <v>14</v>
      </c>
      <c r="J47" s="7">
        <v>1.6199999999999999E-2</v>
      </c>
      <c r="K47" s="2">
        <v>847.18700000000001</v>
      </c>
      <c r="L47" s="2">
        <v>172</v>
      </c>
      <c r="M47" s="2">
        <v>4.9255060000000004</v>
      </c>
      <c r="N47" s="2">
        <v>3.6290849999999999</v>
      </c>
      <c r="O47" s="2">
        <v>6.9679999999999999E-9</v>
      </c>
      <c r="Q47" s="1">
        <v>14</v>
      </c>
      <c r="R47" s="7">
        <v>1.6199999999999999E-2</v>
      </c>
      <c r="S47">
        <v>70.991</v>
      </c>
      <c r="T47">
        <v>172</v>
      </c>
      <c r="U47">
        <v>4.1273799999999997E-7</v>
      </c>
      <c r="V47">
        <v>4.9086999999999995E-7</v>
      </c>
      <c r="W47">
        <v>5.3270000000000003E-9</v>
      </c>
      <c r="Y47" s="1">
        <v>14</v>
      </c>
      <c r="Z47" s="7">
        <v>1.6199999999999999E-2</v>
      </c>
      <c r="AA47">
        <v>1026.24</v>
      </c>
      <c r="AB47">
        <v>179</v>
      </c>
      <c r="AC47">
        <v>5.7331839999999996</v>
      </c>
      <c r="AD47">
        <v>4.3935259999999996</v>
      </c>
      <c r="AE47">
        <v>1.3693000000000001E-8</v>
      </c>
    </row>
    <row r="48" spans="1:31">
      <c r="A48" s="1">
        <v>15</v>
      </c>
      <c r="B48" s="7">
        <v>7.6899999999999996E-2</v>
      </c>
      <c r="C48" s="2">
        <v>93380</v>
      </c>
      <c r="D48" s="2">
        <v>837</v>
      </c>
      <c r="E48" s="2">
        <v>1.1156499999999999E-7</v>
      </c>
      <c r="F48" s="2">
        <v>6.6726999999999999E-8</v>
      </c>
      <c r="G48" s="2">
        <v>5.8600000000000004E-10</v>
      </c>
      <c r="I48" s="1">
        <v>15</v>
      </c>
      <c r="J48" s="7">
        <v>7.6899999999999996E-2</v>
      </c>
      <c r="K48" s="2">
        <v>73.984999999999999</v>
      </c>
      <c r="L48" s="2">
        <v>783</v>
      </c>
      <c r="M48" s="2">
        <v>9.4489000000000007E-8</v>
      </c>
      <c r="N48" s="2">
        <v>4.7693000000000002E-8</v>
      </c>
      <c r="O48" s="2">
        <v>6.0899999999999996E-10</v>
      </c>
      <c r="Q48" s="1">
        <v>15</v>
      </c>
      <c r="R48" s="7">
        <v>7.6899999999999996E-2</v>
      </c>
      <c r="S48">
        <v>64.195999999999998</v>
      </c>
      <c r="T48">
        <v>788</v>
      </c>
      <c r="U48">
        <v>8.1466999999999998E-8</v>
      </c>
      <c r="V48">
        <v>4.3400999999999999E-8</v>
      </c>
      <c r="W48">
        <v>4.8170000000000002E-9</v>
      </c>
      <c r="Y48" s="1">
        <v>15</v>
      </c>
      <c r="Z48" s="7">
        <v>7.6899999999999996E-2</v>
      </c>
      <c r="AA48">
        <v>73.909000000000006</v>
      </c>
      <c r="AB48">
        <v>774</v>
      </c>
      <c r="AC48">
        <v>9.5490000000000003E-8</v>
      </c>
      <c r="AD48">
        <v>3.8768999999999995E-8</v>
      </c>
      <c r="AE48">
        <v>9.859999999999999E-10</v>
      </c>
    </row>
    <row r="49" spans="5:29">
      <c r="E49" s="10">
        <f>SUMPRODUCT(B34:B48,E34:E48)</f>
        <v>1546.3559942300797</v>
      </c>
      <c r="M49" s="10">
        <f>SUMPRODUCT(J34:J48,M34:M48)</f>
        <v>1134.6376010386482</v>
      </c>
      <c r="U49" s="10">
        <f>SUMPRODUCT(R34:R48,U34:U48)</f>
        <v>125.52677351450538</v>
      </c>
      <c r="AC49" s="10">
        <f>SUMPRODUCT(Z34:Z48,AC34:AC48)</f>
        <v>714.54020111519787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042B-5D4F-46DA-BAD6-CA3999FE608D}">
  <dimension ref="A1:O24"/>
  <sheetViews>
    <sheetView topLeftCell="B4" zoomScale="130" zoomScaleNormal="130" workbookViewId="0">
      <selection activeCell="K20" sqref="K20"/>
    </sheetView>
  </sheetViews>
  <sheetFormatPr defaultColWidth="8.75" defaultRowHeight="14"/>
  <cols>
    <col min="1" max="1" width="15.33203125" style="12" bestFit="1" customWidth="1"/>
    <col min="2" max="2" width="12.08203125" style="12" bestFit="1" customWidth="1"/>
    <col min="3" max="3" width="13.83203125" style="12" bestFit="1" customWidth="1"/>
    <col min="4" max="4" width="15.08203125" style="12" customWidth="1"/>
    <col min="5" max="5" width="3" style="12" customWidth="1"/>
    <col min="6" max="6" width="14" style="12" bestFit="1" customWidth="1"/>
    <col min="7" max="7" width="15" style="12" customWidth="1"/>
    <col min="8" max="8" width="14.75" style="12" bestFit="1" customWidth="1"/>
    <col min="9" max="9" width="13.33203125" style="12" customWidth="1"/>
    <col min="10" max="10" width="3.08203125" style="12" customWidth="1"/>
    <col min="11" max="11" width="22.08203125" style="12" bestFit="1" customWidth="1"/>
    <col min="12" max="12" width="11.08203125" style="12" bestFit="1" customWidth="1"/>
    <col min="13" max="13" width="11.25" style="12" bestFit="1" customWidth="1"/>
    <col min="14" max="15" width="9.25" style="12" bestFit="1" customWidth="1"/>
    <col min="16" max="16" width="21.25" style="12" bestFit="1" customWidth="1"/>
    <col min="17" max="17" width="11.08203125" style="12" bestFit="1" customWidth="1"/>
    <col min="18" max="18" width="11.25" style="12" bestFit="1" customWidth="1"/>
    <col min="19" max="20" width="9.25" style="12" bestFit="1" customWidth="1"/>
    <col min="21" max="16384" width="8.75" style="12"/>
  </cols>
  <sheetData>
    <row r="1" spans="1:15" ht="28">
      <c r="A1" s="13" t="s">
        <v>22</v>
      </c>
      <c r="C1" s="19" t="s">
        <v>13</v>
      </c>
      <c r="D1" s="23" t="s">
        <v>35</v>
      </c>
      <c r="E1" s="13"/>
    </row>
    <row r="2" spans="1:15">
      <c r="A2" s="12" t="s">
        <v>23</v>
      </c>
      <c r="C2" s="12">
        <v>10000</v>
      </c>
      <c r="D2" s="12">
        <v>50333</v>
      </c>
    </row>
    <row r="3" spans="1:15">
      <c r="A3" s="12" t="s">
        <v>24</v>
      </c>
      <c r="C3" s="12">
        <v>10000</v>
      </c>
      <c r="D3" s="12">
        <v>1489126</v>
      </c>
    </row>
    <row r="4" spans="1:15">
      <c r="A4" s="12" t="s">
        <v>25</v>
      </c>
      <c r="C4" s="12">
        <v>10000</v>
      </c>
      <c r="D4" s="12">
        <v>3623390</v>
      </c>
    </row>
    <row r="6" spans="1:15" ht="42">
      <c r="A6" s="13" t="s">
        <v>36</v>
      </c>
      <c r="B6" s="13" t="s">
        <v>16</v>
      </c>
      <c r="C6" s="13" t="s">
        <v>39</v>
      </c>
      <c r="D6" s="13" t="s">
        <v>38</v>
      </c>
      <c r="E6" s="13"/>
      <c r="F6" s="13" t="s">
        <v>40</v>
      </c>
      <c r="G6" s="13" t="s">
        <v>41</v>
      </c>
      <c r="K6" s="13" t="s">
        <v>44</v>
      </c>
      <c r="L6" s="13" t="s">
        <v>31</v>
      </c>
      <c r="M6" s="13" t="s">
        <v>32</v>
      </c>
      <c r="N6" s="13" t="s">
        <v>33</v>
      </c>
      <c r="O6" s="13" t="s">
        <v>34</v>
      </c>
    </row>
    <row r="7" spans="1:15">
      <c r="A7" s="12" t="s">
        <v>14</v>
      </c>
      <c r="B7" s="14">
        <f>'Query 5x'!E30</f>
        <v>62.661454358204836</v>
      </c>
      <c r="C7" s="20">
        <f>$B7*C$3/1000</f>
        <v>626.61454358204833</v>
      </c>
      <c r="D7" s="22">
        <f>$B7*D$3/1000</f>
        <v>93310.800882616139</v>
      </c>
      <c r="E7" s="25"/>
      <c r="F7" s="21">
        <f>C7/60</f>
        <v>10.443575726367472</v>
      </c>
      <c r="G7" s="24">
        <f>D7/60</f>
        <v>1555.180014710269</v>
      </c>
      <c r="H7" s="16"/>
      <c r="I7" s="16"/>
      <c r="J7" s="16"/>
    </row>
    <row r="8" spans="1:15">
      <c r="A8" s="12" t="s">
        <v>15</v>
      </c>
      <c r="B8" s="14">
        <f>'Query 5x'!M30</f>
        <v>1.9067935424388094</v>
      </c>
      <c r="C8" s="20">
        <f>$B8*C$3/1000</f>
        <v>19.067935424388097</v>
      </c>
      <c r="D8" s="22">
        <f>$B8*D$3/1000</f>
        <v>2839.4558406777346</v>
      </c>
      <c r="E8" s="25"/>
      <c r="F8" s="21">
        <f>C8/60</f>
        <v>0.31779892373980162</v>
      </c>
      <c r="G8" s="24">
        <f>D8/60</f>
        <v>47.324264011295575</v>
      </c>
      <c r="H8" s="16"/>
      <c r="I8" s="16"/>
      <c r="J8" s="16"/>
      <c r="K8" s="12">
        <v>319.2</v>
      </c>
      <c r="L8" s="17">
        <f>K8*$D$24</f>
        <v>785870.4</v>
      </c>
      <c r="M8" s="15">
        <f>L8/60</f>
        <v>13097.84</v>
      </c>
      <c r="N8" s="15">
        <f>M8/60</f>
        <v>218.29733333333334</v>
      </c>
      <c r="O8" s="15">
        <f>N8/24</f>
        <v>9.0957222222222232</v>
      </c>
    </row>
    <row r="10" spans="1:15" ht="42">
      <c r="A10" s="13" t="s">
        <v>37</v>
      </c>
      <c r="B10" s="13" t="s">
        <v>16</v>
      </c>
      <c r="C10" s="13" t="s">
        <v>39</v>
      </c>
      <c r="D10" s="13" t="s">
        <v>38</v>
      </c>
      <c r="E10" s="13"/>
      <c r="F10" s="13" t="s">
        <v>40</v>
      </c>
      <c r="G10" s="13" t="s">
        <v>41</v>
      </c>
      <c r="H10" s="13" t="s">
        <v>42</v>
      </c>
      <c r="I10" s="13" t="s">
        <v>43</v>
      </c>
      <c r="J10" s="13"/>
      <c r="K10" s="13" t="s">
        <v>45</v>
      </c>
      <c r="L10" s="13" t="s">
        <v>31</v>
      </c>
      <c r="M10" s="13" t="s">
        <v>32</v>
      </c>
      <c r="N10" s="13" t="s">
        <v>33</v>
      </c>
      <c r="O10" s="13" t="s">
        <v>34</v>
      </c>
    </row>
    <row r="11" spans="1:15">
      <c r="A11" s="12" t="s">
        <v>17</v>
      </c>
      <c r="B11" s="14">
        <f>'Query 5x'!E49</f>
        <v>1546.3559942300797</v>
      </c>
      <c r="C11" s="20">
        <f t="shared" ref="C11:D13" si="0">$B11*C$4/1000</f>
        <v>15463.559942300797</v>
      </c>
      <c r="D11" s="22">
        <f t="shared" si="0"/>
        <v>5603050.8459333284</v>
      </c>
      <c r="E11" s="25"/>
      <c r="F11" s="21">
        <f t="shared" ref="F11:G13" si="1">C11/60</f>
        <v>257.72599903834663</v>
      </c>
      <c r="G11" s="24">
        <f t="shared" si="1"/>
        <v>93384.180765555473</v>
      </c>
      <c r="H11" s="24">
        <f>G11/60</f>
        <v>1556.403012759258</v>
      </c>
      <c r="I11" s="24">
        <f>H11/24</f>
        <v>64.850125531635754</v>
      </c>
      <c r="J11" s="16"/>
      <c r="K11" s="18"/>
      <c r="L11" s="18"/>
      <c r="M11" s="18"/>
      <c r="N11" s="18"/>
      <c r="O11" s="18"/>
    </row>
    <row r="12" spans="1:15">
      <c r="A12" s="12" t="s">
        <v>18</v>
      </c>
      <c r="B12" s="14">
        <f>'Query 5x'!M49</f>
        <v>1134.6376010386482</v>
      </c>
      <c r="C12" s="20">
        <f t="shared" si="0"/>
        <v>11346.376010386482</v>
      </c>
      <c r="D12" s="22">
        <f t="shared" si="0"/>
        <v>4111234.5372274276</v>
      </c>
      <c r="E12" s="25"/>
      <c r="F12" s="21">
        <f t="shared" si="1"/>
        <v>189.10626683977472</v>
      </c>
      <c r="G12" s="24">
        <f t="shared" si="1"/>
        <v>68520.575620457123</v>
      </c>
      <c r="H12" s="24">
        <f>G12/60</f>
        <v>1142.0095936742853</v>
      </c>
      <c r="I12" s="24">
        <f>H12/24</f>
        <v>47.583733069761884</v>
      </c>
      <c r="J12" s="16"/>
      <c r="K12" s="18"/>
      <c r="L12" s="18"/>
      <c r="M12" s="18"/>
      <c r="N12" s="18"/>
      <c r="O12" s="18"/>
    </row>
    <row r="13" spans="1:15">
      <c r="A13" s="12" t="s">
        <v>19</v>
      </c>
      <c r="B13" s="14">
        <f>'Query 5x'!U49</f>
        <v>125.52677351450538</v>
      </c>
      <c r="C13" s="20">
        <f t="shared" si="0"/>
        <v>1255.2677351450538</v>
      </c>
      <c r="D13" s="22">
        <f t="shared" si="0"/>
        <v>454832.45588472369</v>
      </c>
      <c r="E13" s="25"/>
      <c r="F13" s="21">
        <f t="shared" si="1"/>
        <v>20.921128919084232</v>
      </c>
      <c r="G13" s="24">
        <f t="shared" si="1"/>
        <v>7580.5409314120616</v>
      </c>
      <c r="H13" s="24">
        <f>G13/60</f>
        <v>126.34234885686769</v>
      </c>
      <c r="I13" s="24">
        <f>H13/24</f>
        <v>5.2642645357028206</v>
      </c>
      <c r="J13" s="16"/>
      <c r="K13" s="18">
        <v>521.9</v>
      </c>
      <c r="L13" s="17">
        <f>K13*$D$24</f>
        <v>1284917.8</v>
      </c>
      <c r="M13" s="15">
        <f>L13/60</f>
        <v>21415.296666666669</v>
      </c>
      <c r="N13" s="15">
        <f>M13/60</f>
        <v>356.92161111111113</v>
      </c>
      <c r="O13" s="15">
        <f>N13/24</f>
        <v>14.871733796296297</v>
      </c>
    </row>
    <row r="23" spans="1:7">
      <c r="A23" s="13" t="s">
        <v>26</v>
      </c>
      <c r="B23" s="13" t="s">
        <v>27</v>
      </c>
      <c r="C23" s="13" t="s">
        <v>28</v>
      </c>
      <c r="D23" s="13" t="s">
        <v>29</v>
      </c>
      <c r="E23" s="13"/>
      <c r="G23" s="13"/>
    </row>
    <row r="24" spans="1:7">
      <c r="A24" s="12" t="s">
        <v>30</v>
      </c>
      <c r="B24" s="12">
        <v>1231000000</v>
      </c>
      <c r="C24" s="12">
        <v>500000</v>
      </c>
      <c r="D24" s="17">
        <f>B24/C24</f>
        <v>2462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62C2-05AD-4EDF-8FA5-0FC927BA6B9A}">
  <dimension ref="A1:AI49"/>
  <sheetViews>
    <sheetView topLeftCell="F22" zoomScale="85" zoomScaleNormal="85" workbookViewId="0">
      <selection activeCell="AI50" sqref="AI50"/>
    </sheetView>
  </sheetViews>
  <sheetFormatPr defaultColWidth="28.08203125" defaultRowHeight="14"/>
  <cols>
    <col min="1" max="1" width="7.83203125" customWidth="1"/>
    <col min="2" max="2" width="6.25" bestFit="1" customWidth="1"/>
    <col min="3" max="7" width="12.58203125" customWidth="1"/>
    <col min="8" max="8" width="7.4140625" customWidth="1"/>
    <col min="9" max="9" width="4.83203125" customWidth="1"/>
    <col min="10" max="10" width="7.33203125" customWidth="1"/>
    <col min="11" max="11" width="6.33203125" bestFit="1" customWidth="1"/>
    <col min="12" max="16" width="11.83203125" customWidth="1"/>
    <col min="17" max="17" width="7.4140625" customWidth="1"/>
    <col min="18" max="18" width="5.75" customWidth="1"/>
    <col min="19" max="20" width="6.75" customWidth="1"/>
    <col min="21" max="23" width="12.33203125" customWidth="1"/>
    <col min="24" max="24" width="12.33203125" hidden="1" customWidth="1"/>
    <col min="25" max="25" width="12.33203125" customWidth="1"/>
    <col min="26" max="26" width="7.4140625" customWidth="1"/>
    <col min="27" max="27" width="6.33203125" customWidth="1"/>
    <col min="28" max="28" width="6.58203125" customWidth="1"/>
    <col min="29" max="29" width="6.33203125" bestFit="1" customWidth="1"/>
    <col min="30" max="32" width="11.58203125" customWidth="1"/>
    <col min="33" max="33" width="11.58203125" hidden="1" customWidth="1"/>
    <col min="34" max="34" width="11.58203125" customWidth="1"/>
    <col min="35" max="35" width="7.08203125" customWidth="1"/>
  </cols>
  <sheetData>
    <row r="1" spans="1:26" ht="26">
      <c r="A1" s="1">
        <v>2003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64" t="s">
        <v>485</v>
      </c>
      <c r="Q1" s="64"/>
      <c r="Z1" s="64"/>
    </row>
    <row r="2" spans="1:26" ht="26">
      <c r="A2" s="1" t="s">
        <v>5</v>
      </c>
      <c r="B2" s="1"/>
      <c r="C2" s="1"/>
      <c r="D2" s="1"/>
      <c r="E2" s="1"/>
      <c r="F2" s="1"/>
      <c r="G2" s="1"/>
      <c r="H2" s="64"/>
      <c r="Q2" s="64"/>
      <c r="Z2" s="64"/>
    </row>
    <row r="3" spans="1:26">
      <c r="A3" s="1">
        <v>1</v>
      </c>
      <c r="B3" s="7">
        <v>0.60299999999999998</v>
      </c>
      <c r="C3" s="2">
        <v>11484.314</v>
      </c>
      <c r="D3" s="2">
        <v>6013</v>
      </c>
      <c r="E3" s="4">
        <v>1.9099139999999999</v>
      </c>
      <c r="F3" s="2">
        <v>1.2153419999999999</v>
      </c>
      <c r="G3" s="2">
        <v>1.4669080000000001</v>
      </c>
      <c r="H3" s="65">
        <v>1</v>
      </c>
      <c r="Q3" s="67"/>
      <c r="Z3" s="67"/>
    </row>
    <row r="4" spans="1:26">
      <c r="A4" s="1">
        <v>2</v>
      </c>
      <c r="B4" s="7">
        <v>0.22459999999999999</v>
      </c>
      <c r="C4" s="2">
        <v>404097.152</v>
      </c>
      <c r="D4" s="2">
        <v>2211</v>
      </c>
      <c r="E4" s="4">
        <v>182.76669000000001</v>
      </c>
      <c r="F4" s="2">
        <v>101.391473</v>
      </c>
      <c r="G4" s="2">
        <v>51.615912000000002</v>
      </c>
      <c r="H4" s="65">
        <v>941.1</v>
      </c>
      <c r="Q4" s="67"/>
      <c r="Z4" s="67"/>
    </row>
    <row r="5" spans="1:26">
      <c r="A5" s="1">
        <v>3</v>
      </c>
      <c r="B5" s="7">
        <v>4.7500000000000001E-2</v>
      </c>
      <c r="C5" s="2">
        <v>111099.35</v>
      </c>
      <c r="D5" s="2">
        <v>512</v>
      </c>
      <c r="E5" s="4">
        <v>216.99091799999999</v>
      </c>
      <c r="F5" s="2">
        <v>154.42049499999999</v>
      </c>
      <c r="G5" s="2">
        <v>14.19088</v>
      </c>
      <c r="H5" s="65">
        <v>293.5</v>
      </c>
      <c r="Q5" s="67"/>
      <c r="Z5" s="67"/>
    </row>
    <row r="6" spans="1:26">
      <c r="A6" s="1">
        <v>4</v>
      </c>
      <c r="B6" s="7">
        <v>0.114</v>
      </c>
      <c r="C6" s="2">
        <v>256011.49100000001</v>
      </c>
      <c r="D6" s="2">
        <v>1151</v>
      </c>
      <c r="E6" s="4">
        <v>222.425275</v>
      </c>
      <c r="F6" s="2">
        <v>156.76627099999999</v>
      </c>
      <c r="G6" s="2">
        <v>32.700716999999997</v>
      </c>
      <c r="H6" s="65">
        <v>303.60000000000002</v>
      </c>
      <c r="Q6" s="67"/>
      <c r="Z6" s="67"/>
    </row>
    <row r="7" spans="1:26">
      <c r="A7" s="1">
        <v>5</v>
      </c>
      <c r="B7" s="7">
        <v>1.09E-2</v>
      </c>
      <c r="C7" s="2">
        <v>200.28700000000001</v>
      </c>
      <c r="D7" s="2">
        <v>113</v>
      </c>
      <c r="E7" s="4">
        <v>1.772451</v>
      </c>
      <c r="F7" s="2">
        <v>9.586843</v>
      </c>
      <c r="G7" s="2">
        <v>2.5583000000000002E-8</v>
      </c>
      <c r="H7" s="65">
        <v>1</v>
      </c>
      <c r="Q7" s="67"/>
      <c r="Z7" s="67"/>
    </row>
    <row r="8" spans="1:26">
      <c r="B8" s="8"/>
      <c r="E8" s="10">
        <f>SUMPRODUCT(B3:B7,E3:E7)</f>
        <v>77.883946386899993</v>
      </c>
      <c r="H8" s="10">
        <f>SUMPRODUCT(B3:B7,H3:H7)</f>
        <v>260.53661</v>
      </c>
      <c r="Q8" s="35"/>
      <c r="Z8" s="35"/>
    </row>
    <row r="9" spans="1:26">
      <c r="B9" s="8"/>
      <c r="E9" s="6"/>
      <c r="Q9" s="35"/>
      <c r="Z9" s="35"/>
    </row>
    <row r="10" spans="1:26" ht="26">
      <c r="A10" s="1" t="s">
        <v>6</v>
      </c>
      <c r="B10" s="1" t="s">
        <v>9</v>
      </c>
      <c r="C10" s="1" t="s">
        <v>0</v>
      </c>
      <c r="D10" s="1" t="s">
        <v>1</v>
      </c>
      <c r="E10" s="1" t="s">
        <v>2</v>
      </c>
      <c r="F10" s="1" t="s">
        <v>3</v>
      </c>
      <c r="G10" s="1" t="s">
        <v>4</v>
      </c>
      <c r="H10" s="64" t="s">
        <v>485</v>
      </c>
      <c r="Q10" s="64"/>
      <c r="Z10" s="64"/>
    </row>
    <row r="11" spans="1:26" ht="26">
      <c r="A11" s="1" t="s">
        <v>5</v>
      </c>
      <c r="B11" s="9"/>
      <c r="C11" s="1"/>
      <c r="D11" s="1"/>
      <c r="E11" s="1"/>
      <c r="F11" s="1"/>
      <c r="G11" s="1"/>
      <c r="H11" s="64"/>
      <c r="Q11" s="64"/>
      <c r="Z11" s="64"/>
    </row>
    <row r="12" spans="1:26">
      <c r="A12" s="1">
        <v>1</v>
      </c>
      <c r="B12" s="7">
        <v>0.60299999999999998</v>
      </c>
      <c r="C12" s="2">
        <v>4761.0209999999997</v>
      </c>
      <c r="D12" s="3">
        <v>6104</v>
      </c>
      <c r="E12" s="5">
        <v>7.7998400000000003E-7</v>
      </c>
      <c r="F12" s="3">
        <v>6.6902500000000002E-7</v>
      </c>
      <c r="G12" s="3">
        <v>8.3123970000000007</v>
      </c>
      <c r="H12" s="66">
        <v>1</v>
      </c>
      <c r="Q12" s="66"/>
      <c r="Z12" s="66"/>
    </row>
    <row r="13" spans="1:26">
      <c r="A13" s="1">
        <v>2</v>
      </c>
      <c r="B13" s="7">
        <v>0.22459999999999999</v>
      </c>
      <c r="C13" s="2">
        <v>18215.063999999998</v>
      </c>
      <c r="D13" s="3">
        <v>2224</v>
      </c>
      <c r="E13" s="5">
        <v>8.1902270000000001</v>
      </c>
      <c r="F13" s="3">
        <v>5.5119030000000002</v>
      </c>
      <c r="G13" s="3">
        <v>31.802181000000001</v>
      </c>
      <c r="H13" s="66">
        <v>942.4</v>
      </c>
      <c r="Q13" s="66"/>
      <c r="Z13" s="66"/>
    </row>
    <row r="14" spans="1:26">
      <c r="A14" s="1">
        <v>3</v>
      </c>
      <c r="B14" s="7">
        <v>4.7500000000000001E-2</v>
      </c>
      <c r="C14" s="2">
        <v>9833.4609999999993</v>
      </c>
      <c r="D14" s="3">
        <v>472</v>
      </c>
      <c r="E14" s="5">
        <v>20.833604000000001</v>
      </c>
      <c r="F14" s="3">
        <v>22.772856000000001</v>
      </c>
      <c r="G14" s="3">
        <v>17.168510000000001</v>
      </c>
      <c r="H14" s="66">
        <v>293.7</v>
      </c>
      <c r="Q14" s="66"/>
      <c r="Z14" s="66"/>
    </row>
    <row r="15" spans="1:26">
      <c r="A15" s="1">
        <v>4</v>
      </c>
      <c r="B15" s="7">
        <v>0.114</v>
      </c>
      <c r="C15" s="2">
        <v>24293.846000000001</v>
      </c>
      <c r="D15" s="3">
        <v>1095</v>
      </c>
      <c r="E15" s="5">
        <v>22.186160999999998</v>
      </c>
      <c r="F15" s="3">
        <v>20.771301999999999</v>
      </c>
      <c r="G15" s="3">
        <v>42.415292999999998</v>
      </c>
      <c r="H15" s="66">
        <v>270.2</v>
      </c>
      <c r="Q15" s="66"/>
      <c r="Z15" s="66"/>
    </row>
    <row r="16" spans="1:26">
      <c r="A16" s="1">
        <v>5</v>
      </c>
      <c r="B16" s="7">
        <v>1.09E-2</v>
      </c>
      <c r="C16" s="2">
        <v>172.756</v>
      </c>
      <c r="D16" s="3">
        <v>105</v>
      </c>
      <c r="E16" s="5">
        <v>1.645295</v>
      </c>
      <c r="F16" s="3">
        <v>5.0284560000000003</v>
      </c>
      <c r="G16" s="3">
        <v>3.0161900000000005E-7</v>
      </c>
      <c r="H16" s="66">
        <v>1</v>
      </c>
      <c r="Q16" s="66"/>
      <c r="Z16" s="66"/>
    </row>
    <row r="17" spans="1:35">
      <c r="B17" s="8"/>
      <c r="E17" s="10">
        <f>SUMPRODUCT(B12:B16,E12:E16)</f>
        <v>5.3762777140303513</v>
      </c>
      <c r="F17" s="63">
        <f>SQRT(SUMPRODUCT(B12:B16,F12:F16)/SUM(B12:B16))</f>
        <v>2.1777105123551372</v>
      </c>
      <c r="H17" s="10">
        <f>SUMPRODUCT(B12:B16,H12:H16)</f>
        <v>257.03048999999999</v>
      </c>
    </row>
    <row r="18" spans="1:35">
      <c r="B18" s="8"/>
    </row>
    <row r="19" spans="1:35" ht="39">
      <c r="A19" s="1" t="s">
        <v>7</v>
      </c>
      <c r="B19" s="1" t="s">
        <v>9</v>
      </c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64" t="s">
        <v>485</v>
      </c>
      <c r="J19" s="1" t="s">
        <v>8</v>
      </c>
      <c r="K19" s="1" t="s">
        <v>9</v>
      </c>
      <c r="L19" s="1" t="s">
        <v>0</v>
      </c>
      <c r="M19" s="1" t="s">
        <v>1</v>
      </c>
      <c r="N19" s="1" t="s">
        <v>2</v>
      </c>
      <c r="O19" s="1" t="s">
        <v>3</v>
      </c>
      <c r="P19" s="1" t="s">
        <v>4</v>
      </c>
      <c r="Q19" s="64" t="s">
        <v>485</v>
      </c>
      <c r="S19" s="1">
        <v>2013</v>
      </c>
      <c r="T19" s="1" t="s">
        <v>9</v>
      </c>
      <c r="U19" s="1" t="s">
        <v>0</v>
      </c>
      <c r="V19" s="1" t="s">
        <v>1</v>
      </c>
      <c r="W19" s="1" t="s">
        <v>2</v>
      </c>
      <c r="X19" s="1" t="s">
        <v>3</v>
      </c>
      <c r="Y19" s="1" t="s">
        <v>4</v>
      </c>
      <c r="Z19" s="64" t="s">
        <v>485</v>
      </c>
    </row>
    <row r="20" spans="1:35" ht="26">
      <c r="A20" s="1" t="s">
        <v>5</v>
      </c>
      <c r="B20" s="9"/>
      <c r="C20" s="1"/>
      <c r="D20" s="1"/>
      <c r="E20" s="1"/>
      <c r="F20" s="1"/>
      <c r="G20" s="1"/>
      <c r="H20" s="64"/>
      <c r="J20" s="1" t="s">
        <v>5</v>
      </c>
      <c r="K20" s="9"/>
      <c r="L20" s="1"/>
      <c r="M20" s="1"/>
      <c r="N20" s="1"/>
      <c r="O20" s="1"/>
      <c r="P20" s="1"/>
      <c r="Q20" s="64"/>
      <c r="S20" s="1" t="s">
        <v>5</v>
      </c>
      <c r="T20" s="9"/>
      <c r="U20" s="1"/>
      <c r="V20" s="1"/>
      <c r="W20" s="1"/>
      <c r="X20" s="1"/>
      <c r="Y20" s="1"/>
      <c r="Z20" s="64"/>
    </row>
    <row r="21" spans="1:35">
      <c r="A21" s="1">
        <v>1</v>
      </c>
      <c r="B21" s="7">
        <v>0.1066</v>
      </c>
      <c r="C21" s="2">
        <v>1001.5359999999999</v>
      </c>
      <c r="D21" s="2">
        <v>1878</v>
      </c>
      <c r="E21" s="2">
        <v>5.3329900000000002E-7</v>
      </c>
      <c r="F21" s="2">
        <v>5.25048E-7</v>
      </c>
      <c r="G21" s="2">
        <v>8.6367999999999996E-8</v>
      </c>
      <c r="H21" s="67">
        <v>1</v>
      </c>
      <c r="J21" s="1">
        <v>1</v>
      </c>
      <c r="K21" s="7">
        <v>0.1066</v>
      </c>
      <c r="L21" s="2">
        <v>1476.6030000000001</v>
      </c>
      <c r="M21" s="2">
        <v>1866</v>
      </c>
      <c r="N21" s="2">
        <v>7.9132000000000007E-7</v>
      </c>
      <c r="O21" s="2">
        <v>4.5006699999999998E-7</v>
      </c>
      <c r="P21" s="2">
        <v>3.8664689999999999</v>
      </c>
      <c r="Q21" s="67">
        <v>1</v>
      </c>
      <c r="S21" s="1">
        <v>1</v>
      </c>
      <c r="T21" s="7">
        <v>0.1066</v>
      </c>
      <c r="U21" s="2">
        <v>3612.37</v>
      </c>
      <c r="V21" s="2">
        <v>1870</v>
      </c>
      <c r="W21" s="2">
        <v>1.9317489999999999</v>
      </c>
      <c r="X21" s="2">
        <v>1.3156060000000001</v>
      </c>
      <c r="Y21" s="2">
        <v>7.0323999999999994E-7</v>
      </c>
      <c r="Z21" s="67">
        <v>1</v>
      </c>
    </row>
    <row r="22" spans="1:35">
      <c r="A22" s="1">
        <v>2</v>
      </c>
      <c r="B22" s="7">
        <v>1.3299999999999999E-2</v>
      </c>
      <c r="C22" s="2">
        <v>1756.271</v>
      </c>
      <c r="D22" s="2">
        <v>235</v>
      </c>
      <c r="E22" s="2">
        <v>7.4734939999999996</v>
      </c>
      <c r="F22" s="2">
        <v>5.2624649999999997</v>
      </c>
      <c r="G22" s="2">
        <v>1.51453E-7</v>
      </c>
      <c r="H22" s="67">
        <v>1007</v>
      </c>
      <c r="J22" s="1">
        <v>2</v>
      </c>
      <c r="K22" s="7">
        <v>1.3299999999999999E-2</v>
      </c>
      <c r="L22" s="2">
        <v>4379.5309999999999</v>
      </c>
      <c r="M22" s="2">
        <v>253</v>
      </c>
      <c r="N22" s="2">
        <v>17.310399</v>
      </c>
      <c r="O22" s="2">
        <v>12.164324000000001</v>
      </c>
      <c r="P22" s="2">
        <v>11.467753999999999</v>
      </c>
      <c r="Q22" s="67">
        <v>559.20000000000005</v>
      </c>
      <c r="S22" s="1">
        <v>2</v>
      </c>
      <c r="T22" s="7">
        <v>1.3299999999999999E-2</v>
      </c>
      <c r="U22" s="2">
        <v>80758.187000000005</v>
      </c>
      <c r="V22" s="2">
        <v>250</v>
      </c>
      <c r="W22" s="2">
        <v>323.03274800000003</v>
      </c>
      <c r="X22" s="2">
        <v>169.00903199999999</v>
      </c>
      <c r="Y22" s="2">
        <v>15.721648</v>
      </c>
      <c r="Z22" s="67">
        <v>966.7</v>
      </c>
    </row>
    <row r="23" spans="1:35">
      <c r="A23" s="1">
        <v>3</v>
      </c>
      <c r="B23" s="7">
        <v>0.14130000000000001</v>
      </c>
      <c r="C23" s="2">
        <v>1151521.747</v>
      </c>
      <c r="D23" s="2">
        <v>2570</v>
      </c>
      <c r="E23" s="2">
        <v>448.06293699999998</v>
      </c>
      <c r="F23" s="2">
        <v>252.06518299999999</v>
      </c>
      <c r="G23" s="2">
        <v>99.302346</v>
      </c>
      <c r="H23" s="67">
        <v>418.3</v>
      </c>
      <c r="J23" s="1">
        <v>3</v>
      </c>
      <c r="K23" s="7">
        <v>0.14130000000000001</v>
      </c>
      <c r="L23" s="2">
        <v>21221.743999999999</v>
      </c>
      <c r="M23" s="2">
        <v>2493</v>
      </c>
      <c r="N23" s="2">
        <v>8.5125329999999995</v>
      </c>
      <c r="O23" s="2">
        <v>9.7662019999999998</v>
      </c>
      <c r="P23" s="2">
        <v>55.568904000000003</v>
      </c>
      <c r="Q23" s="67">
        <v>426.3</v>
      </c>
      <c r="S23" s="1">
        <v>3</v>
      </c>
      <c r="T23" s="7">
        <v>0.14130000000000001</v>
      </c>
      <c r="U23" s="2">
        <v>429210.46799999999</v>
      </c>
      <c r="V23" s="2">
        <v>2600</v>
      </c>
      <c r="W23" s="2">
        <v>165.080949</v>
      </c>
      <c r="X23" s="2">
        <v>95.267078999999995</v>
      </c>
      <c r="Y23" s="2">
        <v>83.556804</v>
      </c>
      <c r="Z23" s="67">
        <v>415.9</v>
      </c>
    </row>
    <row r="24" spans="1:35">
      <c r="A24" s="1">
        <v>4</v>
      </c>
      <c r="B24" s="7">
        <v>5.4699999999999999E-2</v>
      </c>
      <c r="C24" s="2">
        <v>1163.9100000000001</v>
      </c>
      <c r="D24" s="2">
        <v>989</v>
      </c>
      <c r="E24" s="2">
        <v>1.176855</v>
      </c>
      <c r="F24" s="2">
        <v>21.235512</v>
      </c>
      <c r="G24" s="2">
        <v>1.0037100000000001E-7</v>
      </c>
      <c r="H24" s="67">
        <v>1</v>
      </c>
      <c r="J24" s="1">
        <v>4</v>
      </c>
      <c r="K24" s="7">
        <v>5.4699999999999999E-2</v>
      </c>
      <c r="L24" s="2">
        <v>1108.655</v>
      </c>
      <c r="M24" s="2">
        <v>968</v>
      </c>
      <c r="N24" s="2">
        <v>1.145305</v>
      </c>
      <c r="O24" s="2">
        <v>4.3559590000000004</v>
      </c>
      <c r="P24" s="2">
        <v>2.9030010000000002</v>
      </c>
      <c r="Q24" s="67">
        <v>1</v>
      </c>
      <c r="S24" s="1">
        <v>4</v>
      </c>
      <c r="T24" s="7">
        <v>5.4699999999999999E-2</v>
      </c>
      <c r="U24" s="2">
        <v>19.972999999999999</v>
      </c>
      <c r="V24" s="2">
        <v>929</v>
      </c>
      <c r="W24" s="2">
        <v>2.1498999999999999E-8</v>
      </c>
      <c r="X24" s="2">
        <v>9.1780000000000012E-9</v>
      </c>
      <c r="Y24" s="2">
        <v>3.8879999999999998E-9</v>
      </c>
      <c r="Z24" s="67">
        <v>1</v>
      </c>
    </row>
    <row r="25" spans="1:35">
      <c r="A25" s="1">
        <v>5</v>
      </c>
      <c r="B25" s="7">
        <v>4.6800000000000001E-2</v>
      </c>
      <c r="C25" s="2">
        <v>21.917999999999999</v>
      </c>
      <c r="D25" s="2">
        <v>839</v>
      </c>
      <c r="E25" s="2">
        <v>2.6124000000000003E-8</v>
      </c>
      <c r="F25" s="2">
        <v>1.3717999999999999E-8</v>
      </c>
      <c r="G25" s="2">
        <v>1.8899999999999999E-9</v>
      </c>
      <c r="H25" s="67">
        <v>0.16</v>
      </c>
      <c r="J25" s="1">
        <v>5</v>
      </c>
      <c r="K25" s="7">
        <v>4.6800000000000001E-2</v>
      </c>
      <c r="L25" s="2">
        <v>1655.7429999999999</v>
      </c>
      <c r="M25" s="2">
        <v>817</v>
      </c>
      <c r="N25" s="2">
        <v>2.0266130000000002</v>
      </c>
      <c r="O25" s="2">
        <v>6.5651840000000004</v>
      </c>
      <c r="P25" s="2">
        <v>4.3355449999999998</v>
      </c>
      <c r="Q25" s="67">
        <v>0.17</v>
      </c>
      <c r="S25" s="1">
        <v>5</v>
      </c>
      <c r="T25" s="7">
        <v>4.6800000000000001E-2</v>
      </c>
      <c r="U25" s="2">
        <v>10.08</v>
      </c>
      <c r="V25" s="2">
        <v>857</v>
      </c>
      <c r="W25" s="2">
        <v>1.1762E-8</v>
      </c>
      <c r="X25" s="2">
        <v>6.278E-9</v>
      </c>
      <c r="Y25" s="2">
        <v>1.962E-9</v>
      </c>
      <c r="Z25" s="67">
        <v>0.16</v>
      </c>
    </row>
    <row r="26" spans="1:35">
      <c r="A26" s="1">
        <v>6</v>
      </c>
      <c r="B26" s="7">
        <v>0.10780000000000001</v>
      </c>
      <c r="C26" s="2">
        <v>4046.9490000000001</v>
      </c>
      <c r="D26" s="2">
        <v>1939</v>
      </c>
      <c r="E26" s="2">
        <v>2.087132</v>
      </c>
      <c r="F26" s="2">
        <v>19.679151000000001</v>
      </c>
      <c r="G26" s="2">
        <v>3.4899200000000001E-7</v>
      </c>
      <c r="H26" s="67">
        <v>1</v>
      </c>
      <c r="J26" s="1">
        <v>6</v>
      </c>
      <c r="K26" s="7">
        <v>0.10780000000000001</v>
      </c>
      <c r="L26" s="2">
        <v>6825.6790000000001</v>
      </c>
      <c r="M26" s="2">
        <v>1976</v>
      </c>
      <c r="N26" s="2">
        <v>3.454291</v>
      </c>
      <c r="O26" s="2">
        <v>7.93215</v>
      </c>
      <c r="P26" s="2">
        <v>17.872966000000002</v>
      </c>
      <c r="Q26" s="67">
        <v>1</v>
      </c>
      <c r="S26" s="1">
        <v>6</v>
      </c>
      <c r="T26" s="7">
        <v>0.10780000000000001</v>
      </c>
      <c r="U26" s="2">
        <v>32.515000000000001</v>
      </c>
      <c r="V26" s="2">
        <v>1940</v>
      </c>
      <c r="W26" s="2">
        <v>1.6759999999999999E-8</v>
      </c>
      <c r="X26" s="2">
        <v>6.7590000000000003E-9</v>
      </c>
      <c r="Y26" s="2">
        <v>6.3299999999999994E-9</v>
      </c>
      <c r="Z26" s="67">
        <v>1</v>
      </c>
    </row>
    <row r="27" spans="1:35">
      <c r="A27" s="1">
        <v>7</v>
      </c>
      <c r="B27" s="7">
        <v>3.49E-2</v>
      </c>
      <c r="C27" s="2">
        <v>14.456</v>
      </c>
      <c r="D27" s="2">
        <v>661</v>
      </c>
      <c r="E27" s="2">
        <v>2.187E-8</v>
      </c>
      <c r="F27" s="2">
        <v>1.1472E-8</v>
      </c>
      <c r="G27" s="2">
        <v>1.2470000000000001E-9</v>
      </c>
      <c r="H27" s="67">
        <v>4</v>
      </c>
      <c r="J27" s="1">
        <v>7</v>
      </c>
      <c r="K27" s="7">
        <v>3.49E-2</v>
      </c>
      <c r="L27" s="2">
        <v>700.51</v>
      </c>
      <c r="M27" s="2">
        <v>654</v>
      </c>
      <c r="N27" s="2">
        <v>1.071116</v>
      </c>
      <c r="O27" s="2">
        <v>3.4017599999999999</v>
      </c>
      <c r="P27" s="2">
        <v>1.8342780000000001</v>
      </c>
      <c r="Q27" s="67">
        <v>4</v>
      </c>
      <c r="S27" s="1">
        <v>7</v>
      </c>
      <c r="T27" s="7">
        <v>3.49E-2</v>
      </c>
      <c r="U27" s="2">
        <v>12.382</v>
      </c>
      <c r="V27" s="2">
        <v>629</v>
      </c>
      <c r="W27" s="2">
        <v>1.9685000000000001E-8</v>
      </c>
      <c r="X27" s="2">
        <v>6.8020000000000003E-9</v>
      </c>
      <c r="Y27" s="2">
        <v>2.4099999999999997E-9</v>
      </c>
      <c r="Z27" s="67">
        <v>4</v>
      </c>
    </row>
    <row r="28" spans="1:35">
      <c r="A28" s="1">
        <v>8</v>
      </c>
      <c r="B28" s="7">
        <v>2.63E-2</v>
      </c>
      <c r="C28" s="2">
        <v>9.4640000000000004</v>
      </c>
      <c r="D28" s="2">
        <v>468</v>
      </c>
      <c r="E28" s="2">
        <v>2.0222000000000001E-8</v>
      </c>
      <c r="F28" s="2">
        <v>9.9100000000000007E-9</v>
      </c>
      <c r="G28" s="2">
        <v>8.1599999999999997E-10</v>
      </c>
      <c r="H28" s="67">
        <v>1</v>
      </c>
      <c r="J28" s="1">
        <v>8</v>
      </c>
      <c r="K28" s="7">
        <v>2.63E-2</v>
      </c>
      <c r="L28" s="2">
        <v>18.888999999999999</v>
      </c>
      <c r="M28" s="2">
        <v>458</v>
      </c>
      <c r="N28" s="2">
        <v>4.1242E-8</v>
      </c>
      <c r="O28" s="2">
        <v>7.2325999999999995E-8</v>
      </c>
      <c r="P28" s="2">
        <v>4.9460999999999995E-8</v>
      </c>
      <c r="Q28" s="67">
        <v>1</v>
      </c>
      <c r="S28" s="1">
        <v>8</v>
      </c>
      <c r="T28" s="7">
        <v>2.63E-2</v>
      </c>
      <c r="U28" s="2">
        <v>8.6150000000000002</v>
      </c>
      <c r="V28" s="2">
        <v>440</v>
      </c>
      <c r="W28" s="2">
        <v>1.9580000000000001E-8</v>
      </c>
      <c r="X28" s="2">
        <v>7.1520000000000001E-9</v>
      </c>
      <c r="Y28" s="2">
        <v>1.6770000000000001E-9</v>
      </c>
      <c r="Z28" s="67">
        <v>1</v>
      </c>
    </row>
    <row r="29" spans="1:35">
      <c r="A29" s="1">
        <v>9</v>
      </c>
      <c r="B29" s="7">
        <v>2.7300000000000001E-2</v>
      </c>
      <c r="C29" s="2">
        <v>75.572000000000003</v>
      </c>
      <c r="D29" s="2">
        <v>421</v>
      </c>
      <c r="E29" s="2">
        <v>1.7950599999999999E-7</v>
      </c>
      <c r="F29" s="2">
        <v>8.7822400000000004E-7</v>
      </c>
      <c r="G29" s="2">
        <v>6.5170000000000006E-9</v>
      </c>
      <c r="H29" s="67">
        <v>0.13</v>
      </c>
      <c r="J29" s="1">
        <v>9</v>
      </c>
      <c r="K29" s="7">
        <v>2.7300000000000001E-2</v>
      </c>
      <c r="L29" s="2">
        <v>802.60900000000004</v>
      </c>
      <c r="M29" s="2">
        <v>515</v>
      </c>
      <c r="N29" s="2">
        <v>1.5584640000000001</v>
      </c>
      <c r="O29" s="2">
        <v>4.5695829999999997</v>
      </c>
      <c r="P29" s="2">
        <v>2.101623</v>
      </c>
      <c r="Q29" s="67">
        <v>0.08</v>
      </c>
      <c r="S29" s="1">
        <v>9</v>
      </c>
      <c r="T29" s="7">
        <v>2.7300000000000001E-2</v>
      </c>
      <c r="U29" s="2">
        <v>10.473000000000001</v>
      </c>
      <c r="V29" s="2">
        <v>485</v>
      </c>
      <c r="W29" s="2">
        <v>2.1593999999999998E-8</v>
      </c>
      <c r="X29" s="2">
        <v>9.6820000000000003E-9</v>
      </c>
      <c r="Y29" s="2">
        <v>2.0390000000000001E-9</v>
      </c>
      <c r="Z29" s="67">
        <v>0.88</v>
      </c>
    </row>
    <row r="30" spans="1:35">
      <c r="B30" s="8"/>
      <c r="E30" s="10">
        <f>SUMPRODUCT(B21:B29,E21:E29)</f>
        <v>63.700057330667896</v>
      </c>
      <c r="H30" s="10">
        <f>SUMPRODUCT(B21:B29,H21:H29)</f>
        <v>72.944927000000007</v>
      </c>
      <c r="N30" s="10">
        <f>SUMPRODUCT(K21:K29,N21:N29)</f>
        <v>2.0428435623393768</v>
      </c>
      <c r="O30" s="63">
        <f>SQRT(SUMPRODUCT(K21:K29,O21:O29)/SUM(K21:K29))</f>
        <v>2.3872905428746951</v>
      </c>
      <c r="Q30" s="10">
        <f>SUMPRODUCT(K21:K29,Q21:Q29)</f>
        <v>68.118690000000001</v>
      </c>
      <c r="W30" s="10">
        <f>SUMPRODUCT(T21:T29,W21:W29)</f>
        <v>27.828198090824664</v>
      </c>
      <c r="Z30" s="10">
        <f>SUMPRODUCT(T21:T29,Z21:Z29)</f>
        <v>72.090291999999991</v>
      </c>
    </row>
    <row r="31" spans="1:35">
      <c r="B31" s="8"/>
    </row>
    <row r="32" spans="1:35" ht="39">
      <c r="A32" s="1" t="s">
        <v>10</v>
      </c>
      <c r="B32" s="1" t="s">
        <v>9</v>
      </c>
      <c r="C32" s="1" t="s">
        <v>0</v>
      </c>
      <c r="D32" s="1" t="s">
        <v>1</v>
      </c>
      <c r="E32" s="1" t="s">
        <v>2</v>
      </c>
      <c r="F32" s="1" t="s">
        <v>3</v>
      </c>
      <c r="G32" s="1" t="s">
        <v>4</v>
      </c>
      <c r="H32" s="64" t="s">
        <v>485</v>
      </c>
      <c r="J32" s="1" t="s">
        <v>11</v>
      </c>
      <c r="K32" s="1" t="s">
        <v>9</v>
      </c>
      <c r="L32" s="1" t="s">
        <v>0</v>
      </c>
      <c r="M32" s="1" t="s">
        <v>1</v>
      </c>
      <c r="N32" s="1" t="s">
        <v>2</v>
      </c>
      <c r="O32" s="1" t="s">
        <v>3</v>
      </c>
      <c r="P32" s="1" t="s">
        <v>4</v>
      </c>
      <c r="Q32" s="64" t="s">
        <v>485</v>
      </c>
      <c r="S32" s="1" t="s">
        <v>12</v>
      </c>
      <c r="T32" s="1" t="s">
        <v>9</v>
      </c>
      <c r="U32" s="1" t="s">
        <v>0</v>
      </c>
      <c r="V32" s="1" t="s">
        <v>1</v>
      </c>
      <c r="W32" s="1" t="s">
        <v>2</v>
      </c>
      <c r="X32" s="1" t="s">
        <v>3</v>
      </c>
      <c r="Y32" s="1" t="s">
        <v>4</v>
      </c>
      <c r="Z32" s="64" t="s">
        <v>485</v>
      </c>
      <c r="AB32" s="1">
        <v>2023</v>
      </c>
      <c r="AC32" s="1" t="s">
        <v>9</v>
      </c>
      <c r="AD32" s="1" t="s">
        <v>0</v>
      </c>
      <c r="AE32" s="1" t="s">
        <v>1</v>
      </c>
      <c r="AF32" s="1" t="s">
        <v>2</v>
      </c>
      <c r="AG32" s="1" t="s">
        <v>3</v>
      </c>
      <c r="AH32" s="1" t="s">
        <v>4</v>
      </c>
      <c r="AI32" s="64" t="s">
        <v>485</v>
      </c>
    </row>
    <row r="33" spans="1:35" ht="26">
      <c r="A33" s="1" t="s">
        <v>5</v>
      </c>
      <c r="B33" s="9"/>
      <c r="C33" s="1"/>
      <c r="D33" s="1"/>
      <c r="E33" s="1"/>
      <c r="F33" s="1"/>
      <c r="G33" s="1"/>
      <c r="H33" s="64"/>
      <c r="J33" s="1" t="s">
        <v>5</v>
      </c>
      <c r="K33" s="9"/>
      <c r="L33" s="1"/>
      <c r="M33" s="1"/>
      <c r="N33" s="1"/>
      <c r="O33" s="1"/>
      <c r="P33" s="1"/>
      <c r="Q33" s="64"/>
      <c r="S33" s="1" t="s">
        <v>5</v>
      </c>
      <c r="T33" s="9"/>
      <c r="U33" s="1"/>
      <c r="V33" s="1"/>
      <c r="W33" s="1"/>
      <c r="X33" s="1"/>
      <c r="Y33" s="1"/>
      <c r="Z33" s="64"/>
      <c r="AB33" s="1" t="s">
        <v>5</v>
      </c>
      <c r="AC33" s="9"/>
      <c r="AD33" s="1"/>
      <c r="AE33" s="1"/>
      <c r="AF33" s="1"/>
      <c r="AG33" s="1"/>
      <c r="AH33" s="1"/>
    </row>
    <row r="34" spans="1:35">
      <c r="A34" s="1">
        <v>1</v>
      </c>
      <c r="B34" s="7">
        <v>7.9299999999999995E-2</v>
      </c>
      <c r="C34" s="2">
        <v>6573421</v>
      </c>
      <c r="D34" s="2">
        <v>837</v>
      </c>
      <c r="E34" s="2">
        <v>7.8535500000000003</v>
      </c>
      <c r="F34" s="2">
        <v>5.4695960000000001</v>
      </c>
      <c r="G34" s="2">
        <v>2.0286999999999998E-8</v>
      </c>
      <c r="H34" s="67">
        <v>937</v>
      </c>
      <c r="J34" s="1">
        <v>1</v>
      </c>
      <c r="K34" s="7">
        <v>7.9299999999999995E-2</v>
      </c>
      <c r="L34" s="2">
        <v>1184821000</v>
      </c>
      <c r="M34" s="2">
        <v>848</v>
      </c>
      <c r="N34" s="2">
        <v>1397.194829</v>
      </c>
      <c r="O34" s="2">
        <v>619.54401299999995</v>
      </c>
      <c r="P34" s="2">
        <v>5.0254719999999997</v>
      </c>
      <c r="Q34" s="67">
        <v>953.2</v>
      </c>
      <c r="S34" s="1">
        <v>1</v>
      </c>
      <c r="T34" s="7">
        <v>7.9299999999999995E-2</v>
      </c>
      <c r="U34" s="2">
        <v>15231.263000000001</v>
      </c>
      <c r="V34" s="2">
        <v>875</v>
      </c>
      <c r="W34" s="2">
        <v>17.407157999999999</v>
      </c>
      <c r="X34" s="2">
        <v>9.2477040000000006</v>
      </c>
      <c r="Y34" s="2">
        <v>5.9184000000000004E-7</v>
      </c>
      <c r="Z34" s="67">
        <v>965.3</v>
      </c>
      <c r="AB34" s="1">
        <v>1</v>
      </c>
      <c r="AC34" s="7">
        <v>7.9299999999999995E-2</v>
      </c>
      <c r="AD34">
        <v>277586.89799999999</v>
      </c>
      <c r="AE34">
        <v>879</v>
      </c>
      <c r="AF34">
        <v>315.798519</v>
      </c>
      <c r="AG34">
        <v>178.20420899999999</v>
      </c>
      <c r="AH34">
        <v>2.3408340000000001</v>
      </c>
      <c r="AI34">
        <v>952.6</v>
      </c>
    </row>
    <row r="35" spans="1:35">
      <c r="A35" s="1">
        <v>2</v>
      </c>
      <c r="B35" s="7">
        <v>6.1600000000000002E-2</v>
      </c>
      <c r="C35" s="2">
        <v>338687</v>
      </c>
      <c r="D35" s="2">
        <v>663</v>
      </c>
      <c r="E35" s="2">
        <v>5.1083999999999999E-7</v>
      </c>
      <c r="F35" s="2">
        <v>4.9877000000000001E-7</v>
      </c>
      <c r="G35" s="2">
        <v>1.045E-9</v>
      </c>
      <c r="H35" s="67">
        <v>1</v>
      </c>
      <c r="J35" s="1">
        <v>2</v>
      </c>
      <c r="K35" s="7">
        <v>6.1600000000000002E-2</v>
      </c>
      <c r="L35" s="2">
        <v>347296</v>
      </c>
      <c r="M35" s="2">
        <v>637</v>
      </c>
      <c r="N35" s="2">
        <v>5.4520599999999994E-7</v>
      </c>
      <c r="O35" s="2">
        <v>3.7800800000000003E-7</v>
      </c>
      <c r="P35" s="2">
        <v>1.473E-9</v>
      </c>
      <c r="Q35" s="67">
        <v>1</v>
      </c>
      <c r="S35" s="1">
        <v>2</v>
      </c>
      <c r="T35" s="7">
        <v>6.1600000000000002E-2</v>
      </c>
      <c r="U35" s="2">
        <v>463.61500000000001</v>
      </c>
      <c r="V35" s="2">
        <v>631</v>
      </c>
      <c r="W35" s="2">
        <v>7.3473100000000004E-7</v>
      </c>
      <c r="X35" s="2">
        <v>4.8300200000000003E-7</v>
      </c>
      <c r="Y35" s="2">
        <v>1.8015E-8</v>
      </c>
      <c r="Z35" s="67">
        <v>1</v>
      </c>
      <c r="AB35" s="1">
        <v>2</v>
      </c>
      <c r="AC35" s="7">
        <v>6.1600000000000002E-2</v>
      </c>
      <c r="AD35">
        <v>1268.348</v>
      </c>
      <c r="AE35">
        <v>639</v>
      </c>
      <c r="AF35">
        <v>1.9848950000000001</v>
      </c>
      <c r="AG35">
        <v>1.4160299999999999</v>
      </c>
      <c r="AH35">
        <v>1.0696E-8</v>
      </c>
      <c r="AI35">
        <v>1</v>
      </c>
    </row>
    <row r="36" spans="1:35">
      <c r="A36" s="1">
        <v>3</v>
      </c>
      <c r="B36" s="7">
        <v>9.0300000000000005E-2</v>
      </c>
      <c r="C36" s="2">
        <v>271599100</v>
      </c>
      <c r="D36" s="2">
        <v>955</v>
      </c>
      <c r="E36" s="2">
        <v>284.39691599999998</v>
      </c>
      <c r="F36" s="2">
        <v>274.91044499999998</v>
      </c>
      <c r="G36" s="2">
        <v>8.3821599999999999E-7</v>
      </c>
      <c r="H36" s="67">
        <v>154.69999999999999</v>
      </c>
      <c r="J36" s="1">
        <v>3</v>
      </c>
      <c r="K36" s="7">
        <v>9.0300000000000005E-2</v>
      </c>
      <c r="L36" s="2">
        <v>33637900</v>
      </c>
      <c r="M36" s="2">
        <v>946</v>
      </c>
      <c r="N36" s="2">
        <v>35.558030000000002</v>
      </c>
      <c r="O36" s="2">
        <v>11.123042</v>
      </c>
      <c r="P36" s="2">
        <v>1.42677E-7</v>
      </c>
      <c r="Q36" s="67">
        <v>2.5</v>
      </c>
      <c r="S36" s="1">
        <v>3</v>
      </c>
      <c r="T36" s="7">
        <v>9.0300000000000005E-2</v>
      </c>
      <c r="U36" s="2">
        <v>45109.779000000002</v>
      </c>
      <c r="V36" s="2">
        <v>1003</v>
      </c>
      <c r="W36" s="2">
        <v>44.974854000000001</v>
      </c>
      <c r="X36" s="2">
        <v>112.10972700000001</v>
      </c>
      <c r="Y36" s="2">
        <v>1.7528269999999999</v>
      </c>
      <c r="Z36" s="67">
        <v>2.4500000000000002</v>
      </c>
      <c r="AB36" s="1">
        <v>3</v>
      </c>
      <c r="AC36" s="7">
        <v>9.0300000000000005E-2</v>
      </c>
      <c r="AD36">
        <v>58990.330999999998</v>
      </c>
      <c r="AE36">
        <v>975</v>
      </c>
      <c r="AF36">
        <v>60.502904000000001</v>
      </c>
      <c r="AG36">
        <v>109.554102</v>
      </c>
      <c r="AH36">
        <v>4.97454E-7</v>
      </c>
      <c r="AI36">
        <v>142.19999999999999</v>
      </c>
    </row>
    <row r="37" spans="1:35">
      <c r="A37" s="1">
        <v>4</v>
      </c>
      <c r="B37" s="7">
        <v>7.6700000000000004E-2</v>
      </c>
      <c r="C37" s="2">
        <v>1645561000</v>
      </c>
      <c r="D37" s="2">
        <v>832</v>
      </c>
      <c r="E37" s="2">
        <v>1977.83725</v>
      </c>
      <c r="F37" s="2">
        <v>790.46935099999996</v>
      </c>
      <c r="G37" s="2">
        <v>5.07857</v>
      </c>
      <c r="H37" s="67">
        <v>3746.4</v>
      </c>
      <c r="J37" s="1">
        <v>4</v>
      </c>
      <c r="K37" s="7">
        <v>7.6700000000000004E-2</v>
      </c>
      <c r="L37" s="2">
        <v>954682000</v>
      </c>
      <c r="M37" s="2">
        <v>796</v>
      </c>
      <c r="N37" s="2">
        <v>1199.3492980000001</v>
      </c>
      <c r="O37" s="2">
        <v>3010.9810440000001</v>
      </c>
      <c r="P37" s="2">
        <v>4.0493259999999998</v>
      </c>
      <c r="Q37" s="67">
        <v>3842.7</v>
      </c>
      <c r="S37" s="1">
        <v>4</v>
      </c>
      <c r="T37" s="7">
        <v>7.6700000000000004E-2</v>
      </c>
      <c r="U37" s="2">
        <v>27032.903999999999</v>
      </c>
      <c r="V37" s="2">
        <v>742</v>
      </c>
      <c r="W37" s="2">
        <v>36.432485</v>
      </c>
      <c r="X37" s="2">
        <v>66.570026999999996</v>
      </c>
      <c r="Y37" s="2">
        <v>1.050416</v>
      </c>
      <c r="Z37" s="67">
        <v>3283</v>
      </c>
      <c r="AB37" s="1">
        <v>4</v>
      </c>
      <c r="AC37" s="7">
        <v>7.6700000000000004E-2</v>
      </c>
      <c r="AD37">
        <v>2123145.7560000001</v>
      </c>
      <c r="AE37">
        <v>753</v>
      </c>
      <c r="AF37">
        <v>2819.5826769999999</v>
      </c>
      <c r="AG37">
        <v>1034.78799</v>
      </c>
      <c r="AH37">
        <v>17.904060000000001</v>
      </c>
      <c r="AI37">
        <v>29545.8</v>
      </c>
    </row>
    <row r="38" spans="1:35">
      <c r="A38" s="1">
        <v>5</v>
      </c>
      <c r="B38" s="7">
        <v>1.4200000000000001E-2</v>
      </c>
      <c r="C38" s="2">
        <v>7123</v>
      </c>
      <c r="D38" s="2">
        <v>156</v>
      </c>
      <c r="E38" s="2">
        <v>4.566E-8</v>
      </c>
      <c r="F38" s="2">
        <v>2.1107999999999999E-8</v>
      </c>
      <c r="G38" s="2">
        <v>2.1999999999999998E-11</v>
      </c>
      <c r="H38" s="67">
        <v>0.17</v>
      </c>
      <c r="J38" s="1">
        <v>5</v>
      </c>
      <c r="K38" s="7">
        <v>1.4200000000000001E-2</v>
      </c>
      <c r="L38" s="2">
        <v>6304</v>
      </c>
      <c r="M38" s="2">
        <v>169</v>
      </c>
      <c r="N38" s="2">
        <v>3.7301999999999999E-8</v>
      </c>
      <c r="O38" s="2">
        <v>1.9744000000000001E-8</v>
      </c>
      <c r="P38" s="2">
        <v>2.7E-11</v>
      </c>
      <c r="Q38" s="67">
        <v>0.18</v>
      </c>
      <c r="S38" s="1">
        <v>5</v>
      </c>
      <c r="T38" s="7">
        <v>1.4200000000000001E-2</v>
      </c>
      <c r="U38" s="2">
        <v>3.6349999999999998</v>
      </c>
      <c r="V38" s="2">
        <v>135</v>
      </c>
      <c r="W38" s="2">
        <v>2.6925999999999999E-8</v>
      </c>
      <c r="X38" s="2">
        <v>1.8673999999999999E-8</v>
      </c>
      <c r="Y38" s="2">
        <v>1.41E-10</v>
      </c>
      <c r="Z38" s="67">
        <v>0</v>
      </c>
      <c r="AB38" s="1">
        <v>5</v>
      </c>
      <c r="AC38" s="7">
        <v>1.4200000000000001E-2</v>
      </c>
      <c r="AD38">
        <v>2.61</v>
      </c>
      <c r="AE38">
        <v>153</v>
      </c>
      <c r="AF38">
        <v>1.7059000000000001E-8</v>
      </c>
      <c r="AG38">
        <v>6.1260000000000006E-9</v>
      </c>
      <c r="AH38">
        <v>2.1999999999999998E-11</v>
      </c>
      <c r="AI38">
        <v>0.19</v>
      </c>
    </row>
    <row r="39" spans="1:35">
      <c r="A39" s="1">
        <v>6</v>
      </c>
      <c r="B39" s="7">
        <v>0.38009999999999999</v>
      </c>
      <c r="C39" s="2">
        <v>599991</v>
      </c>
      <c r="D39" s="2">
        <v>4017</v>
      </c>
      <c r="E39" s="2">
        <v>1.4936299999999999E-7</v>
      </c>
      <c r="F39" s="2">
        <v>1.31662E-7</v>
      </c>
      <c r="G39" s="2">
        <v>1.852E-9</v>
      </c>
      <c r="H39" s="67">
        <v>1</v>
      </c>
      <c r="J39" s="1">
        <v>6</v>
      </c>
      <c r="K39" s="7">
        <v>0.38009999999999999</v>
      </c>
      <c r="L39" s="2">
        <v>648072</v>
      </c>
      <c r="M39" s="2">
        <v>3966</v>
      </c>
      <c r="N39" s="2">
        <v>1.63407E-7</v>
      </c>
      <c r="O39" s="2">
        <v>1.2769700000000001E-7</v>
      </c>
      <c r="P39" s="2">
        <v>2.7490000000000003E-9</v>
      </c>
      <c r="Q39" s="67">
        <v>1</v>
      </c>
      <c r="S39" s="1">
        <v>6</v>
      </c>
      <c r="T39" s="7">
        <v>0.38009999999999999</v>
      </c>
      <c r="U39" s="2">
        <v>10646.594999999999</v>
      </c>
      <c r="V39" s="2">
        <v>3915</v>
      </c>
      <c r="W39" s="2">
        <v>2.7194370000000001</v>
      </c>
      <c r="X39" s="2">
        <v>31.600626999999999</v>
      </c>
      <c r="Y39" s="2">
        <v>4.13694E-7</v>
      </c>
      <c r="Z39" s="67">
        <v>1</v>
      </c>
      <c r="AB39" s="1">
        <v>6</v>
      </c>
      <c r="AC39" s="7">
        <v>0.38009999999999999</v>
      </c>
      <c r="AD39">
        <v>635.85</v>
      </c>
      <c r="AE39">
        <v>3955</v>
      </c>
      <c r="AF39">
        <v>1.60771E-7</v>
      </c>
      <c r="AG39">
        <v>6.7832000000000008E-8</v>
      </c>
      <c r="AH39">
        <v>5.3619999999999995E-9</v>
      </c>
      <c r="AI39">
        <v>1</v>
      </c>
    </row>
    <row r="40" spans="1:35">
      <c r="A40" s="1">
        <v>7</v>
      </c>
      <c r="B40" s="7">
        <v>4.53E-2</v>
      </c>
      <c r="C40" s="2">
        <v>24098270000</v>
      </c>
      <c r="D40" s="2">
        <v>455</v>
      </c>
      <c r="E40" s="2">
        <v>52963.233036999998</v>
      </c>
      <c r="F40" s="2">
        <v>26501.069305000001</v>
      </c>
      <c r="G40" s="2">
        <v>74.372681</v>
      </c>
      <c r="H40" s="67">
        <v>8715.7999999999993</v>
      </c>
      <c r="J40" s="1">
        <v>7</v>
      </c>
      <c r="K40" s="7">
        <v>4.53E-2</v>
      </c>
      <c r="L40" s="2">
        <v>15910070000</v>
      </c>
      <c r="M40" s="2">
        <v>463</v>
      </c>
      <c r="N40" s="2">
        <v>34362.992521</v>
      </c>
      <c r="O40" s="2">
        <v>12719.431514</v>
      </c>
      <c r="P40" s="2">
        <v>67.483248000000003</v>
      </c>
      <c r="Q40" s="67">
        <v>9241</v>
      </c>
      <c r="S40" s="1">
        <v>7</v>
      </c>
      <c r="T40" s="7">
        <v>4.53E-2</v>
      </c>
      <c r="U40" s="2">
        <v>1140641.3319999999</v>
      </c>
      <c r="V40" s="2">
        <v>475</v>
      </c>
      <c r="W40" s="2">
        <v>2401.3501729999998</v>
      </c>
      <c r="X40" s="2">
        <v>4730.6748379999999</v>
      </c>
      <c r="Y40" s="2">
        <v>44.321815999999998</v>
      </c>
      <c r="Z40" s="67">
        <v>9669</v>
      </c>
      <c r="AB40" s="1">
        <v>7</v>
      </c>
      <c r="AC40" s="7">
        <v>4.53E-2</v>
      </c>
      <c r="AD40">
        <v>6775651.5199999996</v>
      </c>
      <c r="AE40">
        <v>493</v>
      </c>
      <c r="AF40">
        <v>13743.715050999999</v>
      </c>
      <c r="AG40">
        <v>20858.459416999998</v>
      </c>
      <c r="AH40">
        <v>57.137703000000002</v>
      </c>
      <c r="AI40">
        <v>90618.3</v>
      </c>
    </row>
    <row r="41" spans="1:35">
      <c r="A41" s="1">
        <v>8</v>
      </c>
      <c r="B41" s="7">
        <v>8.2000000000000003E-2</v>
      </c>
      <c r="C41" s="2">
        <v>492534</v>
      </c>
      <c r="D41" s="2">
        <v>831</v>
      </c>
      <c r="E41" s="2">
        <v>5.9269999999999995E-7</v>
      </c>
      <c r="F41" s="2">
        <v>10.765121000000001</v>
      </c>
      <c r="G41" s="2">
        <v>1.5200000000000001E-9</v>
      </c>
      <c r="H41" s="67">
        <v>0.64</v>
      </c>
      <c r="J41" s="1">
        <v>8</v>
      </c>
      <c r="K41" s="7">
        <v>8.2000000000000003E-2</v>
      </c>
      <c r="L41" s="2">
        <v>176051</v>
      </c>
      <c r="M41" s="2">
        <v>837</v>
      </c>
      <c r="N41" s="2">
        <v>2.1033599999999999E-7</v>
      </c>
      <c r="O41" s="2">
        <v>1.7207209999999999</v>
      </c>
      <c r="P41" s="2">
        <v>7.4700000000000001E-10</v>
      </c>
      <c r="Q41" s="67">
        <v>0.64</v>
      </c>
      <c r="S41" s="1">
        <v>8</v>
      </c>
      <c r="T41" s="7">
        <v>8.2000000000000003E-2</v>
      </c>
      <c r="U41" s="2">
        <v>1474.13</v>
      </c>
      <c r="V41" s="2">
        <v>890</v>
      </c>
      <c r="W41" s="2">
        <v>1.656326</v>
      </c>
      <c r="X41" s="2">
        <v>12.748148</v>
      </c>
      <c r="Y41" s="2">
        <v>5.7280000000000001E-8</v>
      </c>
      <c r="Z41" s="67">
        <v>0.64</v>
      </c>
      <c r="AB41" s="1">
        <v>8</v>
      </c>
      <c r="AC41" s="7">
        <v>8.2000000000000003E-2</v>
      </c>
      <c r="AD41">
        <v>47.104999999999997</v>
      </c>
      <c r="AE41">
        <v>796</v>
      </c>
      <c r="AF41">
        <v>5.9177000000000001E-8</v>
      </c>
      <c r="AG41">
        <v>2.915E-8</v>
      </c>
      <c r="AH41">
        <v>3.9700000000000002E-10</v>
      </c>
      <c r="AI41">
        <v>0.62</v>
      </c>
    </row>
    <row r="42" spans="1:35">
      <c r="A42" s="1">
        <v>9</v>
      </c>
      <c r="B42" s="7">
        <v>6.1000000000000004E-3</v>
      </c>
      <c r="C42" s="2">
        <v>1006566000</v>
      </c>
      <c r="D42" s="2">
        <v>69</v>
      </c>
      <c r="E42" s="2">
        <v>14587.917826000001</v>
      </c>
      <c r="F42" s="2">
        <v>5341.1771849999996</v>
      </c>
      <c r="G42" s="2">
        <v>3.10649</v>
      </c>
      <c r="H42" s="67">
        <v>3940.9</v>
      </c>
      <c r="J42" s="1">
        <v>9</v>
      </c>
      <c r="K42" s="7">
        <v>6.1000000000000004E-3</v>
      </c>
      <c r="L42" s="2">
        <v>1192275000</v>
      </c>
      <c r="M42" s="2">
        <v>65</v>
      </c>
      <c r="N42" s="2">
        <v>18342.694307999998</v>
      </c>
      <c r="O42" s="2">
        <v>6229.0343780000003</v>
      </c>
      <c r="P42" s="2">
        <v>5.0570880000000002</v>
      </c>
      <c r="Q42" s="67">
        <v>3552</v>
      </c>
      <c r="S42" s="1">
        <v>9</v>
      </c>
      <c r="T42" s="7">
        <v>6.1000000000000004E-3</v>
      </c>
      <c r="U42" s="2">
        <v>41258.957999999999</v>
      </c>
      <c r="V42" s="2">
        <v>60</v>
      </c>
      <c r="W42" s="2">
        <v>687.64930000000004</v>
      </c>
      <c r="X42" s="2">
        <v>2011.0977049999999</v>
      </c>
      <c r="Y42" s="2">
        <v>1.6031960000000001</v>
      </c>
      <c r="Z42" s="67">
        <v>3577.6</v>
      </c>
      <c r="AB42" s="1">
        <v>9</v>
      </c>
      <c r="AC42" s="7">
        <v>6.1000000000000004E-3</v>
      </c>
      <c r="AD42">
        <v>470177.05099999998</v>
      </c>
      <c r="AE42">
        <v>66</v>
      </c>
      <c r="AF42" s="2">
        <v>7123.8947120000003</v>
      </c>
      <c r="AG42">
        <v>11264.876672</v>
      </c>
      <c r="AH42">
        <v>3.9649079999999999</v>
      </c>
      <c r="AI42">
        <v>28297.1</v>
      </c>
    </row>
    <row r="43" spans="1:35">
      <c r="A43" s="1">
        <v>10</v>
      </c>
      <c r="B43" s="7">
        <v>5.4999999999999997E-3</v>
      </c>
      <c r="C43" s="2">
        <v>598720400</v>
      </c>
      <c r="D43" s="2">
        <v>44</v>
      </c>
      <c r="E43" s="2">
        <v>13607.281226999999</v>
      </c>
      <c r="F43" s="2">
        <v>3922.4007179999999</v>
      </c>
      <c r="G43" s="2">
        <v>1.8477859999999999</v>
      </c>
      <c r="H43" s="67">
        <v>3954.1</v>
      </c>
      <c r="J43" s="1">
        <v>10</v>
      </c>
      <c r="K43" s="7">
        <v>5.4999999999999997E-3</v>
      </c>
      <c r="L43" s="2">
        <v>946237600</v>
      </c>
      <c r="M43" s="2">
        <v>49</v>
      </c>
      <c r="N43" s="2">
        <v>19310.971449000001</v>
      </c>
      <c r="O43" s="2">
        <v>4612.5947169999999</v>
      </c>
      <c r="P43" s="2">
        <v>4.013509</v>
      </c>
      <c r="Q43" s="67">
        <v>2027.2</v>
      </c>
      <c r="S43" s="1">
        <v>10</v>
      </c>
      <c r="T43" s="7">
        <v>5.4999999999999997E-3</v>
      </c>
      <c r="U43" s="2">
        <v>28966.190999999999</v>
      </c>
      <c r="V43" s="2">
        <v>59</v>
      </c>
      <c r="W43" s="2">
        <v>490.95238999999998</v>
      </c>
      <c r="X43" s="2">
        <v>1407.0351949999999</v>
      </c>
      <c r="Y43" s="2">
        <v>1.125537</v>
      </c>
      <c r="Z43" s="67">
        <v>4338.8</v>
      </c>
      <c r="AB43" s="1">
        <v>10</v>
      </c>
      <c r="AC43" s="7">
        <v>5.4999999999999997E-3</v>
      </c>
      <c r="AD43">
        <v>409231.83299999998</v>
      </c>
      <c r="AE43">
        <v>57</v>
      </c>
      <c r="AF43">
        <v>7179.5058419999996</v>
      </c>
      <c r="AG43">
        <v>11650.160057999999</v>
      </c>
      <c r="AH43">
        <v>3.4509699999999999</v>
      </c>
      <c r="AI43">
        <v>3762.5</v>
      </c>
    </row>
    <row r="44" spans="1:35">
      <c r="A44" s="1">
        <v>11</v>
      </c>
      <c r="B44" s="7">
        <v>9.7000000000000003E-3</v>
      </c>
      <c r="C44" s="2">
        <v>596785600</v>
      </c>
      <c r="D44" s="2">
        <v>90</v>
      </c>
      <c r="E44" s="2">
        <v>6630.9508779999996</v>
      </c>
      <c r="F44" s="2">
        <v>93.360727999999995</v>
      </c>
      <c r="G44" s="2">
        <v>1.8418140000000001</v>
      </c>
      <c r="H44" s="67">
        <v>1</v>
      </c>
      <c r="J44" s="1">
        <v>11</v>
      </c>
      <c r="K44" s="7">
        <v>9.7000000000000003E-3</v>
      </c>
      <c r="L44" s="2">
        <v>1080196000</v>
      </c>
      <c r="M44" s="2">
        <v>102</v>
      </c>
      <c r="N44" s="2">
        <v>10590.153813999999</v>
      </c>
      <c r="O44" s="2">
        <v>434.31737399999997</v>
      </c>
      <c r="P44" s="2">
        <v>4.5816980000000003</v>
      </c>
      <c r="Q44" s="67">
        <v>1</v>
      </c>
      <c r="S44" s="1">
        <v>11</v>
      </c>
      <c r="T44" s="7">
        <v>9.7000000000000003E-3</v>
      </c>
      <c r="U44" s="2">
        <v>3018.6669999999999</v>
      </c>
      <c r="V44" s="2">
        <v>101</v>
      </c>
      <c r="W44" s="2">
        <v>29.887792000000001</v>
      </c>
      <c r="X44" s="2">
        <v>9.9513300000000005</v>
      </c>
      <c r="Y44" s="2">
        <v>1.1729599999999999E-7</v>
      </c>
      <c r="Z44" s="67">
        <v>1</v>
      </c>
      <c r="AB44" s="1">
        <v>11</v>
      </c>
      <c r="AC44" s="7">
        <v>9.7000000000000003E-3</v>
      </c>
      <c r="AD44">
        <v>143630.117</v>
      </c>
      <c r="AE44">
        <v>117</v>
      </c>
      <c r="AF44">
        <v>1227.6078379999999</v>
      </c>
      <c r="AG44">
        <v>23.71518</v>
      </c>
      <c r="AH44">
        <v>1.2112039999999999</v>
      </c>
      <c r="AI44">
        <v>1</v>
      </c>
    </row>
    <row r="45" spans="1:35">
      <c r="A45" s="1">
        <v>12</v>
      </c>
      <c r="B45" s="7">
        <v>6.1999999999999998E-3</v>
      </c>
      <c r="C45" s="2">
        <v>839134500</v>
      </c>
      <c r="D45" s="2">
        <v>56</v>
      </c>
      <c r="E45" s="2">
        <v>14984.544320999999</v>
      </c>
      <c r="F45" s="2">
        <v>5590.8643069999998</v>
      </c>
      <c r="G45" s="2">
        <v>2.5897579999999998</v>
      </c>
      <c r="H45" s="67">
        <v>1</v>
      </c>
      <c r="J45" s="1">
        <v>12</v>
      </c>
      <c r="K45" s="7">
        <v>6.1999999999999998E-3</v>
      </c>
      <c r="L45" s="2">
        <v>573489600</v>
      </c>
      <c r="M45" s="2">
        <v>58</v>
      </c>
      <c r="N45" s="2">
        <v>9887.7525519999999</v>
      </c>
      <c r="O45" s="2">
        <v>3350.460067</v>
      </c>
      <c r="P45" s="2">
        <v>2.4324819999999998</v>
      </c>
      <c r="Q45" s="67">
        <v>1</v>
      </c>
      <c r="S45" s="1">
        <v>12</v>
      </c>
      <c r="T45" s="7">
        <v>6.1999999999999998E-3</v>
      </c>
      <c r="U45" s="2">
        <v>16481.848999999998</v>
      </c>
      <c r="V45" s="2">
        <v>53</v>
      </c>
      <c r="W45" s="2">
        <v>310.97828299999998</v>
      </c>
      <c r="X45" s="2">
        <v>28.316008</v>
      </c>
      <c r="Y45" s="2">
        <v>6.4043399999999992E-7</v>
      </c>
      <c r="Z45" s="67">
        <v>1</v>
      </c>
      <c r="AB45" s="1">
        <v>12</v>
      </c>
      <c r="AC45" s="7">
        <v>6.1999999999999998E-3</v>
      </c>
      <c r="AD45">
        <v>220615.62599999999</v>
      </c>
      <c r="AE45">
        <v>74</v>
      </c>
      <c r="AF45">
        <v>2981.2922429999999</v>
      </c>
      <c r="AG45">
        <v>1213.19173</v>
      </c>
      <c r="AH45">
        <v>1.8604069999999999</v>
      </c>
      <c r="AI45">
        <v>1</v>
      </c>
    </row>
    <row r="46" spans="1:35">
      <c r="A46" s="1">
        <v>13</v>
      </c>
      <c r="B46" s="7">
        <v>6.1000000000000004E-3</v>
      </c>
      <c r="C46" s="2">
        <v>3319002000</v>
      </c>
      <c r="D46" s="2">
        <v>58</v>
      </c>
      <c r="E46" s="2">
        <v>57224.167621000001</v>
      </c>
      <c r="F46" s="2">
        <v>17443.921590999998</v>
      </c>
      <c r="G46" s="2">
        <v>10.243185</v>
      </c>
      <c r="H46" s="67">
        <v>4170.6000000000004</v>
      </c>
      <c r="J46" s="1">
        <v>13</v>
      </c>
      <c r="K46" s="7">
        <v>6.1000000000000004E-3</v>
      </c>
      <c r="L46" s="2">
        <v>1694532000</v>
      </c>
      <c r="M46" s="2">
        <v>65</v>
      </c>
      <c r="N46" s="2">
        <v>26069.725092000001</v>
      </c>
      <c r="O46" s="2">
        <v>20005.622089</v>
      </c>
      <c r="P46" s="2">
        <v>7.1874330000000004</v>
      </c>
      <c r="Q46" s="67">
        <v>2328.5500000000002</v>
      </c>
      <c r="S46" s="1">
        <v>13</v>
      </c>
      <c r="T46" s="7">
        <v>6.1000000000000004E-3</v>
      </c>
      <c r="U46" s="2">
        <v>1191519.558</v>
      </c>
      <c r="V46" s="2">
        <v>67</v>
      </c>
      <c r="W46" s="2">
        <v>17783.874</v>
      </c>
      <c r="X46" s="2">
        <v>29709.596373</v>
      </c>
      <c r="Y46" s="2">
        <v>46.298788000000002</v>
      </c>
      <c r="Z46" s="67">
        <v>1532.2</v>
      </c>
      <c r="AB46" s="1">
        <v>13</v>
      </c>
      <c r="AC46" s="7">
        <v>6.1000000000000004E-3</v>
      </c>
      <c r="AD46">
        <v>1376577.41</v>
      </c>
      <c r="AE46">
        <v>59</v>
      </c>
      <c r="AF46">
        <v>23331.820508000001</v>
      </c>
      <c r="AG46">
        <v>41570.796939</v>
      </c>
      <c r="AH46">
        <v>11.6084</v>
      </c>
      <c r="AI46">
        <v>27934.1</v>
      </c>
    </row>
    <row r="47" spans="1:35">
      <c r="A47" s="1">
        <v>14</v>
      </c>
      <c r="B47" s="7">
        <v>1.6199999999999999E-2</v>
      </c>
      <c r="C47" s="2">
        <v>868150</v>
      </c>
      <c r="D47" s="2">
        <v>173</v>
      </c>
      <c r="E47" s="2">
        <v>5.0182079999999996</v>
      </c>
      <c r="F47" s="2">
        <v>3.3561999999999999</v>
      </c>
      <c r="G47" s="2">
        <v>2.679E-9</v>
      </c>
      <c r="H47" s="67">
        <v>47</v>
      </c>
      <c r="J47" s="1">
        <v>14</v>
      </c>
      <c r="K47" s="7">
        <v>1.6199999999999999E-2</v>
      </c>
      <c r="L47" s="2">
        <v>1045643</v>
      </c>
      <c r="M47" s="2">
        <v>175</v>
      </c>
      <c r="N47" s="2">
        <v>5.9751029999999998</v>
      </c>
      <c r="O47" s="2">
        <v>4.6920029999999997</v>
      </c>
      <c r="P47" s="2">
        <v>4.4349999999999997E-9</v>
      </c>
      <c r="Q47" s="67">
        <v>53.3</v>
      </c>
      <c r="S47" s="1">
        <v>14</v>
      </c>
      <c r="T47" s="7">
        <v>1.6199999999999999E-2</v>
      </c>
      <c r="U47" s="2">
        <v>70.614999999999995</v>
      </c>
      <c r="V47" s="2">
        <v>163</v>
      </c>
      <c r="W47" s="2">
        <v>4.3322100000000004E-7</v>
      </c>
      <c r="X47" s="2">
        <v>5.8080800000000002E-7</v>
      </c>
      <c r="Y47" s="2">
        <v>2.744E-9</v>
      </c>
      <c r="Z47" s="67">
        <v>50.66</v>
      </c>
      <c r="AB47" s="1">
        <v>14</v>
      </c>
      <c r="AC47" s="7">
        <v>1.6199999999999999E-2</v>
      </c>
      <c r="AD47">
        <v>821.81100000000004</v>
      </c>
      <c r="AE47">
        <v>173</v>
      </c>
      <c r="AF47">
        <v>4.7503529999999996</v>
      </c>
      <c r="AG47">
        <v>3.568257</v>
      </c>
      <c r="AH47">
        <v>6.9300000000000007E-9</v>
      </c>
      <c r="AI47">
        <v>49</v>
      </c>
    </row>
    <row r="48" spans="1:35">
      <c r="A48" s="1">
        <v>15</v>
      </c>
      <c r="B48" s="7">
        <v>7.6899999999999996E-2</v>
      </c>
      <c r="C48" s="2">
        <v>17528040</v>
      </c>
      <c r="D48" s="2">
        <v>764</v>
      </c>
      <c r="E48" s="2">
        <v>22.942457000000001</v>
      </c>
      <c r="F48" s="2">
        <v>89.830115000000006</v>
      </c>
      <c r="G48" s="2">
        <v>5.4094999999999996E-8</v>
      </c>
      <c r="H48" s="67">
        <v>0.88</v>
      </c>
      <c r="J48" s="1">
        <v>15</v>
      </c>
      <c r="K48" s="7">
        <v>7.6899999999999996E-2</v>
      </c>
      <c r="L48" s="2">
        <v>4158371</v>
      </c>
      <c r="M48" s="2">
        <v>824</v>
      </c>
      <c r="N48" s="2">
        <v>5.0465669999999996</v>
      </c>
      <c r="O48" s="2">
        <v>42.924895999999997</v>
      </c>
      <c r="P48" s="2">
        <v>1.7638000000000002E-8</v>
      </c>
      <c r="Q48" s="67">
        <v>0.89</v>
      </c>
      <c r="S48" s="1">
        <v>15</v>
      </c>
      <c r="T48" s="7">
        <v>7.6899999999999996E-2</v>
      </c>
      <c r="U48" s="2">
        <v>51624.661</v>
      </c>
      <c r="V48" s="2">
        <v>831</v>
      </c>
      <c r="W48" s="2">
        <v>62.123539000000001</v>
      </c>
      <c r="X48" s="2">
        <v>178.605039</v>
      </c>
      <c r="Y48" s="2">
        <v>2.005976</v>
      </c>
      <c r="Z48" s="67">
        <v>0.88</v>
      </c>
      <c r="AB48" s="1">
        <v>15</v>
      </c>
      <c r="AC48" s="7">
        <v>7.6899999999999996E-2</v>
      </c>
      <c r="AD48">
        <v>77.512</v>
      </c>
      <c r="AE48">
        <v>811</v>
      </c>
      <c r="AF48">
        <v>9.5575999999999995E-8</v>
      </c>
      <c r="AG48">
        <v>4.3516999999999999E-8</v>
      </c>
      <c r="AH48">
        <v>6.5399999999999991E-10</v>
      </c>
      <c r="AI48">
        <v>0.88</v>
      </c>
    </row>
    <row r="49" spans="5:35">
      <c r="E49" s="10">
        <f>SUMPRODUCT(B34:B48,E34:E48)</f>
        <v>3249.2021380132906</v>
      </c>
      <c r="H49" s="10">
        <f>SUMPRODUCT(B34:B48,H34:H48)</f>
        <v>843.01739599999985</v>
      </c>
      <c r="N49" s="10">
        <f>SUMPRODUCT(K34:K48,N34:N48)</f>
        <v>2304.2816293186729</v>
      </c>
      <c r="Q49" s="10">
        <f>SUMPRODUCT(K34:K48,Q34:Q48)</f>
        <v>837.63239199999998</v>
      </c>
      <c r="W49" s="10">
        <f>SUMPRODUCT(T34:T48,W34:W48)</f>
        <v>240.55843553145993</v>
      </c>
      <c r="Z49" s="10">
        <f>SUMPRODUCT(T34:T48,Z34:Z48)</f>
        <v>823.01294899999982</v>
      </c>
      <c r="AF49" s="10">
        <f>SUMPRODUCT(AC34:AC48,AF34:AF48)</f>
        <v>1125.2166961564537</v>
      </c>
      <c r="AI49" s="10">
        <f>SUMPRODUCT(AC34:AC48,AI34:AI48)</f>
        <v>6824.6303700000008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7D2CC-D581-4801-8D9A-94E9E5C0D6CA}">
  <dimension ref="A1:O24"/>
  <sheetViews>
    <sheetView topLeftCell="B1" zoomScale="130" zoomScaleNormal="130" workbookViewId="0">
      <selection activeCell="F33" sqref="F33"/>
    </sheetView>
  </sheetViews>
  <sheetFormatPr defaultColWidth="8.75" defaultRowHeight="14"/>
  <cols>
    <col min="1" max="1" width="15.33203125" style="12" bestFit="1" customWidth="1"/>
    <col min="2" max="2" width="12.08203125" style="12" bestFit="1" customWidth="1"/>
    <col min="3" max="3" width="13.83203125" style="12" bestFit="1" customWidth="1"/>
    <col min="4" max="4" width="15.08203125" style="12" customWidth="1"/>
    <col min="5" max="5" width="3" style="12" customWidth="1"/>
    <col min="6" max="6" width="14" style="12" bestFit="1" customWidth="1"/>
    <col min="7" max="7" width="15" style="12" customWidth="1"/>
    <col min="8" max="8" width="14.75" style="12" bestFit="1" customWidth="1"/>
    <col min="9" max="9" width="13.33203125" style="12" customWidth="1"/>
    <col min="10" max="10" width="3.08203125" style="12" customWidth="1"/>
    <col min="11" max="11" width="22.08203125" style="12" bestFit="1" customWidth="1"/>
    <col min="12" max="12" width="11.08203125" style="12" bestFit="1" customWidth="1"/>
    <col min="13" max="13" width="11.25" style="12" bestFit="1" customWidth="1"/>
    <col min="14" max="15" width="9.25" style="12" bestFit="1" customWidth="1"/>
    <col min="16" max="16" width="21.25" style="12" bestFit="1" customWidth="1"/>
    <col min="17" max="17" width="11.08203125" style="12" bestFit="1" customWidth="1"/>
    <col min="18" max="18" width="11.25" style="12" bestFit="1" customWidth="1"/>
    <col min="19" max="20" width="9.25" style="12" bestFit="1" customWidth="1"/>
    <col min="21" max="16384" width="8.75" style="12"/>
  </cols>
  <sheetData>
    <row r="1" spans="1:15" ht="28">
      <c r="A1" s="13" t="s">
        <v>22</v>
      </c>
      <c r="C1" s="19" t="s">
        <v>13</v>
      </c>
      <c r="D1" s="23" t="s">
        <v>35</v>
      </c>
      <c r="E1" s="13"/>
    </row>
    <row r="2" spans="1:15">
      <c r="A2" s="12" t="s">
        <v>23</v>
      </c>
      <c r="C2" s="12">
        <v>10000</v>
      </c>
      <c r="D2" s="12">
        <v>50333</v>
      </c>
    </row>
    <row r="3" spans="1:15">
      <c r="A3" s="12" t="s">
        <v>24</v>
      </c>
      <c r="C3" s="12">
        <v>10000</v>
      </c>
      <c r="D3" s="12">
        <v>1489126</v>
      </c>
    </row>
    <row r="4" spans="1:15">
      <c r="A4" s="12" t="s">
        <v>25</v>
      </c>
      <c r="C4" s="12">
        <v>10000</v>
      </c>
      <c r="D4" s="12">
        <v>3623390</v>
      </c>
    </row>
    <row r="6" spans="1:15" ht="42">
      <c r="A6" s="13" t="s">
        <v>36</v>
      </c>
      <c r="B6" s="13" t="s">
        <v>16</v>
      </c>
      <c r="C6" s="13" t="s">
        <v>39</v>
      </c>
      <c r="D6" s="13" t="s">
        <v>38</v>
      </c>
      <c r="E6" s="13"/>
      <c r="F6" s="13" t="s">
        <v>40</v>
      </c>
      <c r="G6" s="13" t="s">
        <v>41</v>
      </c>
      <c r="K6" s="13" t="s">
        <v>44</v>
      </c>
      <c r="L6" s="13" t="s">
        <v>31</v>
      </c>
      <c r="M6" s="13" t="s">
        <v>32</v>
      </c>
      <c r="N6" s="13" t="s">
        <v>33</v>
      </c>
      <c r="O6" s="13" t="s">
        <v>34</v>
      </c>
    </row>
    <row r="7" spans="1:15">
      <c r="A7" s="12" t="s">
        <v>14</v>
      </c>
      <c r="B7" s="14">
        <f>'Query 10x'!E30</f>
        <v>63.700057330667896</v>
      </c>
      <c r="C7" s="20">
        <f>$B7*C$3/1000</f>
        <v>637.00057330667892</v>
      </c>
      <c r="D7" s="22">
        <f>$B7*D$3/1000</f>
        <v>94857.411572588157</v>
      </c>
      <c r="E7" s="25"/>
      <c r="F7" s="21">
        <f>C7/60</f>
        <v>10.616676221777983</v>
      </c>
      <c r="G7" s="24">
        <f>D7/60</f>
        <v>1580.956859543136</v>
      </c>
      <c r="H7" s="16"/>
      <c r="I7" s="16"/>
      <c r="J7" s="16"/>
    </row>
    <row r="8" spans="1:15">
      <c r="A8" s="12" t="s">
        <v>15</v>
      </c>
      <c r="B8" s="14">
        <f>'Query 10x'!N30</f>
        <v>2.0428435623393768</v>
      </c>
      <c r="C8" s="20">
        <f>$B8*C$3/1000</f>
        <v>20.428435623393767</v>
      </c>
      <c r="D8" s="22">
        <f>$B8*D$3/1000</f>
        <v>3042.0514626121872</v>
      </c>
      <c r="E8" s="25"/>
      <c r="F8" s="21">
        <f>C8/60</f>
        <v>0.34047392705656276</v>
      </c>
      <c r="G8" s="24">
        <f>D8/60</f>
        <v>50.700857710203117</v>
      </c>
      <c r="H8" s="16"/>
      <c r="I8" s="16"/>
      <c r="J8" s="16"/>
      <c r="K8" s="12">
        <v>675</v>
      </c>
      <c r="L8" s="17">
        <f>K8*$D$24</f>
        <v>830925</v>
      </c>
      <c r="M8" s="15">
        <f>L8/60</f>
        <v>13848.75</v>
      </c>
      <c r="N8" s="15">
        <f>M8/60</f>
        <v>230.8125</v>
      </c>
      <c r="O8" s="15">
        <f>N8/24</f>
        <v>9.6171875</v>
      </c>
    </row>
    <row r="9" spans="1:15">
      <c r="K9" s="12">
        <v>415</v>
      </c>
    </row>
    <row r="10" spans="1:15" ht="42">
      <c r="A10" s="13" t="s">
        <v>37</v>
      </c>
      <c r="B10" s="13" t="s">
        <v>16</v>
      </c>
      <c r="C10" s="13" t="s">
        <v>39</v>
      </c>
      <c r="D10" s="13" t="s">
        <v>38</v>
      </c>
      <c r="E10" s="13"/>
      <c r="F10" s="13" t="s">
        <v>40</v>
      </c>
      <c r="G10" s="13" t="s">
        <v>41</v>
      </c>
      <c r="H10" s="13" t="s">
        <v>42</v>
      </c>
      <c r="I10" s="13" t="s">
        <v>43</v>
      </c>
      <c r="J10" s="13"/>
      <c r="K10" s="13" t="s">
        <v>45</v>
      </c>
      <c r="L10" s="13" t="s">
        <v>31</v>
      </c>
      <c r="M10" s="13" t="s">
        <v>32</v>
      </c>
      <c r="N10" s="13" t="s">
        <v>33</v>
      </c>
      <c r="O10" s="13" t="s">
        <v>34</v>
      </c>
    </row>
    <row r="11" spans="1:15">
      <c r="A11" s="12" t="s">
        <v>17</v>
      </c>
      <c r="B11" s="14">
        <f>'Query 10x'!E49</f>
        <v>3249.2021380132906</v>
      </c>
      <c r="C11" s="20">
        <f t="shared" ref="C11:D13" si="0">$B11*C$4/1000</f>
        <v>32492.021380132905</v>
      </c>
      <c r="D11" s="22">
        <f t="shared" si="0"/>
        <v>11773126.534855977</v>
      </c>
      <c r="E11" s="25"/>
      <c r="F11" s="21">
        <f t="shared" ref="F11:G13" si="1">C11/60</f>
        <v>541.53368966888172</v>
      </c>
      <c r="G11" s="24">
        <f t="shared" si="1"/>
        <v>196218.77558093294</v>
      </c>
      <c r="H11" s="24">
        <f>G11/60</f>
        <v>3270.3129263488822</v>
      </c>
      <c r="I11" s="24">
        <f>H11/24</f>
        <v>136.26303859787009</v>
      </c>
      <c r="J11" s="16"/>
      <c r="K11" s="18"/>
      <c r="L11" s="18"/>
      <c r="M11" s="18"/>
      <c r="N11" s="18"/>
      <c r="O11" s="18"/>
    </row>
    <row r="12" spans="1:15">
      <c r="A12" s="12" t="s">
        <v>18</v>
      </c>
      <c r="B12" s="14">
        <f>'Query 10x'!N49</f>
        <v>2304.2816293186729</v>
      </c>
      <c r="C12" s="20">
        <f t="shared" si="0"/>
        <v>23042.816293186726</v>
      </c>
      <c r="D12" s="22">
        <f t="shared" si="0"/>
        <v>8349311.0128569864</v>
      </c>
      <c r="E12" s="25"/>
      <c r="F12" s="21">
        <f t="shared" si="1"/>
        <v>384.04693821977878</v>
      </c>
      <c r="G12" s="24">
        <f t="shared" si="1"/>
        <v>139155.18354761644</v>
      </c>
      <c r="H12" s="24">
        <f>G12/60</f>
        <v>2319.2530591269406</v>
      </c>
      <c r="I12" s="24">
        <f>H12/24</f>
        <v>96.63554413028919</v>
      </c>
      <c r="J12" s="16"/>
      <c r="K12" s="18"/>
      <c r="L12" s="18"/>
      <c r="M12" s="18"/>
      <c r="N12" s="18"/>
      <c r="O12" s="18"/>
    </row>
    <row r="13" spans="1:15">
      <c r="A13" s="12" t="s">
        <v>19</v>
      </c>
      <c r="B13" s="14">
        <f>'Query 10x'!W49</f>
        <v>240.55843553145993</v>
      </c>
      <c r="C13" s="20">
        <f t="shared" si="0"/>
        <v>2405.5843553145992</v>
      </c>
      <c r="D13" s="22">
        <f t="shared" si="0"/>
        <v>871637.02972033655</v>
      </c>
      <c r="E13" s="25"/>
      <c r="F13" s="21">
        <f t="shared" si="1"/>
        <v>40.093072588576653</v>
      </c>
      <c r="G13" s="24">
        <f t="shared" si="1"/>
        <v>14527.283828672276</v>
      </c>
      <c r="H13" s="24">
        <f>G13/60</f>
        <v>242.12139714453795</v>
      </c>
      <c r="I13" s="24">
        <f>H13/24</f>
        <v>10.088391547689081</v>
      </c>
      <c r="J13" s="16"/>
      <c r="K13" s="18">
        <v>922</v>
      </c>
      <c r="L13" s="17">
        <f>K13*$D$24</f>
        <v>1134982</v>
      </c>
      <c r="M13" s="15">
        <f>L13/60</f>
        <v>18916.366666666665</v>
      </c>
      <c r="N13" s="15">
        <f>M13/60</f>
        <v>315.27277777777778</v>
      </c>
      <c r="O13" s="15">
        <f>N13/24</f>
        <v>13.136365740740741</v>
      </c>
    </row>
    <row r="14" spans="1:15">
      <c r="K14" s="12">
        <v>623</v>
      </c>
    </row>
    <row r="18" spans="1:11">
      <c r="K18" s="12">
        <v>1144830</v>
      </c>
    </row>
    <row r="19" spans="1:11">
      <c r="K19" s="12">
        <v>1435961</v>
      </c>
    </row>
    <row r="20" spans="1:11">
      <c r="K20" s="12">
        <v>1284917</v>
      </c>
    </row>
    <row r="21" spans="1:11">
      <c r="K21" s="12">
        <v>1134982</v>
      </c>
    </row>
    <row r="23" spans="1:11">
      <c r="A23" s="13" t="s">
        <v>26</v>
      </c>
      <c r="B23" s="13" t="s">
        <v>27</v>
      </c>
      <c r="C23" s="13" t="s">
        <v>28</v>
      </c>
      <c r="D23" s="13" t="s">
        <v>29</v>
      </c>
      <c r="E23" s="13"/>
      <c r="G23" s="13"/>
    </row>
    <row r="24" spans="1:11">
      <c r="A24" s="12" t="s">
        <v>30</v>
      </c>
      <c r="B24" s="12">
        <v>1231000000</v>
      </c>
      <c r="C24" s="12">
        <v>1000000</v>
      </c>
      <c r="D24" s="17">
        <f>B24/C24</f>
        <v>1231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B785-CA88-414A-B941-315E204E4262}">
  <sheetPr filterMode="1"/>
  <dimension ref="A1:AJ329"/>
  <sheetViews>
    <sheetView workbookViewId="0">
      <selection activeCell="H39" sqref="H39"/>
    </sheetView>
  </sheetViews>
  <sheetFormatPr defaultRowHeight="14"/>
  <cols>
    <col min="1" max="1" width="5.75" style="35" bestFit="1" customWidth="1"/>
    <col min="2" max="2" width="9.75" style="35" bestFit="1" customWidth="1"/>
    <col min="3" max="3" width="14.58203125" style="35" bestFit="1" customWidth="1"/>
    <col min="4" max="4" width="14.58203125" style="35" customWidth="1"/>
    <col min="5" max="5" width="14.58203125" style="35" bestFit="1" customWidth="1"/>
    <col min="6" max="6" width="13.75" style="35" bestFit="1" customWidth="1"/>
    <col min="7" max="7" width="13.75" style="35" customWidth="1"/>
    <col min="8" max="8" width="14.58203125" style="35" bestFit="1" customWidth="1"/>
    <col min="9" max="9" width="13.75" style="35" bestFit="1" customWidth="1"/>
    <col min="10" max="10" width="16.08203125" style="35" bestFit="1" customWidth="1"/>
    <col min="12" max="12" width="24.33203125" customWidth="1"/>
    <col min="13" max="13" width="29" customWidth="1"/>
    <col min="14" max="14" width="10.75" customWidth="1"/>
    <col min="15" max="17" width="9.58203125" customWidth="1"/>
    <col min="18" max="18" width="8.58203125" customWidth="1"/>
    <col min="19" max="19" width="6.08203125" customWidth="1"/>
    <col min="20" max="22" width="13.83203125" customWidth="1"/>
    <col min="23" max="24" width="12.83203125" customWidth="1"/>
    <col min="25" max="25" width="13.83203125" customWidth="1"/>
    <col min="26" max="26" width="12.83203125" customWidth="1"/>
    <col min="27" max="27" width="15.5" customWidth="1"/>
    <col min="28" max="28" width="9.75" customWidth="1"/>
    <col min="29" max="36" width="8.58203125" customWidth="1"/>
  </cols>
  <sheetData>
    <row r="1" spans="1:36">
      <c r="B1" s="69" t="s">
        <v>440</v>
      </c>
      <c r="C1" s="69"/>
      <c r="D1" s="69"/>
      <c r="E1" s="69"/>
      <c r="F1" s="69"/>
      <c r="G1" s="69"/>
      <c r="H1" s="69"/>
      <c r="I1" s="69"/>
      <c r="J1" s="69"/>
      <c r="L1" s="31" t="s">
        <v>362</v>
      </c>
      <c r="M1" s="31" t="s">
        <v>26</v>
      </c>
      <c r="N1" s="31" t="s">
        <v>363</v>
      </c>
      <c r="O1" s="31" t="s">
        <v>366</v>
      </c>
      <c r="P1" s="31" t="s">
        <v>364</v>
      </c>
      <c r="Q1" s="31" t="s">
        <v>365</v>
      </c>
      <c r="R1" s="31" t="s">
        <v>52</v>
      </c>
      <c r="S1" s="31" t="s">
        <v>56</v>
      </c>
      <c r="T1" s="31" t="s">
        <v>57</v>
      </c>
      <c r="U1" s="34" t="s">
        <v>457</v>
      </c>
      <c r="V1" s="34" t="s">
        <v>58</v>
      </c>
      <c r="W1" s="34" t="s">
        <v>60</v>
      </c>
      <c r="X1" s="34" t="s">
        <v>458</v>
      </c>
      <c r="Y1" s="31" t="s">
        <v>59</v>
      </c>
      <c r="Z1" s="31" t="s">
        <v>61</v>
      </c>
      <c r="AA1" s="31" t="s">
        <v>62</v>
      </c>
      <c r="AB1" s="31" t="s">
        <v>56</v>
      </c>
      <c r="AC1" s="31" t="s">
        <v>57</v>
      </c>
      <c r="AD1" s="34" t="s">
        <v>457</v>
      </c>
      <c r="AE1" s="34" t="s">
        <v>58</v>
      </c>
      <c r="AF1" s="34" t="s">
        <v>60</v>
      </c>
      <c r="AG1" s="34" t="s">
        <v>458</v>
      </c>
      <c r="AH1" s="31" t="s">
        <v>59</v>
      </c>
      <c r="AI1" s="31" t="s">
        <v>61</v>
      </c>
      <c r="AJ1" s="31" t="s">
        <v>62</v>
      </c>
    </row>
    <row r="2" spans="1:36">
      <c r="A2" s="36" t="s">
        <v>52</v>
      </c>
      <c r="B2" s="36" t="s">
        <v>56</v>
      </c>
      <c r="C2" s="36" t="s">
        <v>57</v>
      </c>
      <c r="D2" s="34" t="s">
        <v>457</v>
      </c>
      <c r="E2" s="34" t="s">
        <v>58</v>
      </c>
      <c r="F2" s="34" t="s">
        <v>60</v>
      </c>
      <c r="G2" s="34" t="s">
        <v>458</v>
      </c>
      <c r="H2" s="36" t="s">
        <v>59</v>
      </c>
      <c r="I2" s="36" t="s">
        <v>61</v>
      </c>
      <c r="J2" s="36" t="s">
        <v>62</v>
      </c>
      <c r="L2" t="s">
        <v>68</v>
      </c>
      <c r="M2" t="s">
        <v>69</v>
      </c>
      <c r="N2">
        <v>625467392</v>
      </c>
      <c r="O2" t="s">
        <v>70</v>
      </c>
      <c r="P2" t="s">
        <v>71</v>
      </c>
      <c r="Q2" t="s">
        <v>72</v>
      </c>
      <c r="R2" t="str">
        <f t="shared" ref="R2:R65" si="0">IF(ISNUMBER(SEARCH("_2x", L2)), "2x", IF(ISNUMBER(SEARCH("_5x", L2)), "5x", IF(ISNUMBER(SEARCH("_10x", L2)), "10x", "1x")))</f>
        <v>1x</v>
      </c>
      <c r="S2">
        <v>1</v>
      </c>
      <c r="AB2">
        <f t="shared" ref="AB2:AB33" si="1">IF(S2=1,$N2,"")</f>
        <v>625467392</v>
      </c>
      <c r="AC2" t="str">
        <f t="shared" ref="AC2:AC33" si="2">IF(T2=1,$N2,"")</f>
        <v/>
      </c>
      <c r="AE2" t="str">
        <f t="shared" ref="AE2:AE33" si="3">IF(V2=1,$N2,"")</f>
        <v/>
      </c>
      <c r="AF2" t="str">
        <f t="shared" ref="AF2:AF33" si="4">IF(W2=1,$N2,"")</f>
        <v/>
      </c>
      <c r="AH2" t="str">
        <f t="shared" ref="AH2:AH33" si="5">IF(Y2=1,$N2,"")</f>
        <v/>
      </c>
      <c r="AI2" t="str">
        <f t="shared" ref="AI2:AJ2" si="6">IF(Z2=1,$N2,"")</f>
        <v/>
      </c>
      <c r="AJ2" t="str">
        <f t="shared" si="6"/>
        <v/>
      </c>
    </row>
    <row r="3" spans="1:36">
      <c r="A3" s="36" t="s">
        <v>367</v>
      </c>
      <c r="B3" s="35">
        <f ca="1">SUMIF($R$2:$AJ$329,$A3,AB$2:AB$329)</f>
        <v>715800576</v>
      </c>
      <c r="C3" s="35">
        <f t="shared" ref="C3:D6" ca="1" si="7">SUMIF($R$2:$AJ$329,$A3,AC$2:AC$329)</f>
        <v>738615296</v>
      </c>
      <c r="D3" s="35">
        <f t="shared" ca="1" si="7"/>
        <v>890109952</v>
      </c>
      <c r="E3" s="35">
        <f t="shared" ref="E3:E6" ca="1" si="8">SUMIF($R$2:$AJ$329,$A3,AE$2:AE$329)</f>
        <v>917856256</v>
      </c>
      <c r="F3" s="35">
        <f t="shared" ref="F3:F6" ca="1" si="9">SUMIF($R$2:$AJ$329,$A3,AF$2:AF$329)</f>
        <v>893943808</v>
      </c>
      <c r="G3" s="35">
        <f t="shared" ref="G3:G6" ca="1" si="10">SUMIF($R$2:$AJ$329,$A3,AG$2:AG$329)</f>
        <v>928399360</v>
      </c>
      <c r="H3" s="35">
        <f t="shared" ref="H3:H6" ca="1" si="11">SUMIF($R$2:$AJ$329,$A3,AH$2:AH$329)</f>
        <v>934887424</v>
      </c>
      <c r="I3" s="35">
        <f t="shared" ref="I3:I6" ca="1" si="12">SUMIF($R$2:$AJ$329,$A3,AI$2:AI$329)</f>
        <v>925286400</v>
      </c>
      <c r="J3" s="35">
        <f t="shared" ref="J3:J6" ca="1" si="13">SUMIF($R$2:$AJ$329,$A3,AJ$2:AJ$329)</f>
        <v>920936448</v>
      </c>
      <c r="L3" t="s">
        <v>68</v>
      </c>
      <c r="M3" t="s">
        <v>73</v>
      </c>
      <c r="N3">
        <v>18178048</v>
      </c>
      <c r="O3" t="s">
        <v>74</v>
      </c>
      <c r="P3" t="s">
        <v>74</v>
      </c>
      <c r="Q3" t="s">
        <v>75</v>
      </c>
      <c r="R3" t="str">
        <f t="shared" si="0"/>
        <v>1x</v>
      </c>
      <c r="S3">
        <v>1</v>
      </c>
      <c r="T3">
        <v>1</v>
      </c>
      <c r="AB3">
        <f t="shared" si="1"/>
        <v>18178048</v>
      </c>
      <c r="AC3">
        <f t="shared" si="2"/>
        <v>18178048</v>
      </c>
      <c r="AE3" t="str">
        <f t="shared" si="3"/>
        <v/>
      </c>
      <c r="AF3" t="str">
        <f t="shared" si="4"/>
        <v/>
      </c>
      <c r="AH3" t="str">
        <f t="shared" si="5"/>
        <v/>
      </c>
      <c r="AI3" t="str">
        <f t="shared" ref="AI3:AI49" si="14">IF(Z3=1,$N3,"")</f>
        <v/>
      </c>
      <c r="AJ3" t="str">
        <f t="shared" ref="AJ3:AJ49" si="15">IF(AA3=1,$N3,"")</f>
        <v/>
      </c>
    </row>
    <row r="4" spans="1:36">
      <c r="A4" s="36" t="s">
        <v>368</v>
      </c>
      <c r="B4" s="35">
        <f t="shared" ref="B4:B6" ca="1" si="16">SUMIF($R$2:$AJ$329,$A4,AB$2:AB$329)</f>
        <v>1431248896</v>
      </c>
      <c r="C4" s="35">
        <f t="shared" ca="1" si="7"/>
        <v>1476624384</v>
      </c>
      <c r="D4" s="35">
        <f t="shared" ca="1" si="7"/>
        <v>1677426688</v>
      </c>
      <c r="E4" s="35">
        <f t="shared" ca="1" si="8"/>
        <v>1732567040</v>
      </c>
      <c r="F4" s="35">
        <f t="shared" ca="1" si="9"/>
        <v>1684660224</v>
      </c>
      <c r="G4" s="35">
        <f t="shared" ca="1" si="10"/>
        <v>1753694208</v>
      </c>
      <c r="H4" s="35">
        <f t="shared" ca="1" si="11"/>
        <v>1766490112</v>
      </c>
      <c r="I4" s="35">
        <f t="shared" ca="1" si="12"/>
        <v>1747132416</v>
      </c>
      <c r="J4" s="35">
        <f t="shared" ca="1" si="13"/>
        <v>1746059264</v>
      </c>
      <c r="L4" t="s">
        <v>68</v>
      </c>
      <c r="M4" t="s">
        <v>76</v>
      </c>
      <c r="N4">
        <v>72155136</v>
      </c>
      <c r="O4" t="s">
        <v>77</v>
      </c>
      <c r="P4" t="s">
        <v>78</v>
      </c>
      <c r="Q4" t="s">
        <v>79</v>
      </c>
      <c r="R4" t="str">
        <f t="shared" si="0"/>
        <v>1x</v>
      </c>
      <c r="S4">
        <v>1</v>
      </c>
      <c r="AB4">
        <f t="shared" si="1"/>
        <v>72155136</v>
      </c>
      <c r="AC4" t="str">
        <f t="shared" si="2"/>
        <v/>
      </c>
      <c r="AE4" t="str">
        <f t="shared" si="3"/>
        <v/>
      </c>
      <c r="AF4" t="str">
        <f t="shared" si="4"/>
        <v/>
      </c>
      <c r="AH4" t="str">
        <f t="shared" si="5"/>
        <v/>
      </c>
      <c r="AI4" t="str">
        <f t="shared" si="14"/>
        <v/>
      </c>
      <c r="AJ4" t="str">
        <f t="shared" si="15"/>
        <v/>
      </c>
    </row>
    <row r="5" spans="1:36">
      <c r="A5" s="34" t="s">
        <v>371</v>
      </c>
      <c r="B5" s="35">
        <f t="shared" ca="1" si="16"/>
        <v>3577634816</v>
      </c>
      <c r="C5" s="35">
        <f t="shared" ca="1" si="7"/>
        <v>3690553344</v>
      </c>
      <c r="D5" s="35">
        <f t="shared" ca="1" si="7"/>
        <v>4039483392</v>
      </c>
      <c r="E5" s="35">
        <f t="shared" ca="1" si="8"/>
        <v>4176658432</v>
      </c>
      <c r="F5" s="35">
        <f t="shared" ca="1" si="9"/>
        <v>4056940544</v>
      </c>
      <c r="G5" s="35">
        <f t="shared" ca="1" si="10"/>
        <v>4231340032</v>
      </c>
      <c r="H5" s="35">
        <f t="shared" ca="1" si="11"/>
        <v>4262830080</v>
      </c>
      <c r="I5" s="35">
        <f t="shared" ca="1" si="12"/>
        <v>4214415360</v>
      </c>
      <c r="J5" s="35">
        <f t="shared" ca="1" si="13"/>
        <v>4223451136</v>
      </c>
      <c r="L5" t="s">
        <v>165</v>
      </c>
      <c r="M5" t="s">
        <v>91</v>
      </c>
      <c r="N5">
        <v>70385664</v>
      </c>
      <c r="O5" t="s">
        <v>92</v>
      </c>
      <c r="P5" t="s">
        <v>93</v>
      </c>
      <c r="Q5" t="s">
        <v>94</v>
      </c>
      <c r="R5" t="str">
        <f t="shared" si="0"/>
        <v>1x</v>
      </c>
      <c r="V5">
        <v>1</v>
      </c>
      <c r="Y5">
        <v>1</v>
      </c>
      <c r="AB5" t="str">
        <f t="shared" si="1"/>
        <v/>
      </c>
      <c r="AC5" t="str">
        <f t="shared" si="2"/>
        <v/>
      </c>
      <c r="AE5">
        <f t="shared" si="3"/>
        <v>70385664</v>
      </c>
      <c r="AF5" t="str">
        <f t="shared" si="4"/>
        <v/>
      </c>
      <c r="AH5">
        <f t="shared" si="5"/>
        <v>70385664</v>
      </c>
      <c r="AI5" t="str">
        <f t="shared" si="14"/>
        <v/>
      </c>
      <c r="AJ5" t="str">
        <f t="shared" si="15"/>
        <v/>
      </c>
    </row>
    <row r="6" spans="1:36">
      <c r="A6" s="36" t="s">
        <v>369</v>
      </c>
      <c r="B6" s="35">
        <f t="shared" ca="1" si="16"/>
        <v>7154958336</v>
      </c>
      <c r="C6" s="35">
        <f t="shared" ca="1" si="7"/>
        <v>7380467712</v>
      </c>
      <c r="D6" s="35">
        <f t="shared" ca="1" si="7"/>
        <v>7976255488</v>
      </c>
      <c r="E6" s="35">
        <f t="shared" ca="1" si="8"/>
        <v>8250155008</v>
      </c>
      <c r="F6" s="35">
        <f t="shared" ca="1" si="9"/>
        <v>8010678272</v>
      </c>
      <c r="G6" s="35">
        <f t="shared" ca="1" si="10"/>
        <v>8360648704</v>
      </c>
      <c r="H6" s="35">
        <f t="shared" ca="1" si="11"/>
        <v>8423366656</v>
      </c>
      <c r="I6" s="35">
        <f t="shared" ca="1" si="12"/>
        <v>8326438912</v>
      </c>
      <c r="J6" s="35">
        <f t="shared" ca="1" si="13"/>
        <v>8351916032</v>
      </c>
      <c r="L6" t="s">
        <v>165</v>
      </c>
      <c r="M6" t="s">
        <v>95</v>
      </c>
      <c r="N6">
        <v>31948800</v>
      </c>
      <c r="O6" t="s">
        <v>96</v>
      </c>
      <c r="P6" t="s">
        <v>97</v>
      </c>
      <c r="Q6" t="s">
        <v>98</v>
      </c>
      <c r="R6" t="str">
        <f t="shared" si="0"/>
        <v>1x</v>
      </c>
      <c r="V6">
        <v>1</v>
      </c>
      <c r="Y6">
        <v>1</v>
      </c>
      <c r="AB6" t="str">
        <f t="shared" si="1"/>
        <v/>
      </c>
      <c r="AC6" t="str">
        <f t="shared" si="2"/>
        <v/>
      </c>
      <c r="AE6">
        <f t="shared" si="3"/>
        <v>31948800</v>
      </c>
      <c r="AF6" t="str">
        <f t="shared" si="4"/>
        <v/>
      </c>
      <c r="AH6">
        <f t="shared" si="5"/>
        <v>31948800</v>
      </c>
      <c r="AI6" t="str">
        <f t="shared" si="14"/>
        <v/>
      </c>
      <c r="AJ6" t="str">
        <f t="shared" si="15"/>
        <v/>
      </c>
    </row>
    <row r="7" spans="1:36">
      <c r="L7" t="s">
        <v>165</v>
      </c>
      <c r="M7" t="s">
        <v>99</v>
      </c>
      <c r="N7">
        <v>30597120</v>
      </c>
      <c r="O7" t="s">
        <v>97</v>
      </c>
      <c r="P7" t="s">
        <v>97</v>
      </c>
      <c r="Q7" t="s">
        <v>166</v>
      </c>
      <c r="R7" t="str">
        <f t="shared" si="0"/>
        <v>1x</v>
      </c>
      <c r="Y7">
        <v>1</v>
      </c>
      <c r="AB7" t="str">
        <f t="shared" si="1"/>
        <v/>
      </c>
      <c r="AC7" t="str">
        <f t="shared" si="2"/>
        <v/>
      </c>
      <c r="AE7" t="str">
        <f t="shared" si="3"/>
        <v/>
      </c>
      <c r="AF7" t="str">
        <f t="shared" si="4"/>
        <v/>
      </c>
      <c r="AH7">
        <f t="shared" si="5"/>
        <v>30597120</v>
      </c>
      <c r="AI7" t="str">
        <f t="shared" si="14"/>
        <v/>
      </c>
      <c r="AJ7" t="str">
        <f t="shared" si="15"/>
        <v/>
      </c>
    </row>
    <row r="8" spans="1:36">
      <c r="A8" s="45"/>
      <c r="B8" s="71" t="s">
        <v>67</v>
      </c>
      <c r="C8" s="71"/>
      <c r="D8" s="71"/>
      <c r="E8" s="71"/>
      <c r="F8" s="71"/>
      <c r="G8" s="71"/>
      <c r="H8" s="71"/>
      <c r="I8" s="71"/>
      <c r="J8" s="71"/>
      <c r="L8" t="s">
        <v>165</v>
      </c>
      <c r="M8" t="s">
        <v>103</v>
      </c>
      <c r="N8">
        <v>62570496</v>
      </c>
      <c r="O8" t="s">
        <v>167</v>
      </c>
      <c r="P8" t="s">
        <v>168</v>
      </c>
      <c r="Q8" t="s">
        <v>166</v>
      </c>
      <c r="R8" t="str">
        <f t="shared" si="0"/>
        <v>1x</v>
      </c>
      <c r="V8">
        <v>1</v>
      </c>
      <c r="Y8">
        <v>1</v>
      </c>
      <c r="AB8" t="str">
        <f t="shared" si="1"/>
        <v/>
      </c>
      <c r="AC8" t="str">
        <f t="shared" si="2"/>
        <v/>
      </c>
      <c r="AE8">
        <f t="shared" si="3"/>
        <v>62570496</v>
      </c>
      <c r="AF8" t="str">
        <f t="shared" si="4"/>
        <v/>
      </c>
      <c r="AH8">
        <f t="shared" si="5"/>
        <v>62570496</v>
      </c>
      <c r="AI8" t="str">
        <f t="shared" si="14"/>
        <v/>
      </c>
      <c r="AJ8" t="str">
        <f t="shared" si="15"/>
        <v/>
      </c>
    </row>
    <row r="9" spans="1:36">
      <c r="A9" s="46" t="s">
        <v>52</v>
      </c>
      <c r="B9" s="46" t="s">
        <v>56</v>
      </c>
      <c r="C9" s="46" t="s">
        <v>57</v>
      </c>
      <c r="D9" s="46" t="s">
        <v>457</v>
      </c>
      <c r="E9" s="46" t="s">
        <v>58</v>
      </c>
      <c r="F9" s="46" t="s">
        <v>60</v>
      </c>
      <c r="G9" s="46" t="s">
        <v>458</v>
      </c>
      <c r="H9" s="46" t="s">
        <v>59</v>
      </c>
      <c r="I9" s="46" t="s">
        <v>61</v>
      </c>
      <c r="J9" s="46" t="s">
        <v>62</v>
      </c>
      <c r="L9" t="s">
        <v>165</v>
      </c>
      <c r="M9" t="s">
        <v>105</v>
      </c>
      <c r="N9">
        <v>49152</v>
      </c>
      <c r="O9" t="s">
        <v>125</v>
      </c>
      <c r="P9" t="s">
        <v>110</v>
      </c>
      <c r="Q9" t="s">
        <v>107</v>
      </c>
      <c r="R9" t="str">
        <f t="shared" si="0"/>
        <v>1x</v>
      </c>
      <c r="T9">
        <v>1</v>
      </c>
      <c r="V9">
        <v>1</v>
      </c>
      <c r="Y9">
        <v>1</v>
      </c>
      <c r="AB9" t="str">
        <f t="shared" si="1"/>
        <v/>
      </c>
      <c r="AC9">
        <f t="shared" si="2"/>
        <v>49152</v>
      </c>
      <c r="AE9">
        <f t="shared" si="3"/>
        <v>49152</v>
      </c>
      <c r="AF9" t="str">
        <f t="shared" si="4"/>
        <v/>
      </c>
      <c r="AH9">
        <f t="shared" si="5"/>
        <v>49152</v>
      </c>
      <c r="AI9" t="str">
        <f t="shared" si="14"/>
        <v/>
      </c>
      <c r="AJ9" t="str">
        <f t="shared" si="15"/>
        <v/>
      </c>
    </row>
    <row r="10" spans="1:36">
      <c r="A10" s="46" t="s">
        <v>367</v>
      </c>
      <c r="B10" s="47">
        <f t="shared" ref="B10:J13" ca="1" si="17">B3/1024/1024</f>
        <v>682.640625</v>
      </c>
      <c r="C10" s="47">
        <f t="shared" ca="1" si="17"/>
        <v>704.3984375</v>
      </c>
      <c r="D10" s="47">
        <f t="shared" ref="D10" ca="1" si="18">D3/1024/1024</f>
        <v>848.875</v>
      </c>
      <c r="E10" s="47">
        <f t="shared" ca="1" si="17"/>
        <v>875.3359375</v>
      </c>
      <c r="F10" s="47">
        <f t="shared" ca="1" si="17"/>
        <v>852.53125</v>
      </c>
      <c r="G10" s="47">
        <f t="shared" ref="G10" ca="1" si="19">G3/1024/1024</f>
        <v>885.390625</v>
      </c>
      <c r="H10" s="47">
        <f t="shared" ca="1" si="17"/>
        <v>891.578125</v>
      </c>
      <c r="I10" s="47">
        <f t="shared" ca="1" si="17"/>
        <v>882.421875</v>
      </c>
      <c r="J10" s="47">
        <f t="shared" ca="1" si="17"/>
        <v>878.2734375</v>
      </c>
      <c r="L10" t="s">
        <v>165</v>
      </c>
      <c r="M10" t="s">
        <v>108</v>
      </c>
      <c r="N10">
        <v>73728</v>
      </c>
      <c r="O10" t="s">
        <v>106</v>
      </c>
      <c r="P10" t="s">
        <v>110</v>
      </c>
      <c r="Q10" t="s">
        <v>111</v>
      </c>
      <c r="R10" t="str">
        <f t="shared" si="0"/>
        <v>1x</v>
      </c>
      <c r="T10">
        <v>1</v>
      </c>
      <c r="V10">
        <v>1</v>
      </c>
      <c r="Y10">
        <v>1</v>
      </c>
      <c r="AB10" t="str">
        <f t="shared" si="1"/>
        <v/>
      </c>
      <c r="AC10">
        <f t="shared" si="2"/>
        <v>73728</v>
      </c>
      <c r="AE10">
        <f t="shared" si="3"/>
        <v>73728</v>
      </c>
      <c r="AF10" t="str">
        <f t="shared" si="4"/>
        <v/>
      </c>
      <c r="AH10">
        <f t="shared" si="5"/>
        <v>73728</v>
      </c>
      <c r="AI10" t="str">
        <f t="shared" si="14"/>
        <v/>
      </c>
      <c r="AJ10" t="str">
        <f t="shared" si="15"/>
        <v/>
      </c>
    </row>
    <row r="11" spans="1:36">
      <c r="A11" s="46" t="s">
        <v>368</v>
      </c>
      <c r="B11" s="47">
        <f t="shared" ca="1" si="17"/>
        <v>1364.9453125</v>
      </c>
      <c r="C11" s="47">
        <f t="shared" ca="1" si="17"/>
        <v>1408.21875</v>
      </c>
      <c r="D11" s="47">
        <f t="shared" ref="D11" ca="1" si="20">D4/1024/1024</f>
        <v>1599.71875</v>
      </c>
      <c r="E11" s="47">
        <f t="shared" ca="1" si="17"/>
        <v>1652.3046875</v>
      </c>
      <c r="F11" s="47">
        <f t="shared" ca="1" si="17"/>
        <v>1606.6171875</v>
      </c>
      <c r="G11" s="47">
        <f t="shared" ref="G11" ca="1" si="21">G4/1024/1024</f>
        <v>1672.453125</v>
      </c>
      <c r="H11" s="47">
        <f t="shared" ca="1" si="17"/>
        <v>1684.65625</v>
      </c>
      <c r="I11" s="47">
        <f t="shared" ca="1" si="17"/>
        <v>1666.1953125</v>
      </c>
      <c r="J11" s="47">
        <f t="shared" ca="1" si="17"/>
        <v>1665.171875</v>
      </c>
      <c r="L11" t="s">
        <v>165</v>
      </c>
      <c r="M11" t="s">
        <v>112</v>
      </c>
      <c r="N11">
        <v>384458752</v>
      </c>
      <c r="O11" t="s">
        <v>169</v>
      </c>
      <c r="P11" t="s">
        <v>170</v>
      </c>
      <c r="Q11" t="s">
        <v>171</v>
      </c>
      <c r="R11" t="str">
        <f t="shared" si="0"/>
        <v>1x</v>
      </c>
      <c r="T11">
        <v>1</v>
      </c>
      <c r="V11">
        <v>1</v>
      </c>
      <c r="Y11">
        <v>1</v>
      </c>
      <c r="AB11" t="str">
        <f t="shared" si="1"/>
        <v/>
      </c>
      <c r="AC11">
        <f t="shared" si="2"/>
        <v>384458752</v>
      </c>
      <c r="AE11">
        <f t="shared" si="3"/>
        <v>384458752</v>
      </c>
      <c r="AF11" t="str">
        <f t="shared" si="4"/>
        <v/>
      </c>
      <c r="AH11">
        <f t="shared" si="5"/>
        <v>384458752</v>
      </c>
      <c r="AI11" t="str">
        <f t="shared" si="14"/>
        <v/>
      </c>
      <c r="AJ11" t="str">
        <f t="shared" si="15"/>
        <v/>
      </c>
    </row>
    <row r="12" spans="1:36">
      <c r="A12" s="46" t="s">
        <v>371</v>
      </c>
      <c r="B12" s="47">
        <f t="shared" ca="1" si="17"/>
        <v>3411.8984375</v>
      </c>
      <c r="C12" s="47">
        <f t="shared" ca="1" si="17"/>
        <v>3519.5859375</v>
      </c>
      <c r="D12" s="47">
        <f t="shared" ref="D12" ca="1" si="22">D5/1024/1024</f>
        <v>3852.3515625</v>
      </c>
      <c r="E12" s="47">
        <f t="shared" ca="1" si="17"/>
        <v>3983.171875</v>
      </c>
      <c r="F12" s="47">
        <f t="shared" ca="1" si="17"/>
        <v>3869</v>
      </c>
      <c r="G12" s="47">
        <f t="shared" ref="G12" ca="1" si="23">G5/1024/1024</f>
        <v>4035.3203125</v>
      </c>
      <c r="H12" s="47">
        <f t="shared" ca="1" si="17"/>
        <v>4065.3515625</v>
      </c>
      <c r="I12" s="47">
        <f t="shared" ca="1" si="17"/>
        <v>4019.1796875</v>
      </c>
      <c r="J12" s="47">
        <f t="shared" ca="1" si="17"/>
        <v>4027.796875</v>
      </c>
      <c r="L12" t="s">
        <v>165</v>
      </c>
      <c r="M12" t="s">
        <v>116</v>
      </c>
      <c r="N12">
        <v>22929408</v>
      </c>
      <c r="O12" t="s">
        <v>122</v>
      </c>
      <c r="P12" t="s">
        <v>119</v>
      </c>
      <c r="Q12" t="s">
        <v>172</v>
      </c>
      <c r="R12" t="str">
        <f t="shared" si="0"/>
        <v>1x</v>
      </c>
      <c r="T12">
        <v>1</v>
      </c>
      <c r="V12">
        <v>1</v>
      </c>
      <c r="Y12">
        <v>1</v>
      </c>
      <c r="AB12" t="str">
        <f t="shared" si="1"/>
        <v/>
      </c>
      <c r="AC12">
        <f t="shared" si="2"/>
        <v>22929408</v>
      </c>
      <c r="AE12">
        <f t="shared" si="3"/>
        <v>22929408</v>
      </c>
      <c r="AF12" t="str">
        <f t="shared" si="4"/>
        <v/>
      </c>
      <c r="AH12">
        <f t="shared" si="5"/>
        <v>22929408</v>
      </c>
      <c r="AI12" t="str">
        <f t="shared" si="14"/>
        <v/>
      </c>
      <c r="AJ12" t="str">
        <f t="shared" si="15"/>
        <v/>
      </c>
    </row>
    <row r="13" spans="1:36">
      <c r="A13" s="46" t="s">
        <v>369</v>
      </c>
      <c r="B13" s="47">
        <f t="shared" ca="1" si="17"/>
        <v>6823.5</v>
      </c>
      <c r="C13" s="47">
        <f t="shared" ca="1" si="17"/>
        <v>7038.5625</v>
      </c>
      <c r="D13" s="47">
        <f t="shared" ref="D13" ca="1" si="24">D6/1024/1024</f>
        <v>7606.75</v>
      </c>
      <c r="E13" s="47">
        <f t="shared" ca="1" si="17"/>
        <v>7867.9609375</v>
      </c>
      <c r="F13" s="47">
        <f t="shared" ca="1" si="17"/>
        <v>7639.578125</v>
      </c>
      <c r="G13" s="47">
        <f t="shared" ref="G13" ca="1" si="25">G6/1024/1024</f>
        <v>7973.3359375</v>
      </c>
      <c r="H13" s="47">
        <f t="shared" ca="1" si="17"/>
        <v>8033.1484375</v>
      </c>
      <c r="I13" s="47">
        <f t="shared" ca="1" si="17"/>
        <v>7940.7109375</v>
      </c>
      <c r="J13" s="47">
        <f t="shared" ca="1" si="17"/>
        <v>7965.0078125</v>
      </c>
      <c r="L13" t="s">
        <v>165</v>
      </c>
      <c r="M13" t="s">
        <v>120</v>
      </c>
      <c r="N13">
        <v>240754688</v>
      </c>
      <c r="O13" t="s">
        <v>173</v>
      </c>
      <c r="P13" t="s">
        <v>174</v>
      </c>
      <c r="Q13" t="s">
        <v>175</v>
      </c>
      <c r="R13" t="str">
        <f t="shared" si="0"/>
        <v>1x</v>
      </c>
      <c r="T13">
        <v>1</v>
      </c>
      <c r="V13">
        <v>1</v>
      </c>
      <c r="Y13">
        <v>1</v>
      </c>
      <c r="AB13" t="str">
        <f t="shared" si="1"/>
        <v/>
      </c>
      <c r="AC13">
        <f t="shared" si="2"/>
        <v>240754688</v>
      </c>
      <c r="AE13">
        <f t="shared" si="3"/>
        <v>240754688</v>
      </c>
      <c r="AF13" t="str">
        <f t="shared" si="4"/>
        <v/>
      </c>
      <c r="AH13">
        <f t="shared" si="5"/>
        <v>240754688</v>
      </c>
      <c r="AI13" t="str">
        <f t="shared" si="14"/>
        <v/>
      </c>
      <c r="AJ13" t="str">
        <f t="shared" si="15"/>
        <v/>
      </c>
    </row>
    <row r="14" spans="1:36">
      <c r="L14" t="s">
        <v>165</v>
      </c>
      <c r="M14" t="s">
        <v>73</v>
      </c>
      <c r="N14">
        <v>18169856</v>
      </c>
      <c r="O14" t="s">
        <v>74</v>
      </c>
      <c r="P14" t="s">
        <v>74</v>
      </c>
      <c r="Q14" t="s">
        <v>75</v>
      </c>
      <c r="R14" t="str">
        <f t="shared" si="0"/>
        <v>1x</v>
      </c>
      <c r="V14">
        <v>1</v>
      </c>
      <c r="Y14">
        <v>1</v>
      </c>
      <c r="AB14" t="str">
        <f t="shared" si="1"/>
        <v/>
      </c>
      <c r="AC14" t="str">
        <f t="shared" si="2"/>
        <v/>
      </c>
      <c r="AE14">
        <f t="shared" si="3"/>
        <v>18169856</v>
      </c>
      <c r="AF14" t="str">
        <f t="shared" si="4"/>
        <v/>
      </c>
      <c r="AH14">
        <f t="shared" si="5"/>
        <v>18169856</v>
      </c>
      <c r="AI14" t="str">
        <f t="shared" si="14"/>
        <v/>
      </c>
      <c r="AJ14" t="str">
        <f t="shared" si="15"/>
        <v/>
      </c>
    </row>
    <row r="15" spans="1:36">
      <c r="L15" t="s">
        <v>165</v>
      </c>
      <c r="M15" t="s">
        <v>124</v>
      </c>
      <c r="N15">
        <v>32768</v>
      </c>
      <c r="O15" t="s">
        <v>107</v>
      </c>
      <c r="P15" t="s">
        <v>110</v>
      </c>
      <c r="Q15" t="s">
        <v>111</v>
      </c>
      <c r="R15" t="str">
        <f t="shared" si="0"/>
        <v>1x</v>
      </c>
      <c r="V15">
        <v>1</v>
      </c>
      <c r="Y15">
        <v>1</v>
      </c>
      <c r="AB15" t="str">
        <f t="shared" si="1"/>
        <v/>
      </c>
      <c r="AC15" t="str">
        <f t="shared" si="2"/>
        <v/>
      </c>
      <c r="AE15">
        <f t="shared" si="3"/>
        <v>32768</v>
      </c>
      <c r="AF15" t="str">
        <f t="shared" si="4"/>
        <v/>
      </c>
      <c r="AH15">
        <f t="shared" si="5"/>
        <v>32768</v>
      </c>
      <c r="AI15" t="str">
        <f t="shared" si="14"/>
        <v/>
      </c>
      <c r="AJ15" t="str">
        <f t="shared" si="15"/>
        <v/>
      </c>
    </row>
    <row r="16" spans="1:36">
      <c r="B16" s="70" t="s">
        <v>370</v>
      </c>
      <c r="C16" s="70"/>
      <c r="D16" s="70"/>
      <c r="E16" s="70"/>
      <c r="F16" s="70"/>
      <c r="G16" s="70"/>
      <c r="H16" s="70"/>
      <c r="I16" s="70"/>
      <c r="J16" s="70"/>
      <c r="L16" t="s">
        <v>165</v>
      </c>
      <c r="M16" t="s">
        <v>126</v>
      </c>
      <c r="N16">
        <v>14311424</v>
      </c>
      <c r="O16" t="s">
        <v>176</v>
      </c>
      <c r="P16" t="s">
        <v>104</v>
      </c>
      <c r="Q16" t="s">
        <v>177</v>
      </c>
      <c r="R16" t="str">
        <f t="shared" si="0"/>
        <v>1x</v>
      </c>
      <c r="V16">
        <v>1</v>
      </c>
      <c r="AB16" t="str">
        <f t="shared" si="1"/>
        <v/>
      </c>
      <c r="AC16" t="str">
        <f t="shared" si="2"/>
        <v/>
      </c>
      <c r="AE16">
        <f t="shared" si="3"/>
        <v>14311424</v>
      </c>
      <c r="AF16" t="str">
        <f t="shared" si="4"/>
        <v/>
      </c>
      <c r="AH16" t="str">
        <f t="shared" si="5"/>
        <v/>
      </c>
      <c r="AI16" t="str">
        <f t="shared" si="14"/>
        <v/>
      </c>
      <c r="AJ16" t="str">
        <f t="shared" si="15"/>
        <v/>
      </c>
    </row>
    <row r="17" spans="2:36">
      <c r="B17" s="37" t="s">
        <v>56</v>
      </c>
      <c r="C17" s="37" t="s">
        <v>57</v>
      </c>
      <c r="D17" s="34" t="s">
        <v>457</v>
      </c>
      <c r="E17" s="34" t="s">
        <v>58</v>
      </c>
      <c r="F17" s="34" t="s">
        <v>60</v>
      </c>
      <c r="G17" s="34" t="s">
        <v>458</v>
      </c>
      <c r="H17" s="37" t="s">
        <v>59</v>
      </c>
      <c r="I17" s="37" t="s">
        <v>61</v>
      </c>
      <c r="J17" s="37" t="s">
        <v>62</v>
      </c>
      <c r="L17" t="s">
        <v>165</v>
      </c>
      <c r="M17" t="s">
        <v>130</v>
      </c>
      <c r="N17">
        <v>745472</v>
      </c>
      <c r="O17" t="s">
        <v>131</v>
      </c>
      <c r="P17" t="s">
        <v>132</v>
      </c>
      <c r="Q17" t="s">
        <v>111</v>
      </c>
      <c r="R17" t="str">
        <f t="shared" si="0"/>
        <v>1x</v>
      </c>
      <c r="Y17">
        <v>1</v>
      </c>
      <c r="AB17" t="str">
        <f t="shared" si="1"/>
        <v/>
      </c>
      <c r="AC17" t="str">
        <f t="shared" si="2"/>
        <v/>
      </c>
      <c r="AE17" t="str">
        <f t="shared" si="3"/>
        <v/>
      </c>
      <c r="AF17" t="str">
        <f t="shared" si="4"/>
        <v/>
      </c>
      <c r="AH17">
        <f t="shared" si="5"/>
        <v>745472</v>
      </c>
      <c r="AI17" t="str">
        <f t="shared" si="14"/>
        <v/>
      </c>
      <c r="AJ17" t="str">
        <f t="shared" si="15"/>
        <v/>
      </c>
    </row>
    <row r="18" spans="2:36">
      <c r="B18" s="35" t="s">
        <v>69</v>
      </c>
      <c r="C18" s="35" t="s">
        <v>105</v>
      </c>
      <c r="E18" s="35" t="s">
        <v>91</v>
      </c>
      <c r="F18" s="35" t="s">
        <v>91</v>
      </c>
      <c r="H18" s="35" t="s">
        <v>91</v>
      </c>
      <c r="I18" s="35" t="s">
        <v>91</v>
      </c>
      <c r="J18" s="35" t="s">
        <v>241</v>
      </c>
      <c r="L18" t="s">
        <v>165</v>
      </c>
      <c r="M18" t="s">
        <v>76</v>
      </c>
      <c r="N18">
        <v>72155136</v>
      </c>
      <c r="O18" t="s">
        <v>77</v>
      </c>
      <c r="P18" t="s">
        <v>78</v>
      </c>
      <c r="Q18" t="s">
        <v>79</v>
      </c>
      <c r="R18" t="str">
        <f t="shared" si="0"/>
        <v>1x</v>
      </c>
      <c r="T18">
        <v>1</v>
      </c>
      <c r="V18">
        <v>1</v>
      </c>
      <c r="Y18">
        <v>1</v>
      </c>
      <c r="AB18" t="str">
        <f t="shared" si="1"/>
        <v/>
      </c>
      <c r="AC18">
        <f t="shared" si="2"/>
        <v>72155136</v>
      </c>
      <c r="AE18">
        <f t="shared" si="3"/>
        <v>72155136</v>
      </c>
      <c r="AF18" t="str">
        <f t="shared" si="4"/>
        <v/>
      </c>
      <c r="AH18">
        <f t="shared" si="5"/>
        <v>72155136</v>
      </c>
      <c r="AI18" t="str">
        <f t="shared" si="14"/>
        <v/>
      </c>
      <c r="AJ18" t="str">
        <f t="shared" si="15"/>
        <v/>
      </c>
    </row>
    <row r="19" spans="2:36">
      <c r="B19" s="35" t="s">
        <v>73</v>
      </c>
      <c r="C19" s="35" t="s">
        <v>116</v>
      </c>
      <c r="E19" s="35" t="s">
        <v>95</v>
      </c>
      <c r="F19" s="35" t="s">
        <v>95</v>
      </c>
      <c r="H19" s="35" t="s">
        <v>95</v>
      </c>
      <c r="I19" s="35" t="s">
        <v>95</v>
      </c>
      <c r="J19" s="35" t="s">
        <v>99</v>
      </c>
      <c r="L19" t="s">
        <v>165</v>
      </c>
      <c r="M19" t="s">
        <v>133</v>
      </c>
      <c r="N19">
        <v>16384</v>
      </c>
      <c r="O19" t="s">
        <v>111</v>
      </c>
      <c r="P19" t="s">
        <v>134</v>
      </c>
      <c r="Q19" t="s">
        <v>110</v>
      </c>
      <c r="R19" t="str">
        <f t="shared" si="0"/>
        <v>1x</v>
      </c>
      <c r="T19">
        <v>1</v>
      </c>
      <c r="V19">
        <v>1</v>
      </c>
      <c r="Y19">
        <v>1</v>
      </c>
      <c r="AB19" t="str">
        <f t="shared" si="1"/>
        <v/>
      </c>
      <c r="AC19">
        <f t="shared" si="2"/>
        <v>16384</v>
      </c>
      <c r="AE19">
        <f t="shared" si="3"/>
        <v>16384</v>
      </c>
      <c r="AF19" t="str">
        <f t="shared" si="4"/>
        <v/>
      </c>
      <c r="AH19">
        <f t="shared" si="5"/>
        <v>16384</v>
      </c>
      <c r="AI19" t="str">
        <f t="shared" si="14"/>
        <v/>
      </c>
      <c r="AJ19" t="str">
        <f t="shared" si="15"/>
        <v/>
      </c>
    </row>
    <row r="20" spans="2:36">
      <c r="B20" s="35" t="s">
        <v>76</v>
      </c>
      <c r="C20" s="35" t="s">
        <v>73</v>
      </c>
      <c r="E20" s="35" t="s">
        <v>103</v>
      </c>
      <c r="F20" s="35" t="s">
        <v>103</v>
      </c>
      <c r="H20" s="35" t="s">
        <v>99</v>
      </c>
      <c r="I20" s="35" t="s">
        <v>99</v>
      </c>
      <c r="J20" s="35" t="s">
        <v>103</v>
      </c>
      <c r="L20" t="s">
        <v>220</v>
      </c>
      <c r="M20" t="s">
        <v>91</v>
      </c>
      <c r="N20">
        <v>70385664</v>
      </c>
      <c r="O20" t="s">
        <v>92</v>
      </c>
      <c r="P20" t="s">
        <v>93</v>
      </c>
      <c r="Q20" t="s">
        <v>94</v>
      </c>
      <c r="R20" t="str">
        <f t="shared" si="0"/>
        <v>1x</v>
      </c>
      <c r="W20">
        <v>1</v>
      </c>
      <c r="Z20">
        <v>1</v>
      </c>
      <c r="AB20" t="str">
        <f t="shared" si="1"/>
        <v/>
      </c>
      <c r="AC20" t="str">
        <f t="shared" si="2"/>
        <v/>
      </c>
      <c r="AE20" t="str">
        <f t="shared" si="3"/>
        <v/>
      </c>
      <c r="AF20">
        <f t="shared" si="4"/>
        <v>70385664</v>
      </c>
      <c r="AH20" t="str">
        <f t="shared" si="5"/>
        <v/>
      </c>
      <c r="AI20">
        <f t="shared" si="14"/>
        <v>70385664</v>
      </c>
      <c r="AJ20" t="str">
        <f t="shared" si="15"/>
        <v/>
      </c>
    </row>
    <row r="21" spans="2:36">
      <c r="C21" s="35" t="s">
        <v>76</v>
      </c>
      <c r="E21" s="35" t="s">
        <v>105</v>
      </c>
      <c r="F21" s="35" t="s">
        <v>105</v>
      </c>
      <c r="H21" s="35" t="s">
        <v>103</v>
      </c>
      <c r="I21" s="35" t="s">
        <v>103</v>
      </c>
      <c r="J21" s="35" t="s">
        <v>105</v>
      </c>
      <c r="L21" t="s">
        <v>220</v>
      </c>
      <c r="M21" t="s">
        <v>95</v>
      </c>
      <c r="N21">
        <v>31948800</v>
      </c>
      <c r="O21" t="s">
        <v>96</v>
      </c>
      <c r="P21" t="s">
        <v>97</v>
      </c>
      <c r="Q21" t="s">
        <v>98</v>
      </c>
      <c r="R21" t="str">
        <f t="shared" si="0"/>
        <v>1x</v>
      </c>
      <c r="W21">
        <v>1</v>
      </c>
      <c r="Z21">
        <v>1</v>
      </c>
      <c r="AB21" t="str">
        <f t="shared" si="1"/>
        <v/>
      </c>
      <c r="AC21" t="str">
        <f t="shared" si="2"/>
        <v/>
      </c>
      <c r="AE21" t="str">
        <f t="shared" si="3"/>
        <v/>
      </c>
      <c r="AF21">
        <f t="shared" si="4"/>
        <v>31948800</v>
      </c>
      <c r="AH21" t="str">
        <f t="shared" si="5"/>
        <v/>
      </c>
      <c r="AI21">
        <f t="shared" si="14"/>
        <v>31948800</v>
      </c>
      <c r="AJ21" t="str">
        <f t="shared" si="15"/>
        <v/>
      </c>
    </row>
    <row r="22" spans="2:36">
      <c r="C22" s="35" t="s">
        <v>133</v>
      </c>
      <c r="E22" s="35" t="s">
        <v>108</v>
      </c>
      <c r="F22" s="35" t="s">
        <v>108</v>
      </c>
      <c r="H22" s="35" t="s">
        <v>105</v>
      </c>
      <c r="I22" s="35" t="s">
        <v>105</v>
      </c>
      <c r="J22" s="35" t="s">
        <v>108</v>
      </c>
      <c r="L22" t="s">
        <v>220</v>
      </c>
      <c r="M22" t="s">
        <v>99</v>
      </c>
      <c r="N22">
        <v>30597120</v>
      </c>
      <c r="O22" t="s">
        <v>97</v>
      </c>
      <c r="P22" t="s">
        <v>97</v>
      </c>
      <c r="Q22" t="s">
        <v>166</v>
      </c>
      <c r="R22" t="str">
        <f t="shared" si="0"/>
        <v>1x</v>
      </c>
      <c r="Z22">
        <v>1</v>
      </c>
      <c r="AB22" t="str">
        <f t="shared" si="1"/>
        <v/>
      </c>
      <c r="AC22" t="str">
        <f t="shared" si="2"/>
        <v/>
      </c>
      <c r="AE22" t="str">
        <f t="shared" si="3"/>
        <v/>
      </c>
      <c r="AF22" t="str">
        <f t="shared" si="4"/>
        <v/>
      </c>
      <c r="AH22" t="str">
        <f t="shared" si="5"/>
        <v/>
      </c>
      <c r="AI22">
        <f t="shared" si="14"/>
        <v>30597120</v>
      </c>
      <c r="AJ22" t="str">
        <f t="shared" si="15"/>
        <v/>
      </c>
    </row>
    <row r="23" spans="2:36">
      <c r="E23" s="35" t="s">
        <v>112</v>
      </c>
      <c r="F23" s="35" t="s">
        <v>112</v>
      </c>
      <c r="H23" s="35" t="s">
        <v>108</v>
      </c>
      <c r="I23" s="35" t="s">
        <v>108</v>
      </c>
      <c r="J23" s="35" t="s">
        <v>112</v>
      </c>
      <c r="L23" t="s">
        <v>220</v>
      </c>
      <c r="M23" t="s">
        <v>103</v>
      </c>
      <c r="N23">
        <v>62570496</v>
      </c>
      <c r="O23" t="s">
        <v>167</v>
      </c>
      <c r="P23" t="s">
        <v>168</v>
      </c>
      <c r="Q23" t="s">
        <v>166</v>
      </c>
      <c r="R23" t="str">
        <f t="shared" si="0"/>
        <v>1x</v>
      </c>
      <c r="W23">
        <v>1</v>
      </c>
      <c r="Z23">
        <v>1</v>
      </c>
      <c r="AB23" t="str">
        <f t="shared" si="1"/>
        <v/>
      </c>
      <c r="AC23" t="str">
        <f t="shared" si="2"/>
        <v/>
      </c>
      <c r="AE23" t="str">
        <f t="shared" si="3"/>
        <v/>
      </c>
      <c r="AF23">
        <f t="shared" si="4"/>
        <v>62570496</v>
      </c>
      <c r="AH23" t="str">
        <f t="shared" si="5"/>
        <v/>
      </c>
      <c r="AI23">
        <f t="shared" si="14"/>
        <v>62570496</v>
      </c>
      <c r="AJ23" t="str">
        <f t="shared" si="15"/>
        <v/>
      </c>
    </row>
    <row r="24" spans="2:36">
      <c r="E24" s="35" t="s">
        <v>116</v>
      </c>
      <c r="F24" s="35" t="s">
        <v>116</v>
      </c>
      <c r="H24" s="35" t="s">
        <v>112</v>
      </c>
      <c r="I24" s="35" t="s">
        <v>112</v>
      </c>
      <c r="J24" s="35" t="s">
        <v>116</v>
      </c>
      <c r="L24" t="s">
        <v>220</v>
      </c>
      <c r="M24" t="s">
        <v>105</v>
      </c>
      <c r="N24">
        <v>7258112</v>
      </c>
      <c r="O24" t="s">
        <v>221</v>
      </c>
      <c r="P24" t="s">
        <v>222</v>
      </c>
      <c r="Q24" t="s">
        <v>223</v>
      </c>
      <c r="R24" t="str">
        <f t="shared" si="0"/>
        <v>1x</v>
      </c>
      <c r="W24">
        <v>1</v>
      </c>
      <c r="Z24">
        <v>1</v>
      </c>
      <c r="AB24" t="str">
        <f t="shared" si="1"/>
        <v/>
      </c>
      <c r="AC24" t="str">
        <f t="shared" si="2"/>
        <v/>
      </c>
      <c r="AE24" t="str">
        <f t="shared" si="3"/>
        <v/>
      </c>
      <c r="AF24">
        <f t="shared" si="4"/>
        <v>7258112</v>
      </c>
      <c r="AH24" t="str">
        <f t="shared" si="5"/>
        <v/>
      </c>
      <c r="AI24">
        <f t="shared" si="14"/>
        <v>7258112</v>
      </c>
      <c r="AJ24" t="str">
        <f t="shared" si="15"/>
        <v/>
      </c>
    </row>
    <row r="25" spans="2:36">
      <c r="E25" s="35" t="s">
        <v>120</v>
      </c>
      <c r="F25" s="35" t="s">
        <v>73</v>
      </c>
      <c r="H25" s="35" t="s">
        <v>116</v>
      </c>
      <c r="I25" s="35" t="s">
        <v>116</v>
      </c>
      <c r="J25" s="35" t="s">
        <v>120</v>
      </c>
      <c r="L25" t="s">
        <v>220</v>
      </c>
      <c r="M25" t="s">
        <v>108</v>
      </c>
      <c r="N25">
        <v>105308160</v>
      </c>
      <c r="O25" t="s">
        <v>224</v>
      </c>
      <c r="P25" t="s">
        <v>225</v>
      </c>
      <c r="Q25" t="s">
        <v>226</v>
      </c>
      <c r="R25" t="str">
        <f t="shared" si="0"/>
        <v>1x</v>
      </c>
      <c r="W25">
        <v>1</v>
      </c>
      <c r="Z25">
        <v>1</v>
      </c>
      <c r="AB25" t="str">
        <f t="shared" si="1"/>
        <v/>
      </c>
      <c r="AC25" t="str">
        <f t="shared" si="2"/>
        <v/>
      </c>
      <c r="AE25" t="str">
        <f t="shared" si="3"/>
        <v/>
      </c>
      <c r="AF25">
        <f t="shared" si="4"/>
        <v>105308160</v>
      </c>
      <c r="AH25" t="str">
        <f t="shared" si="5"/>
        <v/>
      </c>
      <c r="AI25">
        <f t="shared" si="14"/>
        <v>105308160</v>
      </c>
      <c r="AJ25" t="str">
        <f t="shared" si="15"/>
        <v/>
      </c>
    </row>
    <row r="26" spans="2:36">
      <c r="E26" s="35" t="s">
        <v>73</v>
      </c>
      <c r="F26" s="35" t="s">
        <v>124</v>
      </c>
      <c r="H26" s="35" t="s">
        <v>120</v>
      </c>
      <c r="I26" s="35" t="s">
        <v>120</v>
      </c>
      <c r="J26" s="35" t="s">
        <v>73</v>
      </c>
      <c r="L26" t="s">
        <v>220</v>
      </c>
      <c r="M26" t="s">
        <v>112</v>
      </c>
      <c r="N26">
        <v>382525440</v>
      </c>
      <c r="O26" t="s">
        <v>227</v>
      </c>
      <c r="P26" t="s">
        <v>170</v>
      </c>
      <c r="Q26" t="s">
        <v>228</v>
      </c>
      <c r="R26" t="str">
        <f t="shared" si="0"/>
        <v>1x</v>
      </c>
      <c r="W26">
        <v>1</v>
      </c>
      <c r="Z26">
        <v>1</v>
      </c>
      <c r="AB26" t="str">
        <f t="shared" si="1"/>
        <v/>
      </c>
      <c r="AC26" t="str">
        <f t="shared" si="2"/>
        <v/>
      </c>
      <c r="AE26" t="str">
        <f t="shared" si="3"/>
        <v/>
      </c>
      <c r="AF26">
        <f t="shared" si="4"/>
        <v>382525440</v>
      </c>
      <c r="AH26" t="str">
        <f t="shared" si="5"/>
        <v/>
      </c>
      <c r="AI26">
        <f t="shared" si="14"/>
        <v>382525440</v>
      </c>
      <c r="AJ26" t="str">
        <f t="shared" si="15"/>
        <v/>
      </c>
    </row>
    <row r="27" spans="2:36">
      <c r="E27" s="35" t="s">
        <v>124</v>
      </c>
      <c r="F27" s="35" t="s">
        <v>76</v>
      </c>
      <c r="H27" s="35" t="s">
        <v>73</v>
      </c>
      <c r="I27" s="35" t="s">
        <v>73</v>
      </c>
      <c r="J27" s="35" t="s">
        <v>258</v>
      </c>
      <c r="L27" t="s">
        <v>220</v>
      </c>
      <c r="M27" t="s">
        <v>116</v>
      </c>
      <c r="N27">
        <v>8945664</v>
      </c>
      <c r="O27" t="s">
        <v>229</v>
      </c>
      <c r="P27" t="s">
        <v>230</v>
      </c>
      <c r="Q27" t="s">
        <v>215</v>
      </c>
      <c r="R27" t="str">
        <f t="shared" si="0"/>
        <v>1x</v>
      </c>
      <c r="W27">
        <v>1</v>
      </c>
      <c r="Z27">
        <v>1</v>
      </c>
      <c r="AB27" t="str">
        <f t="shared" si="1"/>
        <v/>
      </c>
      <c r="AC27" t="str">
        <f t="shared" si="2"/>
        <v/>
      </c>
      <c r="AE27" t="str">
        <f t="shared" si="3"/>
        <v/>
      </c>
      <c r="AF27">
        <f t="shared" si="4"/>
        <v>8945664</v>
      </c>
      <c r="AH27" t="str">
        <f t="shared" si="5"/>
        <v/>
      </c>
      <c r="AI27">
        <f t="shared" si="14"/>
        <v>8945664</v>
      </c>
      <c r="AJ27" t="str">
        <f t="shared" si="15"/>
        <v/>
      </c>
    </row>
    <row r="28" spans="2:36">
      <c r="E28" s="35" t="s">
        <v>126</v>
      </c>
      <c r="H28" s="35" t="s">
        <v>124</v>
      </c>
      <c r="I28" s="35" t="s">
        <v>124</v>
      </c>
      <c r="J28" s="35" t="s">
        <v>130</v>
      </c>
      <c r="L28" t="s">
        <v>220</v>
      </c>
      <c r="M28" t="s">
        <v>120</v>
      </c>
      <c r="N28">
        <v>135561216</v>
      </c>
      <c r="O28" t="s">
        <v>231</v>
      </c>
      <c r="P28" t="s">
        <v>232</v>
      </c>
      <c r="Q28" t="s">
        <v>148</v>
      </c>
      <c r="R28" t="str">
        <f t="shared" si="0"/>
        <v>1x</v>
      </c>
      <c r="W28">
        <v>1</v>
      </c>
      <c r="Z28">
        <v>1</v>
      </c>
      <c r="AB28" t="str">
        <f t="shared" si="1"/>
        <v/>
      </c>
      <c r="AC28" t="str">
        <f t="shared" si="2"/>
        <v/>
      </c>
      <c r="AE28" t="str">
        <f t="shared" si="3"/>
        <v/>
      </c>
      <c r="AF28">
        <f t="shared" si="4"/>
        <v>135561216</v>
      </c>
      <c r="AH28" t="str">
        <f t="shared" si="5"/>
        <v/>
      </c>
      <c r="AI28">
        <f t="shared" si="14"/>
        <v>135561216</v>
      </c>
      <c r="AJ28" t="str">
        <f t="shared" si="15"/>
        <v/>
      </c>
    </row>
    <row r="29" spans="2:36">
      <c r="E29" s="35" t="s">
        <v>76</v>
      </c>
      <c r="H29" s="35" t="s">
        <v>130</v>
      </c>
      <c r="I29" s="35" t="s">
        <v>130</v>
      </c>
      <c r="J29" s="35" t="s">
        <v>76</v>
      </c>
      <c r="L29" t="s">
        <v>220</v>
      </c>
      <c r="M29" t="s">
        <v>73</v>
      </c>
      <c r="N29">
        <v>327680</v>
      </c>
      <c r="O29" t="s">
        <v>233</v>
      </c>
      <c r="P29" t="s">
        <v>234</v>
      </c>
      <c r="Q29" t="s">
        <v>107</v>
      </c>
      <c r="R29" t="str">
        <f t="shared" si="0"/>
        <v>1x</v>
      </c>
      <c r="W29">
        <v>1</v>
      </c>
      <c r="Z29">
        <v>1</v>
      </c>
      <c r="AB29" t="str">
        <f t="shared" si="1"/>
        <v/>
      </c>
      <c r="AC29" t="str">
        <f t="shared" si="2"/>
        <v/>
      </c>
      <c r="AE29" t="str">
        <f t="shared" si="3"/>
        <v/>
      </c>
      <c r="AF29">
        <f t="shared" si="4"/>
        <v>327680</v>
      </c>
      <c r="AH29" t="str">
        <f t="shared" si="5"/>
        <v/>
      </c>
      <c r="AI29">
        <f t="shared" si="14"/>
        <v>327680</v>
      </c>
      <c r="AJ29" t="str">
        <f t="shared" si="15"/>
        <v/>
      </c>
    </row>
    <row r="30" spans="2:36">
      <c r="E30" s="35" t="s">
        <v>133</v>
      </c>
      <c r="H30" s="35" t="s">
        <v>76</v>
      </c>
      <c r="I30" s="35" t="s">
        <v>76</v>
      </c>
      <c r="J30" s="35" t="s">
        <v>261</v>
      </c>
      <c r="L30" t="s">
        <v>220</v>
      </c>
      <c r="M30" t="s">
        <v>124</v>
      </c>
      <c r="N30">
        <v>15589376</v>
      </c>
      <c r="O30" t="s">
        <v>88</v>
      </c>
      <c r="P30" t="s">
        <v>176</v>
      </c>
      <c r="Q30" t="s">
        <v>223</v>
      </c>
      <c r="R30" t="str">
        <f t="shared" si="0"/>
        <v>1x</v>
      </c>
      <c r="W30">
        <v>1</v>
      </c>
      <c r="Z30">
        <v>1</v>
      </c>
      <c r="AB30" t="str">
        <f t="shared" si="1"/>
        <v/>
      </c>
      <c r="AC30" t="str">
        <f t="shared" si="2"/>
        <v/>
      </c>
      <c r="AE30" t="str">
        <f t="shared" si="3"/>
        <v/>
      </c>
      <c r="AF30">
        <f t="shared" si="4"/>
        <v>15589376</v>
      </c>
      <c r="AH30" t="str">
        <f t="shared" si="5"/>
        <v/>
      </c>
      <c r="AI30">
        <f t="shared" si="14"/>
        <v>15589376</v>
      </c>
      <c r="AJ30" t="str">
        <f t="shared" si="15"/>
        <v/>
      </c>
    </row>
    <row r="31" spans="2:36">
      <c r="H31" s="35" t="s">
        <v>133</v>
      </c>
      <c r="L31" t="s">
        <v>220</v>
      </c>
      <c r="M31" t="s">
        <v>126</v>
      </c>
      <c r="N31">
        <v>253952</v>
      </c>
      <c r="O31" t="s">
        <v>235</v>
      </c>
      <c r="P31" t="s">
        <v>236</v>
      </c>
      <c r="Q31" t="s">
        <v>111</v>
      </c>
      <c r="R31" t="str">
        <f t="shared" si="0"/>
        <v>1x</v>
      </c>
      <c r="AB31" t="str">
        <f t="shared" si="1"/>
        <v/>
      </c>
      <c r="AC31" t="str">
        <f t="shared" si="2"/>
        <v/>
      </c>
      <c r="AE31" t="str">
        <f t="shared" si="3"/>
        <v/>
      </c>
      <c r="AF31" t="str">
        <f t="shared" si="4"/>
        <v/>
      </c>
      <c r="AH31" t="str">
        <f t="shared" si="5"/>
        <v/>
      </c>
      <c r="AI31" t="str">
        <f t="shared" si="14"/>
        <v/>
      </c>
      <c r="AJ31" t="str">
        <f t="shared" si="15"/>
        <v/>
      </c>
    </row>
    <row r="32" spans="2:36">
      <c r="L32" t="s">
        <v>220</v>
      </c>
      <c r="M32" t="s">
        <v>198</v>
      </c>
      <c r="N32">
        <v>12836864</v>
      </c>
      <c r="O32" t="s">
        <v>188</v>
      </c>
      <c r="P32" t="s">
        <v>188</v>
      </c>
      <c r="Q32" t="s">
        <v>223</v>
      </c>
      <c r="R32" t="str">
        <f t="shared" si="0"/>
        <v>1x</v>
      </c>
      <c r="AB32" t="str">
        <f t="shared" si="1"/>
        <v/>
      </c>
      <c r="AC32" t="str">
        <f t="shared" si="2"/>
        <v/>
      </c>
      <c r="AE32" t="str">
        <f t="shared" si="3"/>
        <v/>
      </c>
      <c r="AF32" t="str">
        <f t="shared" si="4"/>
        <v/>
      </c>
      <c r="AH32" t="str">
        <f t="shared" si="5"/>
        <v/>
      </c>
      <c r="AI32" t="str">
        <f t="shared" si="14"/>
        <v/>
      </c>
      <c r="AJ32" t="str">
        <f t="shared" si="15"/>
        <v/>
      </c>
    </row>
    <row r="33" spans="12:36">
      <c r="L33" t="s">
        <v>220</v>
      </c>
      <c r="M33" t="s">
        <v>130</v>
      </c>
      <c r="N33">
        <v>745472</v>
      </c>
      <c r="O33" t="s">
        <v>131</v>
      </c>
      <c r="P33" t="s">
        <v>132</v>
      </c>
      <c r="Q33" t="s">
        <v>111</v>
      </c>
      <c r="R33" t="str">
        <f t="shared" si="0"/>
        <v>1x</v>
      </c>
      <c r="Z33">
        <v>1</v>
      </c>
      <c r="AB33" t="str">
        <f t="shared" si="1"/>
        <v/>
      </c>
      <c r="AC33" t="str">
        <f t="shared" si="2"/>
        <v/>
      </c>
      <c r="AE33" t="str">
        <f t="shared" si="3"/>
        <v/>
      </c>
      <c r="AF33" t="str">
        <f t="shared" si="4"/>
        <v/>
      </c>
      <c r="AH33" t="str">
        <f t="shared" si="5"/>
        <v/>
      </c>
      <c r="AI33">
        <f t="shared" si="14"/>
        <v>745472</v>
      </c>
      <c r="AJ33" t="str">
        <f t="shared" si="15"/>
        <v/>
      </c>
    </row>
    <row r="34" spans="12:36">
      <c r="L34" t="s">
        <v>220</v>
      </c>
      <c r="M34" t="s">
        <v>76</v>
      </c>
      <c r="N34">
        <v>73523200</v>
      </c>
      <c r="O34" t="s">
        <v>237</v>
      </c>
      <c r="P34" t="s">
        <v>78</v>
      </c>
      <c r="Q34" t="s">
        <v>238</v>
      </c>
      <c r="R34" t="str">
        <f t="shared" si="0"/>
        <v>1x</v>
      </c>
      <c r="W34">
        <v>1</v>
      </c>
      <c r="Z34">
        <v>1</v>
      </c>
      <c r="AB34" t="str">
        <f t="shared" ref="AB34:AB65" si="26">IF(S34=1,$N34,"")</f>
        <v/>
      </c>
      <c r="AC34" t="str">
        <f t="shared" ref="AC34:AC65" si="27">IF(T34=1,$N34,"")</f>
        <v/>
      </c>
      <c r="AE34" t="str">
        <f t="shared" ref="AE34:AE65" si="28">IF(V34=1,$N34,"")</f>
        <v/>
      </c>
      <c r="AF34">
        <f t="shared" ref="AF34:AF65" si="29">IF(W34=1,$N34,"")</f>
        <v>73523200</v>
      </c>
      <c r="AH34" t="str">
        <f t="shared" ref="AH34:AH65" si="30">IF(Y34=1,$N34,"")</f>
        <v/>
      </c>
      <c r="AI34">
        <f t="shared" si="14"/>
        <v>73523200</v>
      </c>
      <c r="AJ34" t="str">
        <f t="shared" si="15"/>
        <v/>
      </c>
    </row>
    <row r="35" spans="12:36">
      <c r="L35" t="s">
        <v>278</v>
      </c>
      <c r="M35" t="s">
        <v>240</v>
      </c>
      <c r="N35">
        <v>16384</v>
      </c>
      <c r="O35" t="s">
        <v>111</v>
      </c>
      <c r="P35" t="s">
        <v>134</v>
      </c>
      <c r="Q35" t="s">
        <v>110</v>
      </c>
      <c r="R35" t="str">
        <f t="shared" si="0"/>
        <v>1x</v>
      </c>
      <c r="AA35">
        <v>1</v>
      </c>
      <c r="AB35" t="str">
        <f t="shared" si="26"/>
        <v/>
      </c>
      <c r="AC35" t="str">
        <f t="shared" si="27"/>
        <v/>
      </c>
      <c r="AE35" t="str">
        <f t="shared" si="28"/>
        <v/>
      </c>
      <c r="AF35" t="str">
        <f t="shared" si="29"/>
        <v/>
      </c>
      <c r="AH35" t="str">
        <f t="shared" si="30"/>
        <v/>
      </c>
      <c r="AI35" t="str">
        <f t="shared" si="14"/>
        <v/>
      </c>
      <c r="AJ35">
        <f t="shared" si="15"/>
        <v>16384</v>
      </c>
    </row>
    <row r="36" spans="12:36">
      <c r="L36" t="s">
        <v>278</v>
      </c>
      <c r="M36" t="s">
        <v>241</v>
      </c>
      <c r="N36">
        <v>70574080</v>
      </c>
      <c r="O36" t="s">
        <v>92</v>
      </c>
      <c r="P36" t="s">
        <v>242</v>
      </c>
      <c r="Q36" t="s">
        <v>243</v>
      </c>
      <c r="R36" t="str">
        <f t="shared" si="0"/>
        <v>1x</v>
      </c>
      <c r="AA36">
        <v>1</v>
      </c>
      <c r="AB36" t="str">
        <f t="shared" si="26"/>
        <v/>
      </c>
      <c r="AC36" t="str">
        <f t="shared" si="27"/>
        <v/>
      </c>
      <c r="AE36" t="str">
        <f t="shared" si="28"/>
        <v/>
      </c>
      <c r="AF36" t="str">
        <f t="shared" si="29"/>
        <v/>
      </c>
      <c r="AH36" t="str">
        <f t="shared" si="30"/>
        <v/>
      </c>
      <c r="AI36" t="str">
        <f t="shared" si="14"/>
        <v/>
      </c>
      <c r="AJ36">
        <f t="shared" si="15"/>
        <v>70574080</v>
      </c>
    </row>
    <row r="37" spans="12:36">
      <c r="L37" t="s">
        <v>278</v>
      </c>
      <c r="M37" t="s">
        <v>244</v>
      </c>
      <c r="N37">
        <v>23977984</v>
      </c>
      <c r="O37" t="s">
        <v>245</v>
      </c>
      <c r="P37" t="s">
        <v>122</v>
      </c>
      <c r="Q37" t="s">
        <v>246</v>
      </c>
      <c r="R37" t="str">
        <f t="shared" si="0"/>
        <v>1x</v>
      </c>
      <c r="AA37">
        <v>1</v>
      </c>
      <c r="AB37" t="str">
        <f t="shared" si="26"/>
        <v/>
      </c>
      <c r="AC37" t="str">
        <f t="shared" si="27"/>
        <v/>
      </c>
      <c r="AE37" t="str">
        <f t="shared" si="28"/>
        <v/>
      </c>
      <c r="AF37" t="str">
        <f t="shared" si="29"/>
        <v/>
      </c>
      <c r="AH37" t="str">
        <f t="shared" si="30"/>
        <v/>
      </c>
      <c r="AI37" t="str">
        <f t="shared" si="14"/>
        <v/>
      </c>
      <c r="AJ37">
        <f t="shared" si="15"/>
        <v>23977984</v>
      </c>
    </row>
    <row r="38" spans="12:36">
      <c r="L38" t="s">
        <v>278</v>
      </c>
      <c r="M38" t="s">
        <v>99</v>
      </c>
      <c r="N38">
        <v>30597120</v>
      </c>
      <c r="O38" t="s">
        <v>97</v>
      </c>
      <c r="P38" t="s">
        <v>97</v>
      </c>
      <c r="Q38" t="s">
        <v>166</v>
      </c>
      <c r="R38" t="str">
        <f t="shared" si="0"/>
        <v>1x</v>
      </c>
      <c r="AA38">
        <v>1</v>
      </c>
      <c r="AB38" t="str">
        <f t="shared" si="26"/>
        <v/>
      </c>
      <c r="AC38" t="str">
        <f t="shared" si="27"/>
        <v/>
      </c>
      <c r="AE38" t="str">
        <f t="shared" si="28"/>
        <v/>
      </c>
      <c r="AF38" t="str">
        <f t="shared" si="29"/>
        <v/>
      </c>
      <c r="AH38" t="str">
        <f t="shared" si="30"/>
        <v/>
      </c>
      <c r="AI38" t="str">
        <f t="shared" si="14"/>
        <v/>
      </c>
      <c r="AJ38">
        <f t="shared" si="15"/>
        <v>30597120</v>
      </c>
    </row>
    <row r="39" spans="12:36">
      <c r="L39" t="s">
        <v>278</v>
      </c>
      <c r="M39" t="s">
        <v>103</v>
      </c>
      <c r="N39">
        <v>62570496</v>
      </c>
      <c r="O39" t="s">
        <v>167</v>
      </c>
      <c r="P39" t="s">
        <v>168</v>
      </c>
      <c r="Q39" t="s">
        <v>166</v>
      </c>
      <c r="R39" t="str">
        <f t="shared" si="0"/>
        <v>1x</v>
      </c>
      <c r="AA39">
        <v>1</v>
      </c>
      <c r="AB39" t="str">
        <f t="shared" si="26"/>
        <v/>
      </c>
      <c r="AC39" t="str">
        <f t="shared" si="27"/>
        <v/>
      </c>
      <c r="AE39" t="str">
        <f t="shared" si="28"/>
        <v/>
      </c>
      <c r="AF39" t="str">
        <f t="shared" si="29"/>
        <v/>
      </c>
      <c r="AH39" t="str">
        <f t="shared" si="30"/>
        <v/>
      </c>
      <c r="AI39" t="str">
        <f t="shared" si="14"/>
        <v/>
      </c>
      <c r="AJ39">
        <f t="shared" si="15"/>
        <v>62570496</v>
      </c>
    </row>
    <row r="40" spans="12:36">
      <c r="L40" t="s">
        <v>278</v>
      </c>
      <c r="M40" t="s">
        <v>105</v>
      </c>
      <c r="N40">
        <v>19431424</v>
      </c>
      <c r="O40" t="s">
        <v>279</v>
      </c>
      <c r="P40" t="s">
        <v>89</v>
      </c>
      <c r="Q40" t="s">
        <v>280</v>
      </c>
      <c r="R40" t="str">
        <f t="shared" si="0"/>
        <v>1x</v>
      </c>
      <c r="AA40">
        <v>1</v>
      </c>
      <c r="AB40" t="str">
        <f t="shared" si="26"/>
        <v/>
      </c>
      <c r="AC40" t="str">
        <f t="shared" si="27"/>
        <v/>
      </c>
      <c r="AE40" t="str">
        <f t="shared" si="28"/>
        <v/>
      </c>
      <c r="AF40" t="str">
        <f t="shared" si="29"/>
        <v/>
      </c>
      <c r="AH40" t="str">
        <f t="shared" si="30"/>
        <v/>
      </c>
      <c r="AI40" t="str">
        <f t="shared" si="14"/>
        <v/>
      </c>
      <c r="AJ40">
        <f t="shared" si="15"/>
        <v>19431424</v>
      </c>
    </row>
    <row r="41" spans="12:36">
      <c r="L41" t="s">
        <v>278</v>
      </c>
      <c r="M41" t="s">
        <v>108</v>
      </c>
      <c r="N41">
        <v>255352832</v>
      </c>
      <c r="O41" t="s">
        <v>281</v>
      </c>
      <c r="P41" t="s">
        <v>282</v>
      </c>
      <c r="Q41" t="s">
        <v>280</v>
      </c>
      <c r="R41" t="str">
        <f t="shared" si="0"/>
        <v>1x</v>
      </c>
      <c r="AA41">
        <v>1</v>
      </c>
      <c r="AB41" t="str">
        <f t="shared" si="26"/>
        <v/>
      </c>
      <c r="AC41" t="str">
        <f t="shared" si="27"/>
        <v/>
      </c>
      <c r="AE41" t="str">
        <f t="shared" si="28"/>
        <v/>
      </c>
      <c r="AF41" t="str">
        <f t="shared" si="29"/>
        <v/>
      </c>
      <c r="AH41" t="str">
        <f t="shared" si="30"/>
        <v/>
      </c>
      <c r="AI41" t="str">
        <f t="shared" si="14"/>
        <v/>
      </c>
      <c r="AJ41">
        <f t="shared" si="15"/>
        <v>255352832</v>
      </c>
    </row>
    <row r="42" spans="12:36">
      <c r="L42" t="s">
        <v>278</v>
      </c>
      <c r="M42" t="s">
        <v>112</v>
      </c>
      <c r="N42">
        <v>234848256</v>
      </c>
      <c r="O42" t="s">
        <v>283</v>
      </c>
      <c r="P42" t="s">
        <v>284</v>
      </c>
      <c r="Q42" t="s">
        <v>285</v>
      </c>
      <c r="R42" t="str">
        <f t="shared" si="0"/>
        <v>1x</v>
      </c>
      <c r="AA42">
        <v>1</v>
      </c>
      <c r="AB42" t="str">
        <f t="shared" si="26"/>
        <v/>
      </c>
      <c r="AC42" t="str">
        <f t="shared" si="27"/>
        <v/>
      </c>
      <c r="AE42" t="str">
        <f t="shared" si="28"/>
        <v/>
      </c>
      <c r="AF42" t="str">
        <f t="shared" si="29"/>
        <v/>
      </c>
      <c r="AH42" t="str">
        <f t="shared" si="30"/>
        <v/>
      </c>
      <c r="AI42" t="str">
        <f t="shared" si="14"/>
        <v/>
      </c>
      <c r="AJ42">
        <f t="shared" si="15"/>
        <v>234848256</v>
      </c>
    </row>
    <row r="43" spans="12:36">
      <c r="L43" t="s">
        <v>278</v>
      </c>
      <c r="M43" t="s">
        <v>116</v>
      </c>
      <c r="N43">
        <v>9207808</v>
      </c>
      <c r="O43" t="s">
        <v>286</v>
      </c>
      <c r="P43" t="s">
        <v>287</v>
      </c>
      <c r="Q43" t="s">
        <v>288</v>
      </c>
      <c r="R43" t="str">
        <f t="shared" si="0"/>
        <v>1x</v>
      </c>
      <c r="AA43">
        <v>1</v>
      </c>
      <c r="AB43" t="str">
        <f t="shared" si="26"/>
        <v/>
      </c>
      <c r="AC43" t="str">
        <f t="shared" si="27"/>
        <v/>
      </c>
      <c r="AE43" t="str">
        <f t="shared" si="28"/>
        <v/>
      </c>
      <c r="AF43" t="str">
        <f t="shared" si="29"/>
        <v/>
      </c>
      <c r="AH43" t="str">
        <f t="shared" si="30"/>
        <v/>
      </c>
      <c r="AI43" t="str">
        <f t="shared" si="14"/>
        <v/>
      </c>
      <c r="AJ43">
        <f t="shared" si="15"/>
        <v>9207808</v>
      </c>
    </row>
    <row r="44" spans="12:36">
      <c r="L44" t="s">
        <v>278</v>
      </c>
      <c r="M44" t="s">
        <v>120</v>
      </c>
      <c r="N44">
        <v>133341184</v>
      </c>
      <c r="O44" t="s">
        <v>289</v>
      </c>
      <c r="P44" t="s">
        <v>290</v>
      </c>
      <c r="Q44" t="s">
        <v>288</v>
      </c>
      <c r="R44" t="str">
        <f t="shared" si="0"/>
        <v>1x</v>
      </c>
      <c r="AA44">
        <v>1</v>
      </c>
      <c r="AB44" t="str">
        <f t="shared" si="26"/>
        <v/>
      </c>
      <c r="AC44" t="str">
        <f t="shared" si="27"/>
        <v/>
      </c>
      <c r="AE44" t="str">
        <f t="shared" si="28"/>
        <v/>
      </c>
      <c r="AF44" t="str">
        <f t="shared" si="29"/>
        <v/>
      </c>
      <c r="AH44" t="str">
        <f t="shared" si="30"/>
        <v/>
      </c>
      <c r="AI44" t="str">
        <f t="shared" si="14"/>
        <v/>
      </c>
      <c r="AJ44">
        <f t="shared" si="15"/>
        <v>133341184</v>
      </c>
    </row>
    <row r="45" spans="12:36">
      <c r="L45" t="s">
        <v>278</v>
      </c>
      <c r="M45" t="s">
        <v>73</v>
      </c>
      <c r="N45">
        <v>49152</v>
      </c>
      <c r="O45" t="s">
        <v>125</v>
      </c>
      <c r="P45" t="s">
        <v>291</v>
      </c>
      <c r="Q45" t="s">
        <v>111</v>
      </c>
      <c r="R45" t="str">
        <f t="shared" si="0"/>
        <v>1x</v>
      </c>
      <c r="AA45">
        <v>1</v>
      </c>
      <c r="AB45" t="str">
        <f t="shared" si="26"/>
        <v/>
      </c>
      <c r="AC45" t="str">
        <f t="shared" si="27"/>
        <v/>
      </c>
      <c r="AE45" t="str">
        <f t="shared" si="28"/>
        <v/>
      </c>
      <c r="AF45" t="str">
        <f t="shared" si="29"/>
        <v/>
      </c>
      <c r="AH45" t="str">
        <f t="shared" si="30"/>
        <v/>
      </c>
      <c r="AI45" t="str">
        <f t="shared" si="14"/>
        <v/>
      </c>
      <c r="AJ45">
        <f t="shared" si="15"/>
        <v>49152</v>
      </c>
    </row>
    <row r="46" spans="12:36">
      <c r="L46" t="s">
        <v>278</v>
      </c>
      <c r="M46" t="s">
        <v>258</v>
      </c>
      <c r="N46">
        <v>278528</v>
      </c>
      <c r="O46" t="s">
        <v>292</v>
      </c>
      <c r="P46" t="s">
        <v>235</v>
      </c>
      <c r="Q46" t="s">
        <v>111</v>
      </c>
      <c r="R46" t="str">
        <f t="shared" si="0"/>
        <v>1x</v>
      </c>
      <c r="AA46">
        <v>1</v>
      </c>
      <c r="AB46" t="str">
        <f t="shared" si="26"/>
        <v/>
      </c>
      <c r="AC46" t="str">
        <f t="shared" si="27"/>
        <v/>
      </c>
      <c r="AE46" t="str">
        <f t="shared" si="28"/>
        <v/>
      </c>
      <c r="AF46" t="str">
        <f t="shared" si="29"/>
        <v/>
      </c>
      <c r="AH46" t="str">
        <f t="shared" si="30"/>
        <v/>
      </c>
      <c r="AI46" t="str">
        <f t="shared" si="14"/>
        <v/>
      </c>
      <c r="AJ46">
        <f t="shared" si="15"/>
        <v>278528</v>
      </c>
    </row>
    <row r="47" spans="12:36">
      <c r="L47" t="s">
        <v>278</v>
      </c>
      <c r="M47" t="s">
        <v>130</v>
      </c>
      <c r="N47">
        <v>745472</v>
      </c>
      <c r="O47" t="s">
        <v>131</v>
      </c>
      <c r="P47" t="s">
        <v>132</v>
      </c>
      <c r="Q47" t="s">
        <v>111</v>
      </c>
      <c r="R47" t="str">
        <f t="shared" si="0"/>
        <v>1x</v>
      </c>
      <c r="AA47">
        <v>1</v>
      </c>
      <c r="AB47" t="str">
        <f t="shared" si="26"/>
        <v/>
      </c>
      <c r="AC47" t="str">
        <f t="shared" si="27"/>
        <v/>
      </c>
      <c r="AE47" t="str">
        <f t="shared" si="28"/>
        <v/>
      </c>
      <c r="AF47" t="str">
        <f t="shared" si="29"/>
        <v/>
      </c>
      <c r="AH47" t="str">
        <f t="shared" si="30"/>
        <v/>
      </c>
      <c r="AI47" t="str">
        <f t="shared" si="14"/>
        <v/>
      </c>
      <c r="AJ47">
        <f t="shared" si="15"/>
        <v>745472</v>
      </c>
    </row>
    <row r="48" spans="12:36">
      <c r="L48" t="s">
        <v>278</v>
      </c>
      <c r="M48" t="s">
        <v>76</v>
      </c>
      <c r="N48">
        <v>9076736</v>
      </c>
      <c r="O48" t="s">
        <v>293</v>
      </c>
      <c r="P48" t="s">
        <v>294</v>
      </c>
      <c r="Q48" t="s">
        <v>295</v>
      </c>
      <c r="R48" t="str">
        <f t="shared" si="0"/>
        <v>1x</v>
      </c>
      <c r="AA48">
        <v>1</v>
      </c>
      <c r="AB48" t="str">
        <f t="shared" si="26"/>
        <v/>
      </c>
      <c r="AC48" t="str">
        <f t="shared" si="27"/>
        <v/>
      </c>
      <c r="AE48" t="str">
        <f t="shared" si="28"/>
        <v/>
      </c>
      <c r="AF48" t="str">
        <f t="shared" si="29"/>
        <v/>
      </c>
      <c r="AH48" t="str">
        <f t="shared" si="30"/>
        <v/>
      </c>
      <c r="AI48" t="str">
        <f t="shared" si="14"/>
        <v/>
      </c>
      <c r="AJ48">
        <f t="shared" si="15"/>
        <v>9076736</v>
      </c>
    </row>
    <row r="49" spans="1:36">
      <c r="L49" t="s">
        <v>278</v>
      </c>
      <c r="M49" t="s">
        <v>261</v>
      </c>
      <c r="N49">
        <v>70828032</v>
      </c>
      <c r="O49" t="s">
        <v>296</v>
      </c>
      <c r="P49" t="s">
        <v>78</v>
      </c>
      <c r="Q49" t="s">
        <v>213</v>
      </c>
      <c r="R49" t="str">
        <f t="shared" si="0"/>
        <v>1x</v>
      </c>
      <c r="AA49">
        <v>1</v>
      </c>
      <c r="AB49" t="str">
        <f t="shared" si="26"/>
        <v/>
      </c>
      <c r="AC49" t="str">
        <f t="shared" si="27"/>
        <v/>
      </c>
      <c r="AE49" t="str">
        <f t="shared" si="28"/>
        <v/>
      </c>
      <c r="AF49" t="str">
        <f t="shared" si="29"/>
        <v/>
      </c>
      <c r="AH49" t="str">
        <f t="shared" si="30"/>
        <v/>
      </c>
      <c r="AI49" t="str">
        <f t="shared" si="14"/>
        <v/>
      </c>
      <c r="AJ49">
        <f t="shared" si="15"/>
        <v>70828032</v>
      </c>
    </row>
    <row r="50" spans="1:36" ht="14.15" customHeight="1">
      <c r="A50"/>
      <c r="B50"/>
      <c r="C50"/>
      <c r="D50"/>
      <c r="E50"/>
      <c r="F50"/>
      <c r="G50"/>
      <c r="H50"/>
      <c r="I50"/>
      <c r="J50"/>
      <c r="L50" t="s">
        <v>135</v>
      </c>
      <c r="M50" t="s">
        <v>69</v>
      </c>
      <c r="N50">
        <v>1250803712</v>
      </c>
      <c r="O50" t="s">
        <v>136</v>
      </c>
      <c r="P50" t="s">
        <v>137</v>
      </c>
      <c r="Q50" t="s">
        <v>138</v>
      </c>
      <c r="R50" t="str">
        <f t="shared" si="0"/>
        <v>2x</v>
      </c>
      <c r="S50">
        <v>1</v>
      </c>
      <c r="AB50">
        <f t="shared" si="26"/>
        <v>1250803712</v>
      </c>
      <c r="AC50" t="str">
        <f t="shared" si="27"/>
        <v/>
      </c>
      <c r="AE50" t="str">
        <f t="shared" si="28"/>
        <v/>
      </c>
      <c r="AF50" t="str">
        <f t="shared" si="29"/>
        <v/>
      </c>
      <c r="AH50" t="str">
        <f t="shared" si="30"/>
        <v/>
      </c>
      <c r="AI50" t="str">
        <f t="shared" ref="AI50:AI113" si="31">IF(Z50=1,$N50,"")</f>
        <v/>
      </c>
      <c r="AJ50" t="str">
        <f t="shared" ref="AJ50:AJ113" si="32">IF(AA50=1,$N50,"")</f>
        <v/>
      </c>
    </row>
    <row r="51" spans="1:36" ht="14.15" customHeight="1">
      <c r="A51"/>
      <c r="B51"/>
      <c r="C51"/>
      <c r="D51"/>
      <c r="E51"/>
      <c r="F51"/>
      <c r="G51"/>
      <c r="H51"/>
      <c r="I51"/>
      <c r="J51"/>
      <c r="L51" t="s">
        <v>135</v>
      </c>
      <c r="M51" t="s">
        <v>73</v>
      </c>
      <c r="N51">
        <v>36274176</v>
      </c>
      <c r="O51" t="s">
        <v>139</v>
      </c>
      <c r="P51" t="s">
        <v>140</v>
      </c>
      <c r="Q51" t="s">
        <v>141</v>
      </c>
      <c r="R51" t="str">
        <f t="shared" si="0"/>
        <v>2x</v>
      </c>
      <c r="S51">
        <v>1</v>
      </c>
      <c r="T51">
        <v>1</v>
      </c>
      <c r="AB51">
        <f t="shared" si="26"/>
        <v>36274176</v>
      </c>
      <c r="AC51">
        <f t="shared" si="27"/>
        <v>36274176</v>
      </c>
      <c r="AE51" t="str">
        <f t="shared" si="28"/>
        <v/>
      </c>
      <c r="AF51" t="str">
        <f t="shared" si="29"/>
        <v/>
      </c>
      <c r="AH51" t="str">
        <f t="shared" si="30"/>
        <v/>
      </c>
      <c r="AI51" t="str">
        <f t="shared" si="31"/>
        <v/>
      </c>
      <c r="AJ51" t="str">
        <f t="shared" si="32"/>
        <v/>
      </c>
    </row>
    <row r="52" spans="1:36" ht="14.15" customHeight="1">
      <c r="A52"/>
      <c r="B52"/>
      <c r="C52"/>
      <c r="D52"/>
      <c r="E52"/>
      <c r="F52"/>
      <c r="G52"/>
      <c r="H52"/>
      <c r="I52"/>
      <c r="J52"/>
      <c r="L52" t="s">
        <v>135</v>
      </c>
      <c r="M52" t="s">
        <v>76</v>
      </c>
      <c r="N52">
        <v>144171008</v>
      </c>
      <c r="O52" t="s">
        <v>142</v>
      </c>
      <c r="P52" t="s">
        <v>143</v>
      </c>
      <c r="Q52" t="s">
        <v>144</v>
      </c>
      <c r="R52" t="str">
        <f t="shared" si="0"/>
        <v>2x</v>
      </c>
      <c r="S52">
        <v>1</v>
      </c>
      <c r="AB52">
        <f t="shared" si="26"/>
        <v>144171008</v>
      </c>
      <c r="AC52" t="str">
        <f t="shared" si="27"/>
        <v/>
      </c>
      <c r="AE52" t="str">
        <f t="shared" si="28"/>
        <v/>
      </c>
      <c r="AF52" t="str">
        <f t="shared" si="29"/>
        <v/>
      </c>
      <c r="AH52" t="str">
        <f t="shared" si="30"/>
        <v/>
      </c>
      <c r="AI52" t="str">
        <f t="shared" si="31"/>
        <v/>
      </c>
      <c r="AJ52" t="str">
        <f t="shared" si="32"/>
        <v/>
      </c>
    </row>
    <row r="53" spans="1:36" ht="14.15" customHeight="1">
      <c r="A53"/>
      <c r="B53"/>
      <c r="C53"/>
      <c r="D53"/>
      <c r="E53"/>
      <c r="F53"/>
      <c r="G53"/>
      <c r="H53"/>
      <c r="I53"/>
      <c r="J53"/>
      <c r="L53" t="s">
        <v>145</v>
      </c>
      <c r="M53" t="s">
        <v>91</v>
      </c>
      <c r="N53">
        <v>70385664</v>
      </c>
      <c r="O53" t="s">
        <v>92</v>
      </c>
      <c r="P53" t="s">
        <v>93</v>
      </c>
      <c r="Q53" t="s">
        <v>94</v>
      </c>
      <c r="R53" t="str">
        <f t="shared" si="0"/>
        <v>2x</v>
      </c>
      <c r="V53">
        <v>1</v>
      </c>
      <c r="Y53">
        <v>1</v>
      </c>
      <c r="AB53" t="str">
        <f t="shared" si="26"/>
        <v/>
      </c>
      <c r="AC53" t="str">
        <f t="shared" si="27"/>
        <v/>
      </c>
      <c r="AE53">
        <f t="shared" si="28"/>
        <v>70385664</v>
      </c>
      <c r="AF53" t="str">
        <f t="shared" si="29"/>
        <v/>
      </c>
      <c r="AH53">
        <f t="shared" si="30"/>
        <v>70385664</v>
      </c>
      <c r="AI53" t="str">
        <f t="shared" si="31"/>
        <v/>
      </c>
      <c r="AJ53" t="str">
        <f t="shared" si="32"/>
        <v/>
      </c>
    </row>
    <row r="54" spans="1:36" ht="14.15" customHeight="1">
      <c r="A54"/>
      <c r="B54"/>
      <c r="C54"/>
      <c r="D54"/>
      <c r="E54"/>
      <c r="F54"/>
      <c r="G54"/>
      <c r="H54"/>
      <c r="I54"/>
      <c r="J54"/>
      <c r="L54" t="s">
        <v>145</v>
      </c>
      <c r="M54" t="s">
        <v>95</v>
      </c>
      <c r="N54">
        <v>31948800</v>
      </c>
      <c r="O54" t="s">
        <v>96</v>
      </c>
      <c r="P54" t="s">
        <v>97</v>
      </c>
      <c r="Q54" t="s">
        <v>98</v>
      </c>
      <c r="R54" t="str">
        <f t="shared" si="0"/>
        <v>2x</v>
      </c>
      <c r="V54">
        <v>1</v>
      </c>
      <c r="Y54">
        <v>1</v>
      </c>
      <c r="AB54" t="str">
        <f t="shared" si="26"/>
        <v/>
      </c>
      <c r="AC54" t="str">
        <f t="shared" si="27"/>
        <v/>
      </c>
      <c r="AE54">
        <f t="shared" si="28"/>
        <v>31948800</v>
      </c>
      <c r="AF54" t="str">
        <f t="shared" si="29"/>
        <v/>
      </c>
      <c r="AH54">
        <f t="shared" si="30"/>
        <v>31948800</v>
      </c>
      <c r="AI54" t="str">
        <f t="shared" si="31"/>
        <v/>
      </c>
      <c r="AJ54" t="str">
        <f t="shared" si="32"/>
        <v/>
      </c>
    </row>
    <row r="55" spans="1:36" ht="14.15" customHeight="1">
      <c r="A55"/>
      <c r="B55"/>
      <c r="C55"/>
      <c r="D55"/>
      <c r="E55"/>
      <c r="F55"/>
      <c r="G55"/>
      <c r="H55"/>
      <c r="I55"/>
      <c r="J55"/>
      <c r="L55" t="s">
        <v>145</v>
      </c>
      <c r="M55" t="s">
        <v>99</v>
      </c>
      <c r="N55">
        <v>61726720</v>
      </c>
      <c r="O55" t="s">
        <v>146</v>
      </c>
      <c r="P55" t="s">
        <v>147</v>
      </c>
      <c r="Q55" t="s">
        <v>148</v>
      </c>
      <c r="R55" t="str">
        <f t="shared" si="0"/>
        <v>2x</v>
      </c>
      <c r="Y55">
        <v>1</v>
      </c>
      <c r="AB55" t="str">
        <f t="shared" si="26"/>
        <v/>
      </c>
      <c r="AC55" t="str">
        <f t="shared" si="27"/>
        <v/>
      </c>
      <c r="AE55" t="str">
        <f t="shared" si="28"/>
        <v/>
      </c>
      <c r="AF55" t="str">
        <f t="shared" si="29"/>
        <v/>
      </c>
      <c r="AH55">
        <f t="shared" si="30"/>
        <v>61726720</v>
      </c>
      <c r="AI55" t="str">
        <f t="shared" si="31"/>
        <v/>
      </c>
      <c r="AJ55" t="str">
        <f t="shared" si="32"/>
        <v/>
      </c>
    </row>
    <row r="56" spans="1:36" ht="14.15" customHeight="1">
      <c r="A56"/>
      <c r="B56"/>
      <c r="C56"/>
      <c r="D56"/>
      <c r="E56"/>
      <c r="F56"/>
      <c r="G56"/>
      <c r="H56"/>
      <c r="I56"/>
      <c r="J56"/>
      <c r="L56" t="s">
        <v>145</v>
      </c>
      <c r="M56" t="s">
        <v>103</v>
      </c>
      <c r="N56">
        <v>125034496</v>
      </c>
      <c r="O56" t="s">
        <v>149</v>
      </c>
      <c r="P56" t="s">
        <v>150</v>
      </c>
      <c r="Q56" t="s">
        <v>148</v>
      </c>
      <c r="R56" t="str">
        <f t="shared" si="0"/>
        <v>2x</v>
      </c>
      <c r="V56">
        <v>1</v>
      </c>
      <c r="Y56">
        <v>1</v>
      </c>
      <c r="AB56" t="str">
        <f t="shared" si="26"/>
        <v/>
      </c>
      <c r="AC56" t="str">
        <f t="shared" si="27"/>
        <v/>
      </c>
      <c r="AE56">
        <f t="shared" si="28"/>
        <v>125034496</v>
      </c>
      <c r="AF56" t="str">
        <f t="shared" si="29"/>
        <v/>
      </c>
      <c r="AH56">
        <f t="shared" si="30"/>
        <v>125034496</v>
      </c>
      <c r="AI56" t="str">
        <f t="shared" si="31"/>
        <v/>
      </c>
      <c r="AJ56" t="str">
        <f t="shared" si="32"/>
        <v/>
      </c>
    </row>
    <row r="57" spans="1:36" ht="14.15" customHeight="1">
      <c r="A57"/>
      <c r="B57"/>
      <c r="C57"/>
      <c r="D57"/>
      <c r="E57"/>
      <c r="F57"/>
      <c r="G57"/>
      <c r="H57"/>
      <c r="I57"/>
      <c r="J57"/>
      <c r="L57" t="s">
        <v>145</v>
      </c>
      <c r="M57" t="s">
        <v>105</v>
      </c>
      <c r="N57">
        <v>49152</v>
      </c>
      <c r="O57" t="s">
        <v>125</v>
      </c>
      <c r="P57" t="s">
        <v>110</v>
      </c>
      <c r="Q57" t="s">
        <v>107</v>
      </c>
      <c r="R57" t="str">
        <f t="shared" si="0"/>
        <v>2x</v>
      </c>
      <c r="T57">
        <v>1</v>
      </c>
      <c r="V57">
        <v>1</v>
      </c>
      <c r="Y57">
        <v>1</v>
      </c>
      <c r="AB57" t="str">
        <f t="shared" si="26"/>
        <v/>
      </c>
      <c r="AC57">
        <f t="shared" si="27"/>
        <v>49152</v>
      </c>
      <c r="AE57">
        <f t="shared" si="28"/>
        <v>49152</v>
      </c>
      <c r="AF57" t="str">
        <f t="shared" si="29"/>
        <v/>
      </c>
      <c r="AH57">
        <f t="shared" si="30"/>
        <v>49152</v>
      </c>
      <c r="AI57" t="str">
        <f t="shared" si="31"/>
        <v/>
      </c>
      <c r="AJ57" t="str">
        <f t="shared" si="32"/>
        <v/>
      </c>
    </row>
    <row r="58" spans="1:36" ht="14.15" customHeight="1">
      <c r="A58"/>
      <c r="B58"/>
      <c r="C58"/>
      <c r="D58"/>
      <c r="E58"/>
      <c r="F58"/>
      <c r="G58"/>
      <c r="H58"/>
      <c r="I58"/>
      <c r="J58"/>
      <c r="L58" t="s">
        <v>145</v>
      </c>
      <c r="M58" t="s">
        <v>108</v>
      </c>
      <c r="N58">
        <v>106496</v>
      </c>
      <c r="O58" t="s">
        <v>151</v>
      </c>
      <c r="P58" t="s">
        <v>110</v>
      </c>
      <c r="Q58" t="s">
        <v>111</v>
      </c>
      <c r="R58" t="str">
        <f t="shared" si="0"/>
        <v>2x</v>
      </c>
      <c r="T58">
        <v>1</v>
      </c>
      <c r="V58">
        <v>1</v>
      </c>
      <c r="Y58">
        <v>1</v>
      </c>
      <c r="AB58" t="str">
        <f t="shared" si="26"/>
        <v/>
      </c>
      <c r="AC58">
        <f t="shared" si="27"/>
        <v>106496</v>
      </c>
      <c r="AE58">
        <f t="shared" si="28"/>
        <v>106496</v>
      </c>
      <c r="AF58" t="str">
        <f t="shared" si="29"/>
        <v/>
      </c>
      <c r="AH58">
        <f t="shared" si="30"/>
        <v>106496</v>
      </c>
      <c r="AI58" t="str">
        <f t="shared" si="31"/>
        <v/>
      </c>
      <c r="AJ58" t="str">
        <f t="shared" si="32"/>
        <v/>
      </c>
    </row>
    <row r="59" spans="1:36" ht="14.15" customHeight="1">
      <c r="A59"/>
      <c r="B59"/>
      <c r="C59"/>
      <c r="D59"/>
      <c r="E59"/>
      <c r="F59"/>
      <c r="G59"/>
      <c r="H59"/>
      <c r="I59"/>
      <c r="J59"/>
      <c r="L59" t="s">
        <v>145</v>
      </c>
      <c r="M59" t="s">
        <v>112</v>
      </c>
      <c r="N59">
        <v>768819200</v>
      </c>
      <c r="O59" t="s">
        <v>152</v>
      </c>
      <c r="P59" t="s">
        <v>153</v>
      </c>
      <c r="Q59" t="s">
        <v>154</v>
      </c>
      <c r="R59" t="str">
        <f t="shared" si="0"/>
        <v>2x</v>
      </c>
      <c r="T59">
        <v>1</v>
      </c>
      <c r="V59">
        <v>1</v>
      </c>
      <c r="Y59">
        <v>1</v>
      </c>
      <c r="AB59" t="str">
        <f t="shared" si="26"/>
        <v/>
      </c>
      <c r="AC59">
        <f t="shared" si="27"/>
        <v>768819200</v>
      </c>
      <c r="AE59">
        <f t="shared" si="28"/>
        <v>768819200</v>
      </c>
      <c r="AF59" t="str">
        <f t="shared" si="29"/>
        <v/>
      </c>
      <c r="AH59">
        <f t="shared" si="30"/>
        <v>768819200</v>
      </c>
      <c r="AI59" t="str">
        <f t="shared" si="31"/>
        <v/>
      </c>
      <c r="AJ59" t="str">
        <f t="shared" si="32"/>
        <v/>
      </c>
    </row>
    <row r="60" spans="1:36" ht="14.15" customHeight="1">
      <c r="A60"/>
      <c r="B60"/>
      <c r="C60"/>
      <c r="D60"/>
      <c r="E60"/>
      <c r="F60"/>
      <c r="G60"/>
      <c r="H60"/>
      <c r="I60"/>
      <c r="J60"/>
      <c r="L60" t="s">
        <v>145</v>
      </c>
      <c r="M60" t="s">
        <v>116</v>
      </c>
      <c r="N60">
        <v>45801472</v>
      </c>
      <c r="O60" t="s">
        <v>155</v>
      </c>
      <c r="P60" t="s">
        <v>156</v>
      </c>
      <c r="Q60" t="s">
        <v>157</v>
      </c>
      <c r="R60" t="str">
        <f t="shared" si="0"/>
        <v>2x</v>
      </c>
      <c r="T60">
        <v>1</v>
      </c>
      <c r="V60">
        <v>1</v>
      </c>
      <c r="Y60">
        <v>1</v>
      </c>
      <c r="AB60" t="str">
        <f t="shared" si="26"/>
        <v/>
      </c>
      <c r="AC60">
        <f t="shared" si="27"/>
        <v>45801472</v>
      </c>
      <c r="AE60">
        <f t="shared" si="28"/>
        <v>45801472</v>
      </c>
      <c r="AF60" t="str">
        <f t="shared" si="29"/>
        <v/>
      </c>
      <c r="AH60">
        <f t="shared" si="30"/>
        <v>45801472</v>
      </c>
      <c r="AI60" t="str">
        <f t="shared" si="31"/>
        <v/>
      </c>
      <c r="AJ60" t="str">
        <f t="shared" si="32"/>
        <v/>
      </c>
    </row>
    <row r="61" spans="1:36" ht="14.15" customHeight="1">
      <c r="A61"/>
      <c r="B61"/>
      <c r="C61"/>
      <c r="D61"/>
      <c r="E61"/>
      <c r="F61"/>
      <c r="G61"/>
      <c r="H61"/>
      <c r="I61"/>
      <c r="J61"/>
      <c r="L61" t="s">
        <v>145</v>
      </c>
      <c r="M61" t="s">
        <v>120</v>
      </c>
      <c r="N61">
        <v>481386496</v>
      </c>
      <c r="O61" t="s">
        <v>158</v>
      </c>
      <c r="P61" t="s">
        <v>159</v>
      </c>
      <c r="Q61" t="s">
        <v>160</v>
      </c>
      <c r="R61" t="str">
        <f t="shared" si="0"/>
        <v>2x</v>
      </c>
      <c r="T61">
        <v>1</v>
      </c>
      <c r="V61">
        <v>1</v>
      </c>
      <c r="Y61">
        <v>1</v>
      </c>
      <c r="AB61" t="str">
        <f t="shared" si="26"/>
        <v/>
      </c>
      <c r="AC61">
        <f t="shared" si="27"/>
        <v>481386496</v>
      </c>
      <c r="AE61">
        <f t="shared" si="28"/>
        <v>481386496</v>
      </c>
      <c r="AF61" t="str">
        <f t="shared" si="29"/>
        <v/>
      </c>
      <c r="AH61">
        <f t="shared" si="30"/>
        <v>481386496</v>
      </c>
      <c r="AI61" t="str">
        <f t="shared" si="31"/>
        <v/>
      </c>
      <c r="AJ61" t="str">
        <f t="shared" si="32"/>
        <v/>
      </c>
    </row>
    <row r="62" spans="1:36" ht="14.15" customHeight="1">
      <c r="A62"/>
      <c r="B62"/>
      <c r="C62"/>
      <c r="D62"/>
      <c r="E62"/>
      <c r="F62"/>
      <c r="G62"/>
      <c r="H62"/>
      <c r="I62"/>
      <c r="J62"/>
      <c r="L62" t="s">
        <v>145</v>
      </c>
      <c r="M62" t="s">
        <v>73</v>
      </c>
      <c r="N62">
        <v>36257792</v>
      </c>
      <c r="O62" t="s">
        <v>139</v>
      </c>
      <c r="P62" t="s">
        <v>140</v>
      </c>
      <c r="Q62" t="s">
        <v>141</v>
      </c>
      <c r="R62" t="str">
        <f t="shared" si="0"/>
        <v>2x</v>
      </c>
      <c r="V62">
        <v>1</v>
      </c>
      <c r="Y62">
        <v>1</v>
      </c>
      <c r="AB62" t="str">
        <f t="shared" si="26"/>
        <v/>
      </c>
      <c r="AC62" t="str">
        <f t="shared" si="27"/>
        <v/>
      </c>
      <c r="AE62">
        <f t="shared" si="28"/>
        <v>36257792</v>
      </c>
      <c r="AF62" t="str">
        <f t="shared" si="29"/>
        <v/>
      </c>
      <c r="AH62">
        <f t="shared" si="30"/>
        <v>36257792</v>
      </c>
      <c r="AI62" t="str">
        <f t="shared" si="31"/>
        <v/>
      </c>
      <c r="AJ62" t="str">
        <f t="shared" si="32"/>
        <v/>
      </c>
    </row>
    <row r="63" spans="1:36" ht="14.15" customHeight="1">
      <c r="A63"/>
      <c r="B63"/>
      <c r="C63"/>
      <c r="D63"/>
      <c r="E63"/>
      <c r="F63"/>
      <c r="G63"/>
      <c r="H63"/>
      <c r="I63"/>
      <c r="J63"/>
      <c r="L63" t="s">
        <v>145</v>
      </c>
      <c r="M63" t="s">
        <v>124</v>
      </c>
      <c r="N63">
        <v>40960</v>
      </c>
      <c r="O63" t="s">
        <v>161</v>
      </c>
      <c r="P63" t="s">
        <v>111</v>
      </c>
      <c r="Q63" t="s">
        <v>111</v>
      </c>
      <c r="R63" t="str">
        <f t="shared" si="0"/>
        <v>2x</v>
      </c>
      <c r="V63">
        <v>1</v>
      </c>
      <c r="Y63">
        <v>1</v>
      </c>
      <c r="AB63" t="str">
        <f t="shared" si="26"/>
        <v/>
      </c>
      <c r="AC63" t="str">
        <f t="shared" si="27"/>
        <v/>
      </c>
      <c r="AE63">
        <f t="shared" si="28"/>
        <v>40960</v>
      </c>
      <c r="AF63" t="str">
        <f t="shared" si="29"/>
        <v/>
      </c>
      <c r="AH63">
        <f t="shared" si="30"/>
        <v>40960</v>
      </c>
      <c r="AI63" t="str">
        <f t="shared" si="31"/>
        <v/>
      </c>
      <c r="AJ63" t="str">
        <f t="shared" si="32"/>
        <v/>
      </c>
    </row>
    <row r="64" spans="1:36" ht="14.15" customHeight="1">
      <c r="A64"/>
      <c r="B64"/>
      <c r="C64"/>
      <c r="D64"/>
      <c r="E64"/>
      <c r="F64"/>
      <c r="G64"/>
      <c r="H64"/>
      <c r="I64"/>
      <c r="J64"/>
      <c r="L64" t="s">
        <v>145</v>
      </c>
      <c r="M64" t="s">
        <v>126</v>
      </c>
      <c r="N64">
        <v>28549120</v>
      </c>
      <c r="O64" t="s">
        <v>162</v>
      </c>
      <c r="P64" t="s">
        <v>163</v>
      </c>
      <c r="Q64" t="s">
        <v>164</v>
      </c>
      <c r="R64" t="str">
        <f t="shared" si="0"/>
        <v>2x</v>
      </c>
      <c r="V64">
        <v>1</v>
      </c>
      <c r="AB64" t="str">
        <f t="shared" si="26"/>
        <v/>
      </c>
      <c r="AC64" t="str">
        <f t="shared" si="27"/>
        <v/>
      </c>
      <c r="AE64">
        <f t="shared" si="28"/>
        <v>28549120</v>
      </c>
      <c r="AF64" t="str">
        <f t="shared" si="29"/>
        <v/>
      </c>
      <c r="AH64" t="str">
        <f t="shared" si="30"/>
        <v/>
      </c>
      <c r="AI64" t="str">
        <f t="shared" si="31"/>
        <v/>
      </c>
      <c r="AJ64" t="str">
        <f t="shared" si="32"/>
        <v/>
      </c>
    </row>
    <row r="65" spans="12:36" customFormat="1" ht="14.15" customHeight="1">
      <c r="L65" t="s">
        <v>145</v>
      </c>
      <c r="M65" t="s">
        <v>130</v>
      </c>
      <c r="N65">
        <v>745472</v>
      </c>
      <c r="O65" t="s">
        <v>131</v>
      </c>
      <c r="P65" t="s">
        <v>132</v>
      </c>
      <c r="Q65" t="s">
        <v>111</v>
      </c>
      <c r="R65" t="str">
        <f t="shared" si="0"/>
        <v>2x</v>
      </c>
      <c r="Y65">
        <v>1</v>
      </c>
      <c r="AB65" t="str">
        <f t="shared" si="26"/>
        <v/>
      </c>
      <c r="AC65" t="str">
        <f t="shared" si="27"/>
        <v/>
      </c>
      <c r="AE65" t="str">
        <f t="shared" si="28"/>
        <v/>
      </c>
      <c r="AF65" t="str">
        <f t="shared" si="29"/>
        <v/>
      </c>
      <c r="AH65">
        <f t="shared" si="30"/>
        <v>745472</v>
      </c>
      <c r="AI65" t="str">
        <f t="shared" si="31"/>
        <v/>
      </c>
      <c r="AJ65" t="str">
        <f t="shared" si="32"/>
        <v/>
      </c>
    </row>
    <row r="66" spans="12:36" customFormat="1" ht="14.15" customHeight="1">
      <c r="L66" t="s">
        <v>145</v>
      </c>
      <c r="M66" t="s">
        <v>76</v>
      </c>
      <c r="N66">
        <v>144171008</v>
      </c>
      <c r="O66" t="s">
        <v>142</v>
      </c>
      <c r="P66" t="s">
        <v>143</v>
      </c>
      <c r="Q66" t="s">
        <v>144</v>
      </c>
      <c r="R66" t="str">
        <f t="shared" ref="R66:R129" si="33">IF(ISNUMBER(SEARCH("_2x", L66)), "2x", IF(ISNUMBER(SEARCH("_5x", L66)), "5x", IF(ISNUMBER(SEARCH("_10x", L66)), "10x", "1x")))</f>
        <v>2x</v>
      </c>
      <c r="T66">
        <v>1</v>
      </c>
      <c r="V66">
        <v>1</v>
      </c>
      <c r="Y66">
        <v>1</v>
      </c>
      <c r="AB66" t="str">
        <f t="shared" ref="AB66:AB97" si="34">IF(S66=1,$N66,"")</f>
        <v/>
      </c>
      <c r="AC66">
        <f t="shared" ref="AC66:AC97" si="35">IF(T66=1,$N66,"")</f>
        <v>144171008</v>
      </c>
      <c r="AE66">
        <f t="shared" ref="AE66:AE97" si="36">IF(V66=1,$N66,"")</f>
        <v>144171008</v>
      </c>
      <c r="AF66" t="str">
        <f t="shared" ref="AF66:AF97" si="37">IF(W66=1,$N66,"")</f>
        <v/>
      </c>
      <c r="AH66">
        <f t="shared" ref="AH66:AH97" si="38">IF(Y66=1,$N66,"")</f>
        <v>144171008</v>
      </c>
      <c r="AI66" t="str">
        <f t="shared" si="31"/>
        <v/>
      </c>
      <c r="AJ66" t="str">
        <f t="shared" si="32"/>
        <v/>
      </c>
    </row>
    <row r="67" spans="12:36" customFormat="1" ht="14.15" customHeight="1">
      <c r="L67" t="s">
        <v>145</v>
      </c>
      <c r="M67" t="s">
        <v>133</v>
      </c>
      <c r="N67">
        <v>16384</v>
      </c>
      <c r="O67" t="s">
        <v>111</v>
      </c>
      <c r="P67" t="s">
        <v>134</v>
      </c>
      <c r="Q67" t="s">
        <v>110</v>
      </c>
      <c r="R67" t="str">
        <f t="shared" si="33"/>
        <v>2x</v>
      </c>
      <c r="T67">
        <v>1</v>
      </c>
      <c r="V67">
        <v>1</v>
      </c>
      <c r="Y67">
        <v>1</v>
      </c>
      <c r="AB67" t="str">
        <f t="shared" si="34"/>
        <v/>
      </c>
      <c r="AC67">
        <f t="shared" si="35"/>
        <v>16384</v>
      </c>
      <c r="AE67">
        <f t="shared" si="36"/>
        <v>16384</v>
      </c>
      <c r="AF67" t="str">
        <f t="shared" si="37"/>
        <v/>
      </c>
      <c r="AH67">
        <f t="shared" si="38"/>
        <v>16384</v>
      </c>
      <c r="AI67" t="str">
        <f t="shared" si="31"/>
        <v/>
      </c>
      <c r="AJ67" t="str">
        <f t="shared" si="32"/>
        <v/>
      </c>
    </row>
    <row r="68" spans="12:36" customFormat="1" ht="14.15" customHeight="1">
      <c r="L68" t="s">
        <v>202</v>
      </c>
      <c r="M68" t="s">
        <v>91</v>
      </c>
      <c r="N68">
        <v>70385664</v>
      </c>
      <c r="O68" t="s">
        <v>92</v>
      </c>
      <c r="P68" t="s">
        <v>93</v>
      </c>
      <c r="Q68" t="s">
        <v>94</v>
      </c>
      <c r="R68" t="str">
        <f t="shared" si="33"/>
        <v>2x</v>
      </c>
      <c r="W68">
        <v>1</v>
      </c>
      <c r="Z68">
        <v>1</v>
      </c>
      <c r="AB68" t="str">
        <f t="shared" si="34"/>
        <v/>
      </c>
      <c r="AC68" t="str">
        <f t="shared" si="35"/>
        <v/>
      </c>
      <c r="AE68" t="str">
        <f t="shared" si="36"/>
        <v/>
      </c>
      <c r="AF68">
        <f t="shared" si="37"/>
        <v>70385664</v>
      </c>
      <c r="AH68" t="str">
        <f t="shared" si="38"/>
        <v/>
      </c>
      <c r="AI68">
        <f t="shared" si="31"/>
        <v>70385664</v>
      </c>
      <c r="AJ68" t="str">
        <f t="shared" si="32"/>
        <v/>
      </c>
    </row>
    <row r="69" spans="12:36" customFormat="1" ht="14.15" customHeight="1">
      <c r="L69" t="s">
        <v>202</v>
      </c>
      <c r="M69" t="s">
        <v>95</v>
      </c>
      <c r="N69">
        <v>31948800</v>
      </c>
      <c r="O69" t="s">
        <v>96</v>
      </c>
      <c r="P69" t="s">
        <v>97</v>
      </c>
      <c r="Q69" t="s">
        <v>98</v>
      </c>
      <c r="R69" t="str">
        <f t="shared" si="33"/>
        <v>2x</v>
      </c>
      <c r="W69">
        <v>1</v>
      </c>
      <c r="Z69">
        <v>1</v>
      </c>
      <c r="AB69" t="str">
        <f t="shared" si="34"/>
        <v/>
      </c>
      <c r="AC69" t="str">
        <f t="shared" si="35"/>
        <v/>
      </c>
      <c r="AE69" t="str">
        <f t="shared" si="36"/>
        <v/>
      </c>
      <c r="AF69">
        <f t="shared" si="37"/>
        <v>31948800</v>
      </c>
      <c r="AH69" t="str">
        <f t="shared" si="38"/>
        <v/>
      </c>
      <c r="AI69">
        <f t="shared" si="31"/>
        <v>31948800</v>
      </c>
      <c r="AJ69" t="str">
        <f t="shared" si="32"/>
        <v/>
      </c>
    </row>
    <row r="70" spans="12:36" customFormat="1" ht="14.15" customHeight="1">
      <c r="L70" t="s">
        <v>202</v>
      </c>
      <c r="M70" t="s">
        <v>99</v>
      </c>
      <c r="N70">
        <v>61726720</v>
      </c>
      <c r="O70" t="s">
        <v>146</v>
      </c>
      <c r="P70" t="s">
        <v>147</v>
      </c>
      <c r="Q70" t="s">
        <v>148</v>
      </c>
      <c r="R70" t="str">
        <f t="shared" si="33"/>
        <v>2x</v>
      </c>
      <c r="Z70">
        <v>1</v>
      </c>
      <c r="AB70" t="str">
        <f t="shared" si="34"/>
        <v/>
      </c>
      <c r="AC70" t="str">
        <f t="shared" si="35"/>
        <v/>
      </c>
      <c r="AE70" t="str">
        <f t="shared" si="36"/>
        <v/>
      </c>
      <c r="AF70" t="str">
        <f t="shared" si="37"/>
        <v/>
      </c>
      <c r="AH70" t="str">
        <f t="shared" si="38"/>
        <v/>
      </c>
      <c r="AI70">
        <f t="shared" si="31"/>
        <v>61726720</v>
      </c>
      <c r="AJ70" t="str">
        <f t="shared" si="32"/>
        <v/>
      </c>
    </row>
    <row r="71" spans="12:36" customFormat="1" ht="14.15" customHeight="1">
      <c r="L71" t="s">
        <v>202</v>
      </c>
      <c r="M71" t="s">
        <v>103</v>
      </c>
      <c r="N71">
        <v>125034496</v>
      </c>
      <c r="O71" t="s">
        <v>149</v>
      </c>
      <c r="P71" t="s">
        <v>150</v>
      </c>
      <c r="Q71" t="s">
        <v>148</v>
      </c>
      <c r="R71" t="str">
        <f t="shared" si="33"/>
        <v>2x</v>
      </c>
      <c r="W71">
        <v>1</v>
      </c>
      <c r="Z71">
        <v>1</v>
      </c>
      <c r="AB71" t="str">
        <f t="shared" si="34"/>
        <v/>
      </c>
      <c r="AC71" t="str">
        <f t="shared" si="35"/>
        <v/>
      </c>
      <c r="AE71" t="str">
        <f t="shared" si="36"/>
        <v/>
      </c>
      <c r="AF71">
        <f t="shared" si="37"/>
        <v>125034496</v>
      </c>
      <c r="AH71" t="str">
        <f t="shared" si="38"/>
        <v/>
      </c>
      <c r="AI71">
        <f t="shared" si="31"/>
        <v>125034496</v>
      </c>
      <c r="AJ71" t="str">
        <f t="shared" si="32"/>
        <v/>
      </c>
    </row>
    <row r="72" spans="12:36" customFormat="1" ht="14.15" customHeight="1">
      <c r="L72" t="s">
        <v>202</v>
      </c>
      <c r="M72" t="s">
        <v>105</v>
      </c>
      <c r="N72">
        <v>14442496</v>
      </c>
      <c r="O72" t="s">
        <v>176</v>
      </c>
      <c r="P72" t="s">
        <v>104</v>
      </c>
      <c r="Q72" t="s">
        <v>203</v>
      </c>
      <c r="R72" t="str">
        <f t="shared" si="33"/>
        <v>2x</v>
      </c>
      <c r="W72">
        <v>1</v>
      </c>
      <c r="Z72">
        <v>1</v>
      </c>
      <c r="AB72" t="str">
        <f t="shared" si="34"/>
        <v/>
      </c>
      <c r="AC72" t="str">
        <f t="shared" si="35"/>
        <v/>
      </c>
      <c r="AE72" t="str">
        <f t="shared" si="36"/>
        <v/>
      </c>
      <c r="AF72">
        <f t="shared" si="37"/>
        <v>14442496</v>
      </c>
      <c r="AH72" t="str">
        <f t="shared" si="38"/>
        <v/>
      </c>
      <c r="AI72">
        <f t="shared" si="31"/>
        <v>14442496</v>
      </c>
      <c r="AJ72" t="str">
        <f t="shared" si="32"/>
        <v/>
      </c>
    </row>
    <row r="73" spans="12:36" customFormat="1" ht="14.15" customHeight="1">
      <c r="L73" t="s">
        <v>202</v>
      </c>
      <c r="M73" t="s">
        <v>108</v>
      </c>
      <c r="N73">
        <v>210460672</v>
      </c>
      <c r="O73" t="s">
        <v>204</v>
      </c>
      <c r="P73" t="s">
        <v>205</v>
      </c>
      <c r="Q73" t="s">
        <v>78</v>
      </c>
      <c r="R73" t="str">
        <f t="shared" si="33"/>
        <v>2x</v>
      </c>
      <c r="W73">
        <v>1</v>
      </c>
      <c r="Z73">
        <v>1</v>
      </c>
      <c r="AB73" t="str">
        <f t="shared" si="34"/>
        <v/>
      </c>
      <c r="AC73" t="str">
        <f t="shared" si="35"/>
        <v/>
      </c>
      <c r="AE73" t="str">
        <f t="shared" si="36"/>
        <v/>
      </c>
      <c r="AF73">
        <f t="shared" si="37"/>
        <v>210460672</v>
      </c>
      <c r="AH73" t="str">
        <f t="shared" si="38"/>
        <v/>
      </c>
      <c r="AI73">
        <f t="shared" si="31"/>
        <v>210460672</v>
      </c>
      <c r="AJ73" t="str">
        <f t="shared" si="32"/>
        <v/>
      </c>
    </row>
    <row r="74" spans="12:36" customFormat="1" ht="14.15" customHeight="1">
      <c r="L74" t="s">
        <v>202</v>
      </c>
      <c r="M74" t="s">
        <v>112</v>
      </c>
      <c r="N74">
        <v>764952576</v>
      </c>
      <c r="O74" t="s">
        <v>206</v>
      </c>
      <c r="P74" t="s">
        <v>153</v>
      </c>
      <c r="Q74" t="s">
        <v>207</v>
      </c>
      <c r="R74" t="str">
        <f t="shared" si="33"/>
        <v>2x</v>
      </c>
      <c r="W74">
        <v>1</v>
      </c>
      <c r="Z74">
        <v>1</v>
      </c>
      <c r="AB74" t="str">
        <f t="shared" si="34"/>
        <v/>
      </c>
      <c r="AC74" t="str">
        <f t="shared" si="35"/>
        <v/>
      </c>
      <c r="AE74" t="str">
        <f t="shared" si="36"/>
        <v/>
      </c>
      <c r="AF74">
        <f t="shared" si="37"/>
        <v>764952576</v>
      </c>
      <c r="AH74" t="str">
        <f t="shared" si="38"/>
        <v/>
      </c>
      <c r="AI74">
        <f t="shared" si="31"/>
        <v>764952576</v>
      </c>
      <c r="AJ74" t="str">
        <f t="shared" si="32"/>
        <v/>
      </c>
    </row>
    <row r="75" spans="12:36" customFormat="1" ht="14.15" customHeight="1">
      <c r="L75" t="s">
        <v>202</v>
      </c>
      <c r="M75" t="s">
        <v>116</v>
      </c>
      <c r="N75">
        <v>17776640</v>
      </c>
      <c r="O75" t="s">
        <v>74</v>
      </c>
      <c r="P75" t="s">
        <v>123</v>
      </c>
      <c r="Q75" t="s">
        <v>208</v>
      </c>
      <c r="R75" t="str">
        <f t="shared" si="33"/>
        <v>2x</v>
      </c>
      <c r="W75">
        <v>1</v>
      </c>
      <c r="Z75">
        <v>1</v>
      </c>
      <c r="AB75" t="str">
        <f t="shared" si="34"/>
        <v/>
      </c>
      <c r="AC75" t="str">
        <f t="shared" si="35"/>
        <v/>
      </c>
      <c r="AE75" t="str">
        <f t="shared" si="36"/>
        <v/>
      </c>
      <c r="AF75">
        <f t="shared" si="37"/>
        <v>17776640</v>
      </c>
      <c r="AH75" t="str">
        <f t="shared" si="38"/>
        <v/>
      </c>
      <c r="AI75">
        <f t="shared" si="31"/>
        <v>17776640</v>
      </c>
      <c r="AJ75" t="str">
        <f t="shared" si="32"/>
        <v/>
      </c>
    </row>
    <row r="76" spans="12:36" customFormat="1" ht="14.15" customHeight="1">
      <c r="L76" t="s">
        <v>202</v>
      </c>
      <c r="M76" t="s">
        <v>120</v>
      </c>
      <c r="N76">
        <v>271007744</v>
      </c>
      <c r="O76" t="s">
        <v>209</v>
      </c>
      <c r="P76" t="s">
        <v>210</v>
      </c>
      <c r="Q76" t="s">
        <v>211</v>
      </c>
      <c r="R76" t="str">
        <f t="shared" si="33"/>
        <v>2x</v>
      </c>
      <c r="W76">
        <v>1</v>
      </c>
      <c r="Z76">
        <v>1</v>
      </c>
      <c r="AB76" t="str">
        <f t="shared" si="34"/>
        <v/>
      </c>
      <c r="AC76" t="str">
        <f t="shared" si="35"/>
        <v/>
      </c>
      <c r="AE76" t="str">
        <f t="shared" si="36"/>
        <v/>
      </c>
      <c r="AF76">
        <f t="shared" si="37"/>
        <v>271007744</v>
      </c>
      <c r="AH76" t="str">
        <f t="shared" si="38"/>
        <v/>
      </c>
      <c r="AI76">
        <f t="shared" si="31"/>
        <v>271007744</v>
      </c>
      <c r="AJ76" t="str">
        <f t="shared" si="32"/>
        <v/>
      </c>
    </row>
    <row r="77" spans="12:36" customFormat="1" ht="14.15" customHeight="1">
      <c r="L77" t="s">
        <v>202</v>
      </c>
      <c r="M77" t="s">
        <v>73</v>
      </c>
      <c r="N77">
        <v>647168</v>
      </c>
      <c r="O77" t="s">
        <v>212</v>
      </c>
      <c r="P77" t="s">
        <v>213</v>
      </c>
      <c r="Q77" t="s">
        <v>214</v>
      </c>
      <c r="R77" t="str">
        <f t="shared" si="33"/>
        <v>2x</v>
      </c>
      <c r="W77">
        <v>1</v>
      </c>
      <c r="Z77">
        <v>1</v>
      </c>
      <c r="AB77" t="str">
        <f t="shared" si="34"/>
        <v/>
      </c>
      <c r="AC77" t="str">
        <f t="shared" si="35"/>
        <v/>
      </c>
      <c r="AE77" t="str">
        <f t="shared" si="36"/>
        <v/>
      </c>
      <c r="AF77">
        <f t="shared" si="37"/>
        <v>647168</v>
      </c>
      <c r="AH77" t="str">
        <f t="shared" si="38"/>
        <v/>
      </c>
      <c r="AI77">
        <f t="shared" si="31"/>
        <v>647168</v>
      </c>
      <c r="AJ77" t="str">
        <f t="shared" si="32"/>
        <v/>
      </c>
    </row>
    <row r="78" spans="12:36" customFormat="1" ht="14.15" customHeight="1">
      <c r="L78" t="s">
        <v>202</v>
      </c>
      <c r="M78" t="s">
        <v>124</v>
      </c>
      <c r="N78">
        <v>31113216</v>
      </c>
      <c r="O78" t="s">
        <v>96</v>
      </c>
      <c r="P78" t="s">
        <v>97</v>
      </c>
      <c r="Q78" t="s">
        <v>203</v>
      </c>
      <c r="R78" t="str">
        <f t="shared" si="33"/>
        <v>2x</v>
      </c>
      <c r="W78">
        <v>1</v>
      </c>
      <c r="Z78">
        <v>1</v>
      </c>
      <c r="AB78" t="str">
        <f t="shared" si="34"/>
        <v/>
      </c>
      <c r="AC78" t="str">
        <f t="shared" si="35"/>
        <v/>
      </c>
      <c r="AE78" t="str">
        <f t="shared" si="36"/>
        <v/>
      </c>
      <c r="AF78">
        <f t="shared" si="37"/>
        <v>31113216</v>
      </c>
      <c r="AH78" t="str">
        <f t="shared" si="38"/>
        <v/>
      </c>
      <c r="AI78">
        <f t="shared" si="31"/>
        <v>31113216</v>
      </c>
      <c r="AJ78" t="str">
        <f t="shared" si="32"/>
        <v/>
      </c>
    </row>
    <row r="79" spans="12:36" customFormat="1" ht="14.15" customHeight="1">
      <c r="L79" t="s">
        <v>202</v>
      </c>
      <c r="M79" t="s">
        <v>126</v>
      </c>
      <c r="N79">
        <v>499712</v>
      </c>
      <c r="O79" t="s">
        <v>215</v>
      </c>
      <c r="P79" t="s">
        <v>216</v>
      </c>
      <c r="Q79" t="s">
        <v>107</v>
      </c>
      <c r="R79" t="str">
        <f t="shared" si="33"/>
        <v>2x</v>
      </c>
      <c r="AB79" t="str">
        <f t="shared" si="34"/>
        <v/>
      </c>
      <c r="AC79" t="str">
        <f t="shared" si="35"/>
        <v/>
      </c>
      <c r="AE79" t="str">
        <f t="shared" si="36"/>
        <v/>
      </c>
      <c r="AF79" t="str">
        <f t="shared" si="37"/>
        <v/>
      </c>
      <c r="AH79" t="str">
        <f t="shared" si="38"/>
        <v/>
      </c>
      <c r="AI79" t="str">
        <f t="shared" si="31"/>
        <v/>
      </c>
      <c r="AJ79" t="str">
        <f t="shared" si="32"/>
        <v/>
      </c>
    </row>
    <row r="80" spans="12:36" customFormat="1" ht="14.15" customHeight="1">
      <c r="L80" t="s">
        <v>202</v>
      </c>
      <c r="M80" t="s">
        <v>198</v>
      </c>
      <c r="N80">
        <v>25600000</v>
      </c>
      <c r="O80" t="s">
        <v>217</v>
      </c>
      <c r="P80" t="s">
        <v>217</v>
      </c>
      <c r="Q80" t="s">
        <v>203</v>
      </c>
      <c r="R80" t="str">
        <f t="shared" si="33"/>
        <v>2x</v>
      </c>
      <c r="AB80" t="str">
        <f t="shared" si="34"/>
        <v/>
      </c>
      <c r="AC80" t="str">
        <f t="shared" si="35"/>
        <v/>
      </c>
      <c r="AE80" t="str">
        <f t="shared" si="36"/>
        <v/>
      </c>
      <c r="AF80" t="str">
        <f t="shared" si="37"/>
        <v/>
      </c>
      <c r="AH80" t="str">
        <f t="shared" si="38"/>
        <v/>
      </c>
      <c r="AI80" t="str">
        <f t="shared" si="31"/>
        <v/>
      </c>
      <c r="AJ80" t="str">
        <f t="shared" si="32"/>
        <v/>
      </c>
    </row>
    <row r="81" spans="1:36" ht="14.15" customHeight="1">
      <c r="A81"/>
      <c r="B81"/>
      <c r="C81"/>
      <c r="D81"/>
      <c r="E81"/>
      <c r="F81"/>
      <c r="G81"/>
      <c r="H81"/>
      <c r="I81"/>
      <c r="J81"/>
      <c r="L81" t="s">
        <v>202</v>
      </c>
      <c r="M81" t="s">
        <v>130</v>
      </c>
      <c r="N81">
        <v>745472</v>
      </c>
      <c r="O81" t="s">
        <v>131</v>
      </c>
      <c r="P81" t="s">
        <v>132</v>
      </c>
      <c r="Q81" t="s">
        <v>111</v>
      </c>
      <c r="R81" t="str">
        <f t="shared" si="33"/>
        <v>2x</v>
      </c>
      <c r="Z81">
        <v>1</v>
      </c>
      <c r="AB81" t="str">
        <f t="shared" si="34"/>
        <v/>
      </c>
      <c r="AC81" t="str">
        <f t="shared" si="35"/>
        <v/>
      </c>
      <c r="AE81" t="str">
        <f t="shared" si="36"/>
        <v/>
      </c>
      <c r="AF81" t="str">
        <f t="shared" si="37"/>
        <v/>
      </c>
      <c r="AH81" t="str">
        <f t="shared" si="38"/>
        <v/>
      </c>
      <c r="AI81">
        <f t="shared" si="31"/>
        <v>745472</v>
      </c>
      <c r="AJ81" t="str">
        <f t="shared" si="32"/>
        <v/>
      </c>
    </row>
    <row r="82" spans="1:36" ht="14.15" customHeight="1">
      <c r="A82"/>
      <c r="B82"/>
      <c r="C82"/>
      <c r="D82"/>
      <c r="E82"/>
      <c r="F82"/>
      <c r="G82"/>
      <c r="H82"/>
      <c r="I82"/>
      <c r="J82"/>
      <c r="L82" t="s">
        <v>202</v>
      </c>
      <c r="M82" t="s">
        <v>76</v>
      </c>
      <c r="N82">
        <v>146890752</v>
      </c>
      <c r="O82" t="s">
        <v>218</v>
      </c>
      <c r="P82" t="s">
        <v>143</v>
      </c>
      <c r="Q82" t="s">
        <v>219</v>
      </c>
      <c r="R82" t="str">
        <f t="shared" si="33"/>
        <v>2x</v>
      </c>
      <c r="W82">
        <v>1</v>
      </c>
      <c r="Z82">
        <v>1</v>
      </c>
      <c r="AB82" t="str">
        <f t="shared" si="34"/>
        <v/>
      </c>
      <c r="AC82" t="str">
        <f t="shared" si="35"/>
        <v/>
      </c>
      <c r="AE82" t="str">
        <f t="shared" si="36"/>
        <v/>
      </c>
      <c r="AF82">
        <f t="shared" si="37"/>
        <v>146890752</v>
      </c>
      <c r="AH82" t="str">
        <f t="shared" si="38"/>
        <v/>
      </c>
      <c r="AI82">
        <f t="shared" si="31"/>
        <v>146890752</v>
      </c>
      <c r="AJ82" t="str">
        <f t="shared" si="32"/>
        <v/>
      </c>
    </row>
    <row r="83" spans="1:36" ht="14.15" customHeight="1">
      <c r="A83"/>
      <c r="B83"/>
      <c r="C83"/>
      <c r="D83"/>
      <c r="E83"/>
      <c r="F83"/>
      <c r="G83"/>
      <c r="H83"/>
      <c r="I83"/>
      <c r="J83"/>
      <c r="L83" t="s">
        <v>264</v>
      </c>
      <c r="M83" t="s">
        <v>240</v>
      </c>
      <c r="N83">
        <v>16384</v>
      </c>
      <c r="O83" t="s">
        <v>111</v>
      </c>
      <c r="P83" t="s">
        <v>134</v>
      </c>
      <c r="Q83" t="s">
        <v>110</v>
      </c>
      <c r="R83" t="str">
        <f t="shared" si="33"/>
        <v>2x</v>
      </c>
      <c r="AA83">
        <v>1</v>
      </c>
      <c r="AB83" t="str">
        <f t="shared" si="34"/>
        <v/>
      </c>
      <c r="AC83" t="str">
        <f t="shared" si="35"/>
        <v/>
      </c>
      <c r="AE83" t="str">
        <f t="shared" si="36"/>
        <v/>
      </c>
      <c r="AF83" t="str">
        <f t="shared" si="37"/>
        <v/>
      </c>
      <c r="AH83" t="str">
        <f t="shared" si="38"/>
        <v/>
      </c>
      <c r="AI83" t="str">
        <f t="shared" si="31"/>
        <v/>
      </c>
      <c r="AJ83">
        <f t="shared" si="32"/>
        <v>16384</v>
      </c>
    </row>
    <row r="84" spans="1:36" ht="14.15" customHeight="1">
      <c r="A84"/>
      <c r="B84"/>
      <c r="C84"/>
      <c r="D84"/>
      <c r="E84"/>
      <c r="F84"/>
      <c r="G84"/>
      <c r="H84"/>
      <c r="I84"/>
      <c r="J84"/>
      <c r="L84" t="s">
        <v>264</v>
      </c>
      <c r="M84" t="s">
        <v>241</v>
      </c>
      <c r="N84">
        <v>70574080</v>
      </c>
      <c r="O84" t="s">
        <v>92</v>
      </c>
      <c r="P84" t="s">
        <v>242</v>
      </c>
      <c r="Q84" t="s">
        <v>243</v>
      </c>
      <c r="R84" t="str">
        <f t="shared" si="33"/>
        <v>2x</v>
      </c>
      <c r="AA84">
        <v>1</v>
      </c>
      <c r="AB84" t="str">
        <f t="shared" si="34"/>
        <v/>
      </c>
      <c r="AC84" t="str">
        <f t="shared" si="35"/>
        <v/>
      </c>
      <c r="AE84" t="str">
        <f t="shared" si="36"/>
        <v/>
      </c>
      <c r="AF84" t="str">
        <f t="shared" si="37"/>
        <v/>
      </c>
      <c r="AH84" t="str">
        <f t="shared" si="38"/>
        <v/>
      </c>
      <c r="AI84" t="str">
        <f t="shared" si="31"/>
        <v/>
      </c>
      <c r="AJ84">
        <f t="shared" si="32"/>
        <v>70574080</v>
      </c>
    </row>
    <row r="85" spans="1:36" ht="14.15" customHeight="1">
      <c r="A85"/>
      <c r="B85"/>
      <c r="C85"/>
      <c r="D85"/>
      <c r="E85"/>
      <c r="F85"/>
      <c r="G85"/>
      <c r="H85"/>
      <c r="I85"/>
      <c r="J85"/>
      <c r="L85" t="s">
        <v>264</v>
      </c>
      <c r="M85" t="s">
        <v>244</v>
      </c>
      <c r="N85">
        <v>23977984</v>
      </c>
      <c r="O85" t="s">
        <v>245</v>
      </c>
      <c r="P85" t="s">
        <v>122</v>
      </c>
      <c r="Q85" t="s">
        <v>246</v>
      </c>
      <c r="R85" t="str">
        <f t="shared" si="33"/>
        <v>2x</v>
      </c>
      <c r="AA85">
        <v>1</v>
      </c>
      <c r="AB85" t="str">
        <f t="shared" si="34"/>
        <v/>
      </c>
      <c r="AC85" t="str">
        <f t="shared" si="35"/>
        <v/>
      </c>
      <c r="AE85" t="str">
        <f t="shared" si="36"/>
        <v/>
      </c>
      <c r="AF85" t="str">
        <f t="shared" si="37"/>
        <v/>
      </c>
      <c r="AH85" t="str">
        <f t="shared" si="38"/>
        <v/>
      </c>
      <c r="AI85" t="str">
        <f t="shared" si="31"/>
        <v/>
      </c>
      <c r="AJ85">
        <f t="shared" si="32"/>
        <v>23977984</v>
      </c>
    </row>
    <row r="86" spans="1:36" ht="14.15" customHeight="1">
      <c r="A86"/>
      <c r="B86"/>
      <c r="C86"/>
      <c r="D86"/>
      <c r="E86"/>
      <c r="F86"/>
      <c r="G86"/>
      <c r="H86"/>
      <c r="I86"/>
      <c r="J86"/>
      <c r="L86" t="s">
        <v>264</v>
      </c>
      <c r="M86" t="s">
        <v>99</v>
      </c>
      <c r="N86">
        <v>61726720</v>
      </c>
      <c r="O86" t="s">
        <v>146</v>
      </c>
      <c r="P86" t="s">
        <v>147</v>
      </c>
      <c r="Q86" t="s">
        <v>148</v>
      </c>
      <c r="R86" t="str">
        <f t="shared" si="33"/>
        <v>2x</v>
      </c>
      <c r="AA86">
        <v>1</v>
      </c>
      <c r="AB86" t="str">
        <f t="shared" si="34"/>
        <v/>
      </c>
      <c r="AC86" t="str">
        <f t="shared" si="35"/>
        <v/>
      </c>
      <c r="AE86" t="str">
        <f t="shared" si="36"/>
        <v/>
      </c>
      <c r="AF86" t="str">
        <f t="shared" si="37"/>
        <v/>
      </c>
      <c r="AH86" t="str">
        <f t="shared" si="38"/>
        <v/>
      </c>
      <c r="AI86" t="str">
        <f t="shared" si="31"/>
        <v/>
      </c>
      <c r="AJ86">
        <f t="shared" si="32"/>
        <v>61726720</v>
      </c>
    </row>
    <row r="87" spans="1:36" ht="14.15" customHeight="1">
      <c r="A87"/>
      <c r="B87"/>
      <c r="C87"/>
      <c r="D87"/>
      <c r="E87"/>
      <c r="F87"/>
      <c r="G87"/>
      <c r="H87"/>
      <c r="I87"/>
      <c r="J87"/>
      <c r="L87" t="s">
        <v>264</v>
      </c>
      <c r="M87" t="s">
        <v>103</v>
      </c>
      <c r="N87">
        <v>125034496</v>
      </c>
      <c r="O87" t="s">
        <v>149</v>
      </c>
      <c r="P87" t="s">
        <v>150</v>
      </c>
      <c r="Q87" t="s">
        <v>148</v>
      </c>
      <c r="R87" t="str">
        <f t="shared" si="33"/>
        <v>2x</v>
      </c>
      <c r="AA87">
        <v>1</v>
      </c>
      <c r="AB87" t="str">
        <f t="shared" si="34"/>
        <v/>
      </c>
      <c r="AC87" t="str">
        <f t="shared" si="35"/>
        <v/>
      </c>
      <c r="AE87" t="str">
        <f t="shared" si="36"/>
        <v/>
      </c>
      <c r="AF87" t="str">
        <f t="shared" si="37"/>
        <v/>
      </c>
      <c r="AH87" t="str">
        <f t="shared" si="38"/>
        <v/>
      </c>
      <c r="AI87" t="str">
        <f t="shared" si="31"/>
        <v/>
      </c>
      <c r="AJ87">
        <f t="shared" si="32"/>
        <v>125034496</v>
      </c>
    </row>
    <row r="88" spans="1:36" ht="14.15" customHeight="1">
      <c r="A88"/>
      <c r="B88"/>
      <c r="C88"/>
      <c r="D88"/>
      <c r="E88"/>
      <c r="F88"/>
      <c r="G88"/>
      <c r="H88"/>
      <c r="I88"/>
      <c r="J88"/>
      <c r="L88" t="s">
        <v>264</v>
      </c>
      <c r="M88" t="s">
        <v>105</v>
      </c>
      <c r="N88">
        <v>38813696</v>
      </c>
      <c r="O88" t="s">
        <v>265</v>
      </c>
      <c r="P88" t="s">
        <v>139</v>
      </c>
      <c r="Q88" t="s">
        <v>266</v>
      </c>
      <c r="R88" t="str">
        <f t="shared" si="33"/>
        <v>2x</v>
      </c>
      <c r="AA88">
        <v>1</v>
      </c>
      <c r="AB88" t="str">
        <f t="shared" si="34"/>
        <v/>
      </c>
      <c r="AC88" t="str">
        <f t="shared" si="35"/>
        <v/>
      </c>
      <c r="AE88" t="str">
        <f t="shared" si="36"/>
        <v/>
      </c>
      <c r="AF88" t="str">
        <f t="shared" si="37"/>
        <v/>
      </c>
      <c r="AH88" t="str">
        <f t="shared" si="38"/>
        <v/>
      </c>
      <c r="AI88" t="str">
        <f t="shared" si="31"/>
        <v/>
      </c>
      <c r="AJ88">
        <f t="shared" si="32"/>
        <v>38813696</v>
      </c>
    </row>
    <row r="89" spans="1:36">
      <c r="L89" t="s">
        <v>264</v>
      </c>
      <c r="M89" t="s">
        <v>108</v>
      </c>
      <c r="N89">
        <v>510656512</v>
      </c>
      <c r="O89" t="s">
        <v>267</v>
      </c>
      <c r="P89" t="s">
        <v>268</v>
      </c>
      <c r="Q89" t="s">
        <v>266</v>
      </c>
      <c r="R89" t="str">
        <f t="shared" si="33"/>
        <v>2x</v>
      </c>
      <c r="AA89">
        <v>1</v>
      </c>
      <c r="AB89" t="str">
        <f t="shared" si="34"/>
        <v/>
      </c>
      <c r="AC89" t="str">
        <f t="shared" si="35"/>
        <v/>
      </c>
      <c r="AE89" t="str">
        <f t="shared" si="36"/>
        <v/>
      </c>
      <c r="AF89" t="str">
        <f t="shared" si="37"/>
        <v/>
      </c>
      <c r="AH89" t="str">
        <f t="shared" si="38"/>
        <v/>
      </c>
      <c r="AI89" t="str">
        <f t="shared" si="31"/>
        <v/>
      </c>
      <c r="AJ89">
        <f t="shared" si="32"/>
        <v>510656512</v>
      </c>
    </row>
    <row r="90" spans="1:36">
      <c r="L90" t="s">
        <v>264</v>
      </c>
      <c r="M90" t="s">
        <v>112</v>
      </c>
      <c r="N90">
        <v>469647360</v>
      </c>
      <c r="O90" t="s">
        <v>269</v>
      </c>
      <c r="P90" t="s">
        <v>270</v>
      </c>
      <c r="Q90" t="s">
        <v>271</v>
      </c>
      <c r="R90" t="str">
        <f t="shared" si="33"/>
        <v>2x</v>
      </c>
      <c r="AA90">
        <v>1</v>
      </c>
      <c r="AB90" t="str">
        <f t="shared" si="34"/>
        <v/>
      </c>
      <c r="AC90" t="str">
        <f t="shared" si="35"/>
        <v/>
      </c>
      <c r="AE90" t="str">
        <f t="shared" si="36"/>
        <v/>
      </c>
      <c r="AF90" t="str">
        <f t="shared" si="37"/>
        <v/>
      </c>
      <c r="AH90" t="str">
        <f t="shared" si="38"/>
        <v/>
      </c>
      <c r="AI90" t="str">
        <f t="shared" si="31"/>
        <v/>
      </c>
      <c r="AJ90">
        <f t="shared" si="32"/>
        <v>469647360</v>
      </c>
    </row>
    <row r="91" spans="1:36">
      <c r="L91" t="s">
        <v>264</v>
      </c>
      <c r="M91" t="s">
        <v>116</v>
      </c>
      <c r="N91">
        <v>18350080</v>
      </c>
      <c r="O91" t="s">
        <v>89</v>
      </c>
      <c r="P91" t="s">
        <v>74</v>
      </c>
      <c r="Q91" t="s">
        <v>272</v>
      </c>
      <c r="R91" t="str">
        <f t="shared" si="33"/>
        <v>2x</v>
      </c>
      <c r="AA91">
        <v>1</v>
      </c>
      <c r="AB91" t="str">
        <f t="shared" si="34"/>
        <v/>
      </c>
      <c r="AC91" t="str">
        <f t="shared" si="35"/>
        <v/>
      </c>
      <c r="AE91" t="str">
        <f t="shared" si="36"/>
        <v/>
      </c>
      <c r="AF91" t="str">
        <f t="shared" si="37"/>
        <v/>
      </c>
      <c r="AH91" t="str">
        <f t="shared" si="38"/>
        <v/>
      </c>
      <c r="AI91" t="str">
        <f t="shared" si="31"/>
        <v/>
      </c>
      <c r="AJ91">
        <f t="shared" si="32"/>
        <v>18350080</v>
      </c>
    </row>
    <row r="92" spans="1:36">
      <c r="L92" t="s">
        <v>264</v>
      </c>
      <c r="M92" t="s">
        <v>120</v>
      </c>
      <c r="N92">
        <v>266584064</v>
      </c>
      <c r="O92" t="s">
        <v>273</v>
      </c>
      <c r="P92" t="s">
        <v>274</v>
      </c>
      <c r="Q92" t="s">
        <v>272</v>
      </c>
      <c r="R92" t="str">
        <f t="shared" si="33"/>
        <v>2x</v>
      </c>
      <c r="AA92">
        <v>1</v>
      </c>
      <c r="AB92" t="str">
        <f t="shared" si="34"/>
        <v/>
      </c>
      <c r="AC92" t="str">
        <f t="shared" si="35"/>
        <v/>
      </c>
      <c r="AE92" t="str">
        <f t="shared" si="36"/>
        <v/>
      </c>
      <c r="AF92" t="str">
        <f t="shared" si="37"/>
        <v/>
      </c>
      <c r="AH92" t="str">
        <f t="shared" si="38"/>
        <v/>
      </c>
      <c r="AI92" t="str">
        <f t="shared" si="31"/>
        <v/>
      </c>
      <c r="AJ92">
        <f t="shared" si="32"/>
        <v>266584064</v>
      </c>
    </row>
    <row r="93" spans="1:36">
      <c r="L93" t="s">
        <v>264</v>
      </c>
      <c r="M93" t="s">
        <v>73</v>
      </c>
      <c r="N93">
        <v>81920</v>
      </c>
      <c r="O93" t="s">
        <v>197</v>
      </c>
      <c r="P93" t="s">
        <v>161</v>
      </c>
      <c r="Q93" t="s">
        <v>107</v>
      </c>
      <c r="R93" t="str">
        <f t="shared" si="33"/>
        <v>2x</v>
      </c>
      <c r="AA93">
        <v>1</v>
      </c>
      <c r="AB93" t="str">
        <f t="shared" si="34"/>
        <v/>
      </c>
      <c r="AC93" t="str">
        <f t="shared" si="35"/>
        <v/>
      </c>
      <c r="AE93" t="str">
        <f t="shared" si="36"/>
        <v/>
      </c>
      <c r="AF93" t="str">
        <f t="shared" si="37"/>
        <v/>
      </c>
      <c r="AH93" t="str">
        <f t="shared" si="38"/>
        <v/>
      </c>
      <c r="AI93" t="str">
        <f t="shared" si="31"/>
        <v/>
      </c>
      <c r="AJ93">
        <f t="shared" si="32"/>
        <v>81920</v>
      </c>
    </row>
    <row r="94" spans="1:36">
      <c r="L94" t="s">
        <v>264</v>
      </c>
      <c r="M94" t="s">
        <v>258</v>
      </c>
      <c r="N94">
        <v>548864</v>
      </c>
      <c r="O94" t="s">
        <v>275</v>
      </c>
      <c r="P94" t="s">
        <v>166</v>
      </c>
      <c r="Q94" t="s">
        <v>107</v>
      </c>
      <c r="R94" t="str">
        <f t="shared" si="33"/>
        <v>2x</v>
      </c>
      <c r="AA94">
        <v>1</v>
      </c>
      <c r="AB94" t="str">
        <f t="shared" si="34"/>
        <v/>
      </c>
      <c r="AC94" t="str">
        <f t="shared" si="35"/>
        <v/>
      </c>
      <c r="AE94" t="str">
        <f t="shared" si="36"/>
        <v/>
      </c>
      <c r="AF94" t="str">
        <f t="shared" si="37"/>
        <v/>
      </c>
      <c r="AH94" t="str">
        <f t="shared" si="38"/>
        <v/>
      </c>
      <c r="AI94" t="str">
        <f t="shared" si="31"/>
        <v/>
      </c>
      <c r="AJ94">
        <f t="shared" si="32"/>
        <v>548864</v>
      </c>
    </row>
    <row r="95" spans="1:36">
      <c r="L95" t="s">
        <v>264</v>
      </c>
      <c r="M95" t="s">
        <v>130</v>
      </c>
      <c r="N95">
        <v>745472</v>
      </c>
      <c r="O95" t="s">
        <v>131</v>
      </c>
      <c r="P95" t="s">
        <v>132</v>
      </c>
      <c r="Q95" t="s">
        <v>111</v>
      </c>
      <c r="R95" t="str">
        <f t="shared" si="33"/>
        <v>2x</v>
      </c>
      <c r="AA95">
        <v>1</v>
      </c>
      <c r="AB95" t="str">
        <f t="shared" si="34"/>
        <v/>
      </c>
      <c r="AC95" t="str">
        <f t="shared" si="35"/>
        <v/>
      </c>
      <c r="AE95" t="str">
        <f t="shared" si="36"/>
        <v/>
      </c>
      <c r="AF95" t="str">
        <f t="shared" si="37"/>
        <v/>
      </c>
      <c r="AH95" t="str">
        <f t="shared" si="38"/>
        <v/>
      </c>
      <c r="AI95" t="str">
        <f t="shared" si="31"/>
        <v/>
      </c>
      <c r="AJ95">
        <f t="shared" si="32"/>
        <v>745472</v>
      </c>
    </row>
    <row r="96" spans="1:36">
      <c r="L96" t="s">
        <v>264</v>
      </c>
      <c r="M96" t="s">
        <v>76</v>
      </c>
      <c r="N96">
        <v>17760256</v>
      </c>
      <c r="O96" t="s">
        <v>74</v>
      </c>
      <c r="P96" t="s">
        <v>188</v>
      </c>
      <c r="Q96" t="s">
        <v>268</v>
      </c>
      <c r="R96" t="str">
        <f t="shared" si="33"/>
        <v>2x</v>
      </c>
      <c r="AA96">
        <v>1</v>
      </c>
      <c r="AB96" t="str">
        <f t="shared" si="34"/>
        <v/>
      </c>
      <c r="AC96" t="str">
        <f t="shared" si="35"/>
        <v/>
      </c>
      <c r="AE96" t="str">
        <f t="shared" si="36"/>
        <v/>
      </c>
      <c r="AF96" t="str">
        <f t="shared" si="37"/>
        <v/>
      </c>
      <c r="AH96" t="str">
        <f t="shared" si="38"/>
        <v/>
      </c>
      <c r="AI96" t="str">
        <f t="shared" si="31"/>
        <v/>
      </c>
      <c r="AJ96">
        <f t="shared" si="32"/>
        <v>17760256</v>
      </c>
    </row>
    <row r="97" spans="12:36">
      <c r="L97" t="s">
        <v>264</v>
      </c>
      <c r="M97" t="s">
        <v>261</v>
      </c>
      <c r="N97">
        <v>141541376</v>
      </c>
      <c r="O97" t="s">
        <v>276</v>
      </c>
      <c r="P97" t="s">
        <v>143</v>
      </c>
      <c r="Q97" t="s">
        <v>277</v>
      </c>
      <c r="R97" t="str">
        <f t="shared" si="33"/>
        <v>2x</v>
      </c>
      <c r="AA97">
        <v>1</v>
      </c>
      <c r="AB97" t="str">
        <f t="shared" si="34"/>
        <v/>
      </c>
      <c r="AC97" t="str">
        <f t="shared" si="35"/>
        <v/>
      </c>
      <c r="AE97" t="str">
        <f t="shared" si="36"/>
        <v/>
      </c>
      <c r="AF97" t="str">
        <f t="shared" si="37"/>
        <v/>
      </c>
      <c r="AH97" t="str">
        <f t="shared" si="38"/>
        <v/>
      </c>
      <c r="AI97" t="str">
        <f t="shared" si="31"/>
        <v/>
      </c>
      <c r="AJ97">
        <f t="shared" si="32"/>
        <v>141541376</v>
      </c>
    </row>
    <row r="98" spans="12:36">
      <c r="L98" t="s">
        <v>373</v>
      </c>
      <c r="M98" t="s">
        <v>69</v>
      </c>
      <c r="N98">
        <v>3126829056</v>
      </c>
      <c r="O98" t="s">
        <v>374</v>
      </c>
      <c r="P98" t="s">
        <v>97</v>
      </c>
      <c r="Q98" t="s">
        <v>163</v>
      </c>
      <c r="R98" t="str">
        <f t="shared" si="33"/>
        <v>5x</v>
      </c>
      <c r="S98">
        <v>1</v>
      </c>
      <c r="AB98">
        <f t="shared" ref="AB98:AB129" si="39">IF(S98=1,$N98,"")</f>
        <v>3126829056</v>
      </c>
      <c r="AC98" t="str">
        <f t="shared" ref="AC98:AC129" si="40">IF(T98=1,$N98,"")</f>
        <v/>
      </c>
      <c r="AE98" t="str">
        <f t="shared" ref="AE98:AE129" si="41">IF(V98=1,$N98,"")</f>
        <v/>
      </c>
      <c r="AF98" t="str">
        <f t="shared" ref="AF98:AF129" si="42">IF(W98=1,$N98,"")</f>
        <v/>
      </c>
      <c r="AH98" t="str">
        <f t="shared" ref="AH98:AH129" si="43">IF(Y98=1,$N98,"")</f>
        <v/>
      </c>
      <c r="AI98" t="str">
        <f t="shared" si="31"/>
        <v/>
      </c>
      <c r="AJ98" t="str">
        <f t="shared" si="32"/>
        <v/>
      </c>
    </row>
    <row r="99" spans="12:36">
      <c r="L99" t="s">
        <v>373</v>
      </c>
      <c r="M99" t="s">
        <v>73</v>
      </c>
      <c r="N99">
        <v>90570752</v>
      </c>
      <c r="O99" t="s">
        <v>375</v>
      </c>
      <c r="P99" t="s">
        <v>253</v>
      </c>
      <c r="Q99" t="s">
        <v>376</v>
      </c>
      <c r="R99" t="str">
        <f t="shared" si="33"/>
        <v>5x</v>
      </c>
      <c r="S99">
        <v>1</v>
      </c>
      <c r="T99">
        <v>1</v>
      </c>
      <c r="AB99">
        <f t="shared" si="39"/>
        <v>90570752</v>
      </c>
      <c r="AC99">
        <f t="shared" si="40"/>
        <v>90570752</v>
      </c>
      <c r="AE99" t="str">
        <f t="shared" si="41"/>
        <v/>
      </c>
      <c r="AF99" t="str">
        <f t="shared" si="42"/>
        <v/>
      </c>
      <c r="AH99" t="str">
        <f t="shared" si="43"/>
        <v/>
      </c>
      <c r="AI99" t="str">
        <f t="shared" si="31"/>
        <v/>
      </c>
      <c r="AJ99" t="str">
        <f t="shared" si="32"/>
        <v/>
      </c>
    </row>
    <row r="100" spans="12:36">
      <c r="L100" t="s">
        <v>373</v>
      </c>
      <c r="M100" t="s">
        <v>76</v>
      </c>
      <c r="N100">
        <v>360235008</v>
      </c>
      <c r="O100" t="s">
        <v>377</v>
      </c>
      <c r="P100" t="s">
        <v>378</v>
      </c>
      <c r="Q100" t="s">
        <v>379</v>
      </c>
      <c r="R100" t="str">
        <f t="shared" si="33"/>
        <v>5x</v>
      </c>
      <c r="S100">
        <v>1</v>
      </c>
      <c r="AB100">
        <f t="shared" si="39"/>
        <v>360235008</v>
      </c>
      <c r="AC100" t="str">
        <f t="shared" si="40"/>
        <v/>
      </c>
      <c r="AE100" t="str">
        <f t="shared" si="41"/>
        <v/>
      </c>
      <c r="AF100" t="str">
        <f t="shared" si="42"/>
        <v/>
      </c>
      <c r="AH100" t="str">
        <f t="shared" si="43"/>
        <v/>
      </c>
      <c r="AI100" t="str">
        <f t="shared" si="31"/>
        <v/>
      </c>
      <c r="AJ100" t="str">
        <f t="shared" si="32"/>
        <v/>
      </c>
    </row>
    <row r="101" spans="12:36">
      <c r="L101" t="s">
        <v>380</v>
      </c>
      <c r="M101" t="s">
        <v>91</v>
      </c>
      <c r="N101">
        <v>70385664</v>
      </c>
      <c r="O101" t="s">
        <v>92</v>
      </c>
      <c r="P101" t="s">
        <v>93</v>
      </c>
      <c r="Q101" t="s">
        <v>94</v>
      </c>
      <c r="R101" t="str">
        <f t="shared" si="33"/>
        <v>5x</v>
      </c>
      <c r="V101">
        <v>1</v>
      </c>
      <c r="Y101">
        <v>1</v>
      </c>
      <c r="AB101" t="str">
        <f t="shared" si="39"/>
        <v/>
      </c>
      <c r="AC101" t="str">
        <f t="shared" si="40"/>
        <v/>
      </c>
      <c r="AE101">
        <f t="shared" si="41"/>
        <v>70385664</v>
      </c>
      <c r="AF101" t="str">
        <f t="shared" si="42"/>
        <v/>
      </c>
      <c r="AH101">
        <f t="shared" si="43"/>
        <v>70385664</v>
      </c>
      <c r="AI101" t="str">
        <f t="shared" si="31"/>
        <v/>
      </c>
      <c r="AJ101" t="str">
        <f t="shared" si="32"/>
        <v/>
      </c>
    </row>
    <row r="102" spans="12:36">
      <c r="L102" t="s">
        <v>380</v>
      </c>
      <c r="M102" t="s">
        <v>95</v>
      </c>
      <c r="N102">
        <v>31948800</v>
      </c>
      <c r="O102" t="s">
        <v>96</v>
      </c>
      <c r="P102" t="s">
        <v>97</v>
      </c>
      <c r="Q102" t="s">
        <v>98</v>
      </c>
      <c r="R102" t="str">
        <f t="shared" si="33"/>
        <v>5x</v>
      </c>
      <c r="V102">
        <v>1</v>
      </c>
      <c r="Y102">
        <v>1</v>
      </c>
      <c r="AB102" t="str">
        <f t="shared" si="39"/>
        <v/>
      </c>
      <c r="AC102" t="str">
        <f t="shared" si="40"/>
        <v/>
      </c>
      <c r="AE102">
        <f t="shared" si="41"/>
        <v>31948800</v>
      </c>
      <c r="AF102" t="str">
        <f t="shared" si="42"/>
        <v/>
      </c>
      <c r="AH102">
        <f t="shared" si="43"/>
        <v>31948800</v>
      </c>
      <c r="AI102" t="str">
        <f t="shared" si="31"/>
        <v/>
      </c>
      <c r="AJ102" t="str">
        <f t="shared" si="32"/>
        <v/>
      </c>
    </row>
    <row r="103" spans="12:36">
      <c r="L103" t="s">
        <v>380</v>
      </c>
      <c r="M103" t="s">
        <v>99</v>
      </c>
      <c r="N103">
        <v>156729344</v>
      </c>
      <c r="O103" t="s">
        <v>381</v>
      </c>
      <c r="P103" t="s">
        <v>382</v>
      </c>
      <c r="Q103" t="s">
        <v>383</v>
      </c>
      <c r="R103" t="str">
        <f t="shared" si="33"/>
        <v>5x</v>
      </c>
      <c r="Y103">
        <v>1</v>
      </c>
      <c r="AB103" t="str">
        <f t="shared" si="39"/>
        <v/>
      </c>
      <c r="AC103" t="str">
        <f t="shared" si="40"/>
        <v/>
      </c>
      <c r="AE103" t="str">
        <f t="shared" si="41"/>
        <v/>
      </c>
      <c r="AF103" t="str">
        <f t="shared" si="42"/>
        <v/>
      </c>
      <c r="AH103">
        <f t="shared" si="43"/>
        <v>156729344</v>
      </c>
      <c r="AI103" t="str">
        <f t="shared" si="31"/>
        <v/>
      </c>
      <c r="AJ103" t="str">
        <f t="shared" si="32"/>
        <v/>
      </c>
    </row>
    <row r="104" spans="12:36">
      <c r="L104" t="s">
        <v>380</v>
      </c>
      <c r="M104" t="s">
        <v>103</v>
      </c>
      <c r="N104">
        <v>312451072</v>
      </c>
      <c r="O104" t="s">
        <v>384</v>
      </c>
      <c r="P104" t="s">
        <v>385</v>
      </c>
      <c r="Q104" t="s">
        <v>383</v>
      </c>
      <c r="R104" t="str">
        <f t="shared" si="33"/>
        <v>5x</v>
      </c>
      <c r="V104">
        <v>1</v>
      </c>
      <c r="Y104">
        <v>1</v>
      </c>
      <c r="AB104" t="str">
        <f t="shared" si="39"/>
        <v/>
      </c>
      <c r="AC104" t="str">
        <f t="shared" si="40"/>
        <v/>
      </c>
      <c r="AE104">
        <f t="shared" si="41"/>
        <v>312451072</v>
      </c>
      <c r="AF104" t="str">
        <f t="shared" si="42"/>
        <v/>
      </c>
      <c r="AH104">
        <f t="shared" si="43"/>
        <v>312451072</v>
      </c>
      <c r="AI104" t="str">
        <f t="shared" si="31"/>
        <v/>
      </c>
      <c r="AJ104" t="str">
        <f t="shared" si="32"/>
        <v/>
      </c>
    </row>
    <row r="105" spans="12:36">
      <c r="L105" t="s">
        <v>380</v>
      </c>
      <c r="M105" t="s">
        <v>105</v>
      </c>
      <c r="N105">
        <v>57344</v>
      </c>
      <c r="O105" t="s">
        <v>386</v>
      </c>
      <c r="P105" t="s">
        <v>111</v>
      </c>
      <c r="Q105" t="s">
        <v>107</v>
      </c>
      <c r="R105" t="str">
        <f t="shared" si="33"/>
        <v>5x</v>
      </c>
      <c r="T105">
        <v>1</v>
      </c>
      <c r="V105">
        <v>1</v>
      </c>
      <c r="Y105">
        <v>1</v>
      </c>
      <c r="AB105" t="str">
        <f t="shared" si="39"/>
        <v/>
      </c>
      <c r="AC105">
        <f t="shared" si="40"/>
        <v>57344</v>
      </c>
      <c r="AE105">
        <f t="shared" si="41"/>
        <v>57344</v>
      </c>
      <c r="AF105" t="str">
        <f t="shared" si="42"/>
        <v/>
      </c>
      <c r="AH105">
        <f t="shared" si="43"/>
        <v>57344</v>
      </c>
      <c r="AI105" t="str">
        <f t="shared" si="31"/>
        <v/>
      </c>
      <c r="AJ105" t="str">
        <f t="shared" si="32"/>
        <v/>
      </c>
    </row>
    <row r="106" spans="12:36">
      <c r="L106" t="s">
        <v>380</v>
      </c>
      <c r="M106" t="s">
        <v>108</v>
      </c>
      <c r="N106">
        <v>196608</v>
      </c>
      <c r="O106" t="s">
        <v>387</v>
      </c>
      <c r="P106" t="s">
        <v>110</v>
      </c>
      <c r="Q106" t="s">
        <v>111</v>
      </c>
      <c r="R106" t="str">
        <f t="shared" si="33"/>
        <v>5x</v>
      </c>
      <c r="T106">
        <v>1</v>
      </c>
      <c r="V106">
        <v>1</v>
      </c>
      <c r="Y106">
        <v>1</v>
      </c>
      <c r="AB106" t="str">
        <f t="shared" si="39"/>
        <v/>
      </c>
      <c r="AC106">
        <f t="shared" si="40"/>
        <v>196608</v>
      </c>
      <c r="AE106">
        <f t="shared" si="41"/>
        <v>196608</v>
      </c>
      <c r="AF106" t="str">
        <f t="shared" si="42"/>
        <v/>
      </c>
      <c r="AH106">
        <f t="shared" si="43"/>
        <v>196608</v>
      </c>
      <c r="AI106" t="str">
        <f t="shared" si="31"/>
        <v/>
      </c>
      <c r="AJ106" t="str">
        <f t="shared" si="32"/>
        <v/>
      </c>
    </row>
    <row r="107" spans="12:36">
      <c r="L107" t="s">
        <v>380</v>
      </c>
      <c r="M107" t="s">
        <v>112</v>
      </c>
      <c r="N107">
        <v>1921777664</v>
      </c>
      <c r="O107" t="s">
        <v>388</v>
      </c>
      <c r="P107" t="s">
        <v>89</v>
      </c>
      <c r="Q107" t="s">
        <v>123</v>
      </c>
      <c r="R107" t="str">
        <f t="shared" si="33"/>
        <v>5x</v>
      </c>
      <c r="T107">
        <v>1</v>
      </c>
      <c r="V107">
        <v>1</v>
      </c>
      <c r="Y107">
        <v>1</v>
      </c>
      <c r="AB107" t="str">
        <f t="shared" si="39"/>
        <v/>
      </c>
      <c r="AC107">
        <f t="shared" si="40"/>
        <v>1921777664</v>
      </c>
      <c r="AE107">
        <f t="shared" si="41"/>
        <v>1921777664</v>
      </c>
      <c r="AF107" t="str">
        <f t="shared" si="42"/>
        <v/>
      </c>
      <c r="AH107">
        <f t="shared" si="43"/>
        <v>1921777664</v>
      </c>
      <c r="AI107" t="str">
        <f t="shared" si="31"/>
        <v/>
      </c>
      <c r="AJ107" t="str">
        <f t="shared" si="32"/>
        <v/>
      </c>
    </row>
    <row r="108" spans="12:36">
      <c r="L108" t="s">
        <v>380</v>
      </c>
      <c r="M108" t="s">
        <v>116</v>
      </c>
      <c r="N108">
        <v>114401280</v>
      </c>
      <c r="O108" t="s">
        <v>389</v>
      </c>
      <c r="P108" t="s">
        <v>390</v>
      </c>
      <c r="Q108" t="s">
        <v>391</v>
      </c>
      <c r="R108" t="str">
        <f t="shared" si="33"/>
        <v>5x</v>
      </c>
      <c r="T108">
        <v>1</v>
      </c>
      <c r="V108">
        <v>1</v>
      </c>
      <c r="Y108">
        <v>1</v>
      </c>
      <c r="AB108" t="str">
        <f t="shared" si="39"/>
        <v/>
      </c>
      <c r="AC108">
        <f t="shared" si="40"/>
        <v>114401280</v>
      </c>
      <c r="AE108">
        <f t="shared" si="41"/>
        <v>114401280</v>
      </c>
      <c r="AF108" t="str">
        <f t="shared" si="42"/>
        <v/>
      </c>
      <c r="AH108">
        <f t="shared" si="43"/>
        <v>114401280</v>
      </c>
      <c r="AI108" t="str">
        <f t="shared" si="31"/>
        <v/>
      </c>
      <c r="AJ108" t="str">
        <f t="shared" si="32"/>
        <v/>
      </c>
    </row>
    <row r="109" spans="12:36">
      <c r="L109" t="s">
        <v>380</v>
      </c>
      <c r="M109" t="s">
        <v>120</v>
      </c>
      <c r="N109">
        <v>1203298304</v>
      </c>
      <c r="O109" t="s">
        <v>392</v>
      </c>
      <c r="P109" t="s">
        <v>137</v>
      </c>
      <c r="Q109" t="s">
        <v>393</v>
      </c>
      <c r="R109" t="str">
        <f t="shared" si="33"/>
        <v>5x</v>
      </c>
      <c r="T109">
        <v>1</v>
      </c>
      <c r="V109">
        <v>1</v>
      </c>
      <c r="Y109">
        <v>1</v>
      </c>
      <c r="AB109" t="str">
        <f t="shared" si="39"/>
        <v/>
      </c>
      <c r="AC109">
        <f t="shared" si="40"/>
        <v>1203298304</v>
      </c>
      <c r="AE109">
        <f t="shared" si="41"/>
        <v>1203298304</v>
      </c>
      <c r="AF109" t="str">
        <f t="shared" si="42"/>
        <v/>
      </c>
      <c r="AH109">
        <f t="shared" si="43"/>
        <v>1203298304</v>
      </c>
      <c r="AI109" t="str">
        <f t="shared" si="31"/>
        <v/>
      </c>
      <c r="AJ109" t="str">
        <f t="shared" si="32"/>
        <v/>
      </c>
    </row>
    <row r="110" spans="12:36">
      <c r="L110" t="s">
        <v>380</v>
      </c>
      <c r="M110" t="s">
        <v>73</v>
      </c>
      <c r="N110">
        <v>90537984</v>
      </c>
      <c r="O110" t="s">
        <v>375</v>
      </c>
      <c r="P110" t="s">
        <v>253</v>
      </c>
      <c r="Q110" t="s">
        <v>376</v>
      </c>
      <c r="R110" t="str">
        <f t="shared" si="33"/>
        <v>5x</v>
      </c>
      <c r="V110">
        <v>1</v>
      </c>
      <c r="Y110">
        <v>1</v>
      </c>
      <c r="AB110" t="str">
        <f t="shared" si="39"/>
        <v/>
      </c>
      <c r="AC110" t="str">
        <f t="shared" si="40"/>
        <v/>
      </c>
      <c r="AE110">
        <f t="shared" si="41"/>
        <v>90537984</v>
      </c>
      <c r="AF110" t="str">
        <f t="shared" si="42"/>
        <v/>
      </c>
      <c r="AH110">
        <f t="shared" si="43"/>
        <v>90537984</v>
      </c>
      <c r="AI110" t="str">
        <f t="shared" si="31"/>
        <v/>
      </c>
      <c r="AJ110" t="str">
        <f t="shared" si="32"/>
        <v/>
      </c>
    </row>
    <row r="111" spans="12:36">
      <c r="L111" t="s">
        <v>380</v>
      </c>
      <c r="M111" t="s">
        <v>124</v>
      </c>
      <c r="N111">
        <v>49152</v>
      </c>
      <c r="O111" t="s">
        <v>125</v>
      </c>
      <c r="P111" t="s">
        <v>291</v>
      </c>
      <c r="Q111" t="s">
        <v>111</v>
      </c>
      <c r="R111" t="str">
        <f t="shared" si="33"/>
        <v>5x</v>
      </c>
      <c r="V111">
        <v>1</v>
      </c>
      <c r="Y111">
        <v>1</v>
      </c>
      <c r="AB111" t="str">
        <f t="shared" si="39"/>
        <v/>
      </c>
      <c r="AC111" t="str">
        <f t="shared" si="40"/>
        <v/>
      </c>
      <c r="AE111">
        <f t="shared" si="41"/>
        <v>49152</v>
      </c>
      <c r="AF111" t="str">
        <f t="shared" si="42"/>
        <v/>
      </c>
      <c r="AH111">
        <f t="shared" si="43"/>
        <v>49152</v>
      </c>
      <c r="AI111" t="str">
        <f t="shared" si="31"/>
        <v/>
      </c>
      <c r="AJ111" t="str">
        <f t="shared" si="32"/>
        <v/>
      </c>
    </row>
    <row r="112" spans="12:36">
      <c r="L112" t="s">
        <v>380</v>
      </c>
      <c r="M112" t="s">
        <v>126</v>
      </c>
      <c r="N112">
        <v>71303168</v>
      </c>
      <c r="O112" t="s">
        <v>296</v>
      </c>
      <c r="P112" t="s">
        <v>394</v>
      </c>
      <c r="Q112" t="s">
        <v>395</v>
      </c>
      <c r="R112" t="str">
        <f t="shared" si="33"/>
        <v>5x</v>
      </c>
      <c r="V112">
        <v>1</v>
      </c>
      <c r="AB112" t="str">
        <f t="shared" si="39"/>
        <v/>
      </c>
      <c r="AC112" t="str">
        <f t="shared" si="40"/>
        <v/>
      </c>
      <c r="AE112">
        <f t="shared" si="41"/>
        <v>71303168</v>
      </c>
      <c r="AF112" t="str">
        <f t="shared" si="42"/>
        <v/>
      </c>
      <c r="AH112" t="str">
        <f t="shared" si="43"/>
        <v/>
      </c>
      <c r="AI112" t="str">
        <f t="shared" si="31"/>
        <v/>
      </c>
      <c r="AJ112" t="str">
        <f t="shared" si="32"/>
        <v/>
      </c>
    </row>
    <row r="113" spans="12:36">
      <c r="L113" t="s">
        <v>380</v>
      </c>
      <c r="M113" t="s">
        <v>130</v>
      </c>
      <c r="N113">
        <v>745472</v>
      </c>
      <c r="O113" t="s">
        <v>131</v>
      </c>
      <c r="P113" t="s">
        <v>132</v>
      </c>
      <c r="Q113" t="s">
        <v>111</v>
      </c>
      <c r="R113" t="str">
        <f t="shared" si="33"/>
        <v>5x</v>
      </c>
      <c r="Y113">
        <v>1</v>
      </c>
      <c r="AB113" t="str">
        <f t="shared" si="39"/>
        <v/>
      </c>
      <c r="AC113" t="str">
        <f t="shared" si="40"/>
        <v/>
      </c>
      <c r="AE113" t="str">
        <f t="shared" si="41"/>
        <v/>
      </c>
      <c r="AF113" t="str">
        <f t="shared" si="42"/>
        <v/>
      </c>
      <c r="AH113">
        <f t="shared" si="43"/>
        <v>745472</v>
      </c>
      <c r="AI113" t="str">
        <f t="shared" si="31"/>
        <v/>
      </c>
      <c r="AJ113" t="str">
        <f t="shared" si="32"/>
        <v/>
      </c>
    </row>
    <row r="114" spans="12:36">
      <c r="L114" t="s">
        <v>380</v>
      </c>
      <c r="M114" t="s">
        <v>76</v>
      </c>
      <c r="N114">
        <v>360235008</v>
      </c>
      <c r="O114" t="s">
        <v>377</v>
      </c>
      <c r="P114" t="s">
        <v>378</v>
      </c>
      <c r="Q114" t="s">
        <v>379</v>
      </c>
      <c r="R114" t="str">
        <f t="shared" si="33"/>
        <v>5x</v>
      </c>
      <c r="T114">
        <v>1</v>
      </c>
      <c r="V114">
        <v>1</v>
      </c>
      <c r="Y114">
        <v>1</v>
      </c>
      <c r="AB114" t="str">
        <f t="shared" si="39"/>
        <v/>
      </c>
      <c r="AC114">
        <f t="shared" si="40"/>
        <v>360235008</v>
      </c>
      <c r="AE114">
        <f t="shared" si="41"/>
        <v>360235008</v>
      </c>
      <c r="AF114" t="str">
        <f t="shared" si="42"/>
        <v/>
      </c>
      <c r="AH114">
        <f t="shared" si="43"/>
        <v>360235008</v>
      </c>
      <c r="AI114" t="str">
        <f t="shared" ref="AI114:AI177" si="44">IF(Z114=1,$N114,"")</f>
        <v/>
      </c>
      <c r="AJ114" t="str">
        <f t="shared" ref="AJ114:AJ177" si="45">IF(AA114=1,$N114,"")</f>
        <v/>
      </c>
    </row>
    <row r="115" spans="12:36">
      <c r="L115" t="s">
        <v>380</v>
      </c>
      <c r="M115" t="s">
        <v>133</v>
      </c>
      <c r="N115">
        <v>16384</v>
      </c>
      <c r="O115" t="s">
        <v>111</v>
      </c>
      <c r="P115" t="s">
        <v>134</v>
      </c>
      <c r="Q115" t="s">
        <v>110</v>
      </c>
      <c r="R115" t="str">
        <f t="shared" si="33"/>
        <v>5x</v>
      </c>
      <c r="T115">
        <v>1</v>
      </c>
      <c r="V115">
        <v>1</v>
      </c>
      <c r="Y115">
        <v>1</v>
      </c>
      <c r="AB115" t="str">
        <f t="shared" si="39"/>
        <v/>
      </c>
      <c r="AC115">
        <f t="shared" si="40"/>
        <v>16384</v>
      </c>
      <c r="AE115">
        <f t="shared" si="41"/>
        <v>16384</v>
      </c>
      <c r="AF115" t="str">
        <f t="shared" si="42"/>
        <v/>
      </c>
      <c r="AH115">
        <f t="shared" si="43"/>
        <v>16384</v>
      </c>
      <c r="AI115" t="str">
        <f t="shared" si="44"/>
        <v/>
      </c>
      <c r="AJ115" t="str">
        <f t="shared" si="45"/>
        <v/>
      </c>
    </row>
    <row r="116" spans="12:36">
      <c r="L116" t="s">
        <v>396</v>
      </c>
      <c r="M116" t="s">
        <v>91</v>
      </c>
      <c r="N116">
        <v>70385664</v>
      </c>
      <c r="O116" t="s">
        <v>92</v>
      </c>
      <c r="P116" t="s">
        <v>93</v>
      </c>
      <c r="Q116" t="s">
        <v>94</v>
      </c>
      <c r="R116" t="str">
        <f t="shared" si="33"/>
        <v>5x</v>
      </c>
      <c r="W116">
        <v>1</v>
      </c>
      <c r="Z116">
        <v>1</v>
      </c>
      <c r="AB116" t="str">
        <f t="shared" si="39"/>
        <v/>
      </c>
      <c r="AC116" t="str">
        <f t="shared" si="40"/>
        <v/>
      </c>
      <c r="AE116" t="str">
        <f t="shared" si="41"/>
        <v/>
      </c>
      <c r="AF116">
        <f t="shared" si="42"/>
        <v>70385664</v>
      </c>
      <c r="AH116" t="str">
        <f t="shared" si="43"/>
        <v/>
      </c>
      <c r="AI116">
        <f t="shared" si="44"/>
        <v>70385664</v>
      </c>
      <c r="AJ116" t="str">
        <f t="shared" si="45"/>
        <v/>
      </c>
    </row>
    <row r="117" spans="12:36">
      <c r="L117" t="s">
        <v>396</v>
      </c>
      <c r="M117" t="s">
        <v>95</v>
      </c>
      <c r="N117">
        <v>31948800</v>
      </c>
      <c r="O117" t="s">
        <v>96</v>
      </c>
      <c r="P117" t="s">
        <v>97</v>
      </c>
      <c r="Q117" t="s">
        <v>98</v>
      </c>
      <c r="R117" t="str">
        <f t="shared" si="33"/>
        <v>5x</v>
      </c>
      <c r="W117">
        <v>1</v>
      </c>
      <c r="Z117">
        <v>1</v>
      </c>
      <c r="AB117" t="str">
        <f t="shared" si="39"/>
        <v/>
      </c>
      <c r="AC117" t="str">
        <f t="shared" si="40"/>
        <v/>
      </c>
      <c r="AE117" t="str">
        <f t="shared" si="41"/>
        <v/>
      </c>
      <c r="AF117">
        <f t="shared" si="42"/>
        <v>31948800</v>
      </c>
      <c r="AH117" t="str">
        <f t="shared" si="43"/>
        <v/>
      </c>
      <c r="AI117">
        <f t="shared" si="44"/>
        <v>31948800</v>
      </c>
      <c r="AJ117" t="str">
        <f t="shared" si="45"/>
        <v/>
      </c>
    </row>
    <row r="118" spans="12:36">
      <c r="L118" t="s">
        <v>396</v>
      </c>
      <c r="M118" t="s">
        <v>99</v>
      </c>
      <c r="N118">
        <v>156729344</v>
      </c>
      <c r="O118" t="s">
        <v>381</v>
      </c>
      <c r="P118" t="s">
        <v>382</v>
      </c>
      <c r="Q118" t="s">
        <v>383</v>
      </c>
      <c r="R118" t="str">
        <f t="shared" si="33"/>
        <v>5x</v>
      </c>
      <c r="Z118">
        <v>1</v>
      </c>
      <c r="AB118" t="str">
        <f t="shared" si="39"/>
        <v/>
      </c>
      <c r="AC118" t="str">
        <f t="shared" si="40"/>
        <v/>
      </c>
      <c r="AE118" t="str">
        <f t="shared" si="41"/>
        <v/>
      </c>
      <c r="AF118" t="str">
        <f t="shared" si="42"/>
        <v/>
      </c>
      <c r="AH118" t="str">
        <f t="shared" si="43"/>
        <v/>
      </c>
      <c r="AI118">
        <f t="shared" si="44"/>
        <v>156729344</v>
      </c>
      <c r="AJ118" t="str">
        <f t="shared" si="45"/>
        <v/>
      </c>
    </row>
    <row r="119" spans="12:36">
      <c r="L119" t="s">
        <v>396</v>
      </c>
      <c r="M119" t="s">
        <v>103</v>
      </c>
      <c r="N119">
        <v>312451072</v>
      </c>
      <c r="O119" t="s">
        <v>384</v>
      </c>
      <c r="P119" t="s">
        <v>385</v>
      </c>
      <c r="Q119" t="s">
        <v>383</v>
      </c>
      <c r="R119" t="str">
        <f t="shared" si="33"/>
        <v>5x</v>
      </c>
      <c r="W119">
        <v>1</v>
      </c>
      <c r="Z119">
        <v>1</v>
      </c>
      <c r="AB119" t="str">
        <f t="shared" si="39"/>
        <v/>
      </c>
      <c r="AC119" t="str">
        <f t="shared" si="40"/>
        <v/>
      </c>
      <c r="AE119" t="str">
        <f t="shared" si="41"/>
        <v/>
      </c>
      <c r="AF119">
        <f t="shared" si="42"/>
        <v>312451072</v>
      </c>
      <c r="AH119" t="str">
        <f t="shared" si="43"/>
        <v/>
      </c>
      <c r="AI119">
        <f t="shared" si="44"/>
        <v>312451072</v>
      </c>
      <c r="AJ119" t="str">
        <f t="shared" si="45"/>
        <v/>
      </c>
    </row>
    <row r="120" spans="12:36">
      <c r="L120" t="s">
        <v>396</v>
      </c>
      <c r="M120" t="s">
        <v>105</v>
      </c>
      <c r="N120">
        <v>36028416</v>
      </c>
      <c r="O120" t="s">
        <v>397</v>
      </c>
      <c r="P120" t="s">
        <v>140</v>
      </c>
      <c r="Q120" t="s">
        <v>398</v>
      </c>
      <c r="R120" t="str">
        <f t="shared" si="33"/>
        <v>5x</v>
      </c>
      <c r="W120">
        <v>1</v>
      </c>
      <c r="Z120">
        <v>1</v>
      </c>
      <c r="AB120" t="str">
        <f t="shared" si="39"/>
        <v/>
      </c>
      <c r="AC120" t="str">
        <f t="shared" si="40"/>
        <v/>
      </c>
      <c r="AE120" t="str">
        <f t="shared" si="41"/>
        <v/>
      </c>
      <c r="AF120">
        <f t="shared" si="42"/>
        <v>36028416</v>
      </c>
      <c r="AH120" t="str">
        <f t="shared" si="43"/>
        <v/>
      </c>
      <c r="AI120">
        <f t="shared" si="44"/>
        <v>36028416</v>
      </c>
      <c r="AJ120" t="str">
        <f t="shared" si="45"/>
        <v/>
      </c>
    </row>
    <row r="121" spans="12:36">
      <c r="L121" t="s">
        <v>396</v>
      </c>
      <c r="M121" t="s">
        <v>108</v>
      </c>
      <c r="N121">
        <v>526032896</v>
      </c>
      <c r="O121" t="s">
        <v>399</v>
      </c>
      <c r="P121" t="s">
        <v>400</v>
      </c>
      <c r="Q121" t="s">
        <v>401</v>
      </c>
      <c r="R121" t="str">
        <f t="shared" si="33"/>
        <v>5x</v>
      </c>
      <c r="W121">
        <v>1</v>
      </c>
      <c r="Z121">
        <v>1</v>
      </c>
      <c r="AB121" t="str">
        <f t="shared" si="39"/>
        <v/>
      </c>
      <c r="AC121" t="str">
        <f t="shared" si="40"/>
        <v/>
      </c>
      <c r="AE121" t="str">
        <f t="shared" si="41"/>
        <v/>
      </c>
      <c r="AF121">
        <f t="shared" si="42"/>
        <v>526032896</v>
      </c>
      <c r="AH121" t="str">
        <f t="shared" si="43"/>
        <v/>
      </c>
      <c r="AI121">
        <f t="shared" si="44"/>
        <v>526032896</v>
      </c>
      <c r="AJ121" t="str">
        <f t="shared" si="45"/>
        <v/>
      </c>
    </row>
    <row r="122" spans="12:36">
      <c r="L122" t="s">
        <v>396</v>
      </c>
      <c r="M122" t="s">
        <v>112</v>
      </c>
      <c r="N122">
        <v>1912143872</v>
      </c>
      <c r="O122" t="s">
        <v>402</v>
      </c>
      <c r="P122" t="s">
        <v>89</v>
      </c>
      <c r="Q122" t="s">
        <v>403</v>
      </c>
      <c r="R122" t="str">
        <f t="shared" si="33"/>
        <v>5x</v>
      </c>
      <c r="W122">
        <v>1</v>
      </c>
      <c r="Z122">
        <v>1</v>
      </c>
      <c r="AB122" t="str">
        <f t="shared" si="39"/>
        <v/>
      </c>
      <c r="AC122" t="str">
        <f t="shared" si="40"/>
        <v/>
      </c>
      <c r="AE122" t="str">
        <f t="shared" si="41"/>
        <v/>
      </c>
      <c r="AF122">
        <f t="shared" si="42"/>
        <v>1912143872</v>
      </c>
      <c r="AH122" t="str">
        <f t="shared" si="43"/>
        <v/>
      </c>
      <c r="AI122">
        <f t="shared" si="44"/>
        <v>1912143872</v>
      </c>
      <c r="AJ122" t="str">
        <f t="shared" si="45"/>
        <v/>
      </c>
    </row>
    <row r="123" spans="12:36">
      <c r="L123" t="s">
        <v>396</v>
      </c>
      <c r="M123" t="s">
        <v>116</v>
      </c>
      <c r="N123">
        <v>44326912</v>
      </c>
      <c r="O123" t="s">
        <v>335</v>
      </c>
      <c r="P123" t="s">
        <v>156</v>
      </c>
      <c r="Q123" t="s">
        <v>404</v>
      </c>
      <c r="R123" t="str">
        <f t="shared" si="33"/>
        <v>5x</v>
      </c>
      <c r="W123">
        <v>1</v>
      </c>
      <c r="Z123">
        <v>1</v>
      </c>
      <c r="AB123" t="str">
        <f t="shared" si="39"/>
        <v/>
      </c>
      <c r="AC123" t="str">
        <f t="shared" si="40"/>
        <v/>
      </c>
      <c r="AE123" t="str">
        <f t="shared" si="41"/>
        <v/>
      </c>
      <c r="AF123">
        <f t="shared" si="42"/>
        <v>44326912</v>
      </c>
      <c r="AH123" t="str">
        <f t="shared" si="43"/>
        <v/>
      </c>
      <c r="AI123">
        <f t="shared" si="44"/>
        <v>44326912</v>
      </c>
      <c r="AJ123" t="str">
        <f t="shared" si="45"/>
        <v/>
      </c>
    </row>
    <row r="124" spans="12:36">
      <c r="L124" t="s">
        <v>396</v>
      </c>
      <c r="M124" t="s">
        <v>120</v>
      </c>
      <c r="N124">
        <v>677388288</v>
      </c>
      <c r="O124" t="s">
        <v>405</v>
      </c>
      <c r="P124" t="s">
        <v>406</v>
      </c>
      <c r="Q124" t="s">
        <v>407</v>
      </c>
      <c r="R124" t="str">
        <f t="shared" si="33"/>
        <v>5x</v>
      </c>
      <c r="W124">
        <v>1</v>
      </c>
      <c r="Z124">
        <v>1</v>
      </c>
      <c r="AB124" t="str">
        <f t="shared" si="39"/>
        <v/>
      </c>
      <c r="AC124" t="str">
        <f t="shared" si="40"/>
        <v/>
      </c>
      <c r="AE124" t="str">
        <f t="shared" si="41"/>
        <v/>
      </c>
      <c r="AF124">
        <f t="shared" si="42"/>
        <v>677388288</v>
      </c>
      <c r="AH124" t="str">
        <f t="shared" si="43"/>
        <v/>
      </c>
      <c r="AI124">
        <f t="shared" si="44"/>
        <v>677388288</v>
      </c>
      <c r="AJ124" t="str">
        <f t="shared" si="45"/>
        <v/>
      </c>
    </row>
    <row r="125" spans="12:36">
      <c r="L125" t="s">
        <v>396</v>
      </c>
      <c r="M125" t="s">
        <v>73</v>
      </c>
      <c r="N125">
        <v>1564672</v>
      </c>
      <c r="O125" t="s">
        <v>408</v>
      </c>
      <c r="P125" t="s">
        <v>98</v>
      </c>
      <c r="Q125" t="s">
        <v>409</v>
      </c>
      <c r="R125" t="str">
        <f t="shared" si="33"/>
        <v>5x</v>
      </c>
      <c r="W125">
        <v>1</v>
      </c>
      <c r="Z125">
        <v>1</v>
      </c>
      <c r="AB125" t="str">
        <f t="shared" si="39"/>
        <v/>
      </c>
      <c r="AC125" t="str">
        <f t="shared" si="40"/>
        <v/>
      </c>
      <c r="AE125" t="str">
        <f t="shared" si="41"/>
        <v/>
      </c>
      <c r="AF125">
        <f t="shared" si="42"/>
        <v>1564672</v>
      </c>
      <c r="AH125" t="str">
        <f t="shared" si="43"/>
        <v/>
      </c>
      <c r="AI125">
        <f t="shared" si="44"/>
        <v>1564672</v>
      </c>
      <c r="AJ125" t="str">
        <f t="shared" si="45"/>
        <v/>
      </c>
    </row>
    <row r="126" spans="12:36">
      <c r="L126" t="s">
        <v>396</v>
      </c>
      <c r="M126" t="s">
        <v>124</v>
      </c>
      <c r="N126">
        <v>77709312</v>
      </c>
      <c r="O126" t="s">
        <v>410</v>
      </c>
      <c r="P126" t="s">
        <v>411</v>
      </c>
      <c r="Q126" t="s">
        <v>398</v>
      </c>
      <c r="R126" t="str">
        <f t="shared" si="33"/>
        <v>5x</v>
      </c>
      <c r="W126">
        <v>1</v>
      </c>
      <c r="Z126">
        <v>1</v>
      </c>
      <c r="AB126" t="str">
        <f t="shared" si="39"/>
        <v/>
      </c>
      <c r="AC126" t="str">
        <f t="shared" si="40"/>
        <v/>
      </c>
      <c r="AE126" t="str">
        <f t="shared" si="41"/>
        <v/>
      </c>
      <c r="AF126">
        <f t="shared" si="42"/>
        <v>77709312</v>
      </c>
      <c r="AH126" t="str">
        <f t="shared" si="43"/>
        <v/>
      </c>
      <c r="AI126">
        <f t="shared" si="44"/>
        <v>77709312</v>
      </c>
      <c r="AJ126" t="str">
        <f t="shared" si="45"/>
        <v/>
      </c>
    </row>
    <row r="127" spans="12:36">
      <c r="L127" t="s">
        <v>396</v>
      </c>
      <c r="M127" t="s">
        <v>126</v>
      </c>
      <c r="N127">
        <v>1228800</v>
      </c>
      <c r="O127" t="s">
        <v>412</v>
      </c>
      <c r="P127" t="s">
        <v>413</v>
      </c>
      <c r="Q127" t="s">
        <v>125</v>
      </c>
      <c r="R127" t="str">
        <f t="shared" si="33"/>
        <v>5x</v>
      </c>
      <c r="AB127" t="str">
        <f t="shared" si="39"/>
        <v/>
      </c>
      <c r="AC127" t="str">
        <f t="shared" si="40"/>
        <v/>
      </c>
      <c r="AE127" t="str">
        <f t="shared" si="41"/>
        <v/>
      </c>
      <c r="AF127" t="str">
        <f t="shared" si="42"/>
        <v/>
      </c>
      <c r="AH127" t="str">
        <f t="shared" si="43"/>
        <v/>
      </c>
      <c r="AI127" t="str">
        <f t="shared" si="44"/>
        <v/>
      </c>
      <c r="AJ127" t="str">
        <f t="shared" si="45"/>
        <v/>
      </c>
    </row>
    <row r="128" spans="12:36">
      <c r="L128" t="s">
        <v>396</v>
      </c>
      <c r="M128" t="s">
        <v>198</v>
      </c>
      <c r="N128">
        <v>63922176</v>
      </c>
      <c r="O128" t="s">
        <v>260</v>
      </c>
      <c r="P128" t="s">
        <v>146</v>
      </c>
      <c r="Q128" t="s">
        <v>398</v>
      </c>
      <c r="R128" t="str">
        <f t="shared" si="33"/>
        <v>5x</v>
      </c>
      <c r="AB128" t="str">
        <f t="shared" si="39"/>
        <v/>
      </c>
      <c r="AC128" t="str">
        <f t="shared" si="40"/>
        <v/>
      </c>
      <c r="AE128" t="str">
        <f t="shared" si="41"/>
        <v/>
      </c>
      <c r="AF128" t="str">
        <f t="shared" si="42"/>
        <v/>
      </c>
      <c r="AH128" t="str">
        <f t="shared" si="43"/>
        <v/>
      </c>
      <c r="AI128" t="str">
        <f t="shared" si="44"/>
        <v/>
      </c>
      <c r="AJ128" t="str">
        <f t="shared" si="45"/>
        <v/>
      </c>
    </row>
    <row r="129" spans="1:36">
      <c r="L129" t="s">
        <v>396</v>
      </c>
      <c r="M129" t="s">
        <v>130</v>
      </c>
      <c r="N129">
        <v>745472</v>
      </c>
      <c r="O129" t="s">
        <v>131</v>
      </c>
      <c r="P129" t="s">
        <v>132</v>
      </c>
      <c r="Q129" t="s">
        <v>111</v>
      </c>
      <c r="R129" t="str">
        <f t="shared" si="33"/>
        <v>5x</v>
      </c>
      <c r="Z129">
        <v>1</v>
      </c>
      <c r="AB129" t="str">
        <f t="shared" si="39"/>
        <v/>
      </c>
      <c r="AC129" t="str">
        <f t="shared" si="40"/>
        <v/>
      </c>
      <c r="AE129" t="str">
        <f t="shared" si="41"/>
        <v/>
      </c>
      <c r="AF129" t="str">
        <f t="shared" si="42"/>
        <v/>
      </c>
      <c r="AH129" t="str">
        <f t="shared" si="43"/>
        <v/>
      </c>
      <c r="AI129">
        <f t="shared" si="44"/>
        <v>745472</v>
      </c>
      <c r="AJ129" t="str">
        <f t="shared" si="45"/>
        <v/>
      </c>
    </row>
    <row r="130" spans="1:36">
      <c r="L130" t="s">
        <v>396</v>
      </c>
      <c r="M130" t="s">
        <v>76</v>
      </c>
      <c r="N130">
        <v>366960640</v>
      </c>
      <c r="O130" t="s">
        <v>414</v>
      </c>
      <c r="P130" t="s">
        <v>378</v>
      </c>
      <c r="Q130" t="s">
        <v>88</v>
      </c>
      <c r="R130" t="str">
        <f t="shared" ref="R130:R193" si="46">IF(ISNUMBER(SEARCH("_2x", L130)), "2x", IF(ISNUMBER(SEARCH("_5x", L130)), "5x", IF(ISNUMBER(SEARCH("_10x", L130)), "10x", "1x")))</f>
        <v>5x</v>
      </c>
      <c r="W130">
        <v>1</v>
      </c>
      <c r="Z130">
        <v>1</v>
      </c>
      <c r="AB130" t="str">
        <f t="shared" ref="AB130:AB161" si="47">IF(S130=1,$N130,"")</f>
        <v/>
      </c>
      <c r="AC130" t="str">
        <f t="shared" ref="AC130:AC161" si="48">IF(T130=1,$N130,"")</f>
        <v/>
      </c>
      <c r="AE130" t="str">
        <f t="shared" ref="AE130:AE161" si="49">IF(V130=1,$N130,"")</f>
        <v/>
      </c>
      <c r="AF130">
        <f t="shared" ref="AF130:AF161" si="50">IF(W130=1,$N130,"")</f>
        <v>366960640</v>
      </c>
      <c r="AH130" t="str">
        <f t="shared" ref="AH130:AH161" si="51">IF(Y130=1,$N130,"")</f>
        <v/>
      </c>
      <c r="AI130">
        <f t="shared" si="44"/>
        <v>366960640</v>
      </c>
      <c r="AJ130" t="str">
        <f t="shared" si="45"/>
        <v/>
      </c>
    </row>
    <row r="131" spans="1:36">
      <c r="L131" t="s">
        <v>415</v>
      </c>
      <c r="M131" t="s">
        <v>240</v>
      </c>
      <c r="N131">
        <v>16384</v>
      </c>
      <c r="O131" t="s">
        <v>111</v>
      </c>
      <c r="P131" t="s">
        <v>134</v>
      </c>
      <c r="Q131" t="s">
        <v>110</v>
      </c>
      <c r="R131" t="str">
        <f t="shared" si="46"/>
        <v>5x</v>
      </c>
      <c r="AA131">
        <v>1</v>
      </c>
      <c r="AB131" t="str">
        <f t="shared" si="47"/>
        <v/>
      </c>
      <c r="AC131" t="str">
        <f t="shared" si="48"/>
        <v/>
      </c>
      <c r="AE131" t="str">
        <f t="shared" si="49"/>
        <v/>
      </c>
      <c r="AF131" t="str">
        <f t="shared" si="50"/>
        <v/>
      </c>
      <c r="AH131" t="str">
        <f t="shared" si="51"/>
        <v/>
      </c>
      <c r="AI131" t="str">
        <f t="shared" si="44"/>
        <v/>
      </c>
      <c r="AJ131">
        <f t="shared" si="45"/>
        <v>16384</v>
      </c>
    </row>
    <row r="132" spans="1:36">
      <c r="L132" t="s">
        <v>415</v>
      </c>
      <c r="M132" t="s">
        <v>241</v>
      </c>
      <c r="N132">
        <v>70574080</v>
      </c>
      <c r="O132" t="s">
        <v>92</v>
      </c>
      <c r="P132" t="s">
        <v>242</v>
      </c>
      <c r="Q132" t="s">
        <v>243</v>
      </c>
      <c r="R132" t="str">
        <f t="shared" si="46"/>
        <v>5x</v>
      </c>
      <c r="AA132">
        <v>1</v>
      </c>
      <c r="AB132" t="str">
        <f t="shared" si="47"/>
        <v/>
      </c>
      <c r="AC132" t="str">
        <f t="shared" si="48"/>
        <v/>
      </c>
      <c r="AE132" t="str">
        <f t="shared" si="49"/>
        <v/>
      </c>
      <c r="AF132" t="str">
        <f t="shared" si="50"/>
        <v/>
      </c>
      <c r="AH132" t="str">
        <f t="shared" si="51"/>
        <v/>
      </c>
      <c r="AI132" t="str">
        <f t="shared" si="44"/>
        <v/>
      </c>
      <c r="AJ132">
        <f t="shared" si="45"/>
        <v>70574080</v>
      </c>
    </row>
    <row r="133" spans="1:36">
      <c r="L133" t="s">
        <v>415</v>
      </c>
      <c r="M133" t="s">
        <v>244</v>
      </c>
      <c r="N133">
        <v>23977984</v>
      </c>
      <c r="O133" t="s">
        <v>245</v>
      </c>
      <c r="P133" t="s">
        <v>122</v>
      </c>
      <c r="Q133" t="s">
        <v>246</v>
      </c>
      <c r="R133" t="str">
        <f t="shared" si="46"/>
        <v>5x</v>
      </c>
      <c r="AA133">
        <v>1</v>
      </c>
      <c r="AB133" t="str">
        <f t="shared" si="47"/>
        <v/>
      </c>
      <c r="AC133" t="str">
        <f t="shared" si="48"/>
        <v/>
      </c>
      <c r="AE133" t="str">
        <f t="shared" si="49"/>
        <v/>
      </c>
      <c r="AF133" t="str">
        <f t="shared" si="50"/>
        <v/>
      </c>
      <c r="AH133" t="str">
        <f t="shared" si="51"/>
        <v/>
      </c>
      <c r="AI133" t="str">
        <f t="shared" si="44"/>
        <v/>
      </c>
      <c r="AJ133">
        <f t="shared" si="45"/>
        <v>23977984</v>
      </c>
    </row>
    <row r="134" spans="1:36">
      <c r="L134" t="s">
        <v>415</v>
      </c>
      <c r="M134" t="s">
        <v>99</v>
      </c>
      <c r="N134">
        <v>156729344</v>
      </c>
      <c r="O134" t="s">
        <v>381</v>
      </c>
      <c r="P134" t="s">
        <v>382</v>
      </c>
      <c r="Q134" t="s">
        <v>383</v>
      </c>
      <c r="R134" t="str">
        <f t="shared" si="46"/>
        <v>5x</v>
      </c>
      <c r="AA134">
        <v>1</v>
      </c>
      <c r="AB134" t="str">
        <f t="shared" si="47"/>
        <v/>
      </c>
      <c r="AC134" t="str">
        <f t="shared" si="48"/>
        <v/>
      </c>
      <c r="AE134" t="str">
        <f t="shared" si="49"/>
        <v/>
      </c>
      <c r="AF134" t="str">
        <f t="shared" si="50"/>
        <v/>
      </c>
      <c r="AH134" t="str">
        <f t="shared" si="51"/>
        <v/>
      </c>
      <c r="AI134" t="str">
        <f t="shared" si="44"/>
        <v/>
      </c>
      <c r="AJ134">
        <f t="shared" si="45"/>
        <v>156729344</v>
      </c>
    </row>
    <row r="135" spans="1:36">
      <c r="L135" t="s">
        <v>415</v>
      </c>
      <c r="M135" t="s">
        <v>103</v>
      </c>
      <c r="N135">
        <v>312451072</v>
      </c>
      <c r="O135" t="s">
        <v>384</v>
      </c>
      <c r="P135" t="s">
        <v>385</v>
      </c>
      <c r="Q135" t="s">
        <v>383</v>
      </c>
      <c r="R135" t="str">
        <f t="shared" si="46"/>
        <v>5x</v>
      </c>
      <c r="AA135">
        <v>1</v>
      </c>
      <c r="AB135" t="str">
        <f t="shared" si="47"/>
        <v/>
      </c>
      <c r="AC135" t="str">
        <f t="shared" si="48"/>
        <v/>
      </c>
      <c r="AE135" t="str">
        <f t="shared" si="49"/>
        <v/>
      </c>
      <c r="AF135" t="str">
        <f t="shared" si="50"/>
        <v/>
      </c>
      <c r="AH135" t="str">
        <f t="shared" si="51"/>
        <v/>
      </c>
      <c r="AI135" t="str">
        <f t="shared" si="44"/>
        <v/>
      </c>
      <c r="AJ135">
        <f t="shared" si="45"/>
        <v>312451072</v>
      </c>
    </row>
    <row r="136" spans="1:36">
      <c r="L136" t="s">
        <v>415</v>
      </c>
      <c r="M136" t="s">
        <v>105</v>
      </c>
      <c r="N136">
        <v>96960512</v>
      </c>
      <c r="O136" t="s">
        <v>416</v>
      </c>
      <c r="P136" t="s">
        <v>417</v>
      </c>
      <c r="Q136" t="s">
        <v>418</v>
      </c>
      <c r="R136" t="str">
        <f t="shared" si="46"/>
        <v>5x</v>
      </c>
      <c r="AA136">
        <v>1</v>
      </c>
      <c r="AB136" t="str">
        <f t="shared" si="47"/>
        <v/>
      </c>
      <c r="AC136" t="str">
        <f t="shared" si="48"/>
        <v/>
      </c>
      <c r="AE136" t="str">
        <f t="shared" si="49"/>
        <v/>
      </c>
      <c r="AF136" t="str">
        <f t="shared" si="50"/>
        <v/>
      </c>
      <c r="AH136" t="str">
        <f t="shared" si="51"/>
        <v/>
      </c>
      <c r="AI136" t="str">
        <f t="shared" si="44"/>
        <v/>
      </c>
      <c r="AJ136">
        <f t="shared" si="45"/>
        <v>96960512</v>
      </c>
    </row>
    <row r="137" spans="1:36" ht="14.15" customHeight="1">
      <c r="A137"/>
      <c r="B137"/>
      <c r="C137"/>
      <c r="D137"/>
      <c r="E137"/>
      <c r="F137"/>
      <c r="G137"/>
      <c r="H137"/>
      <c r="I137"/>
      <c r="J137"/>
      <c r="L137" t="s">
        <v>415</v>
      </c>
      <c r="M137" t="s">
        <v>108</v>
      </c>
      <c r="N137">
        <v>1276510208</v>
      </c>
      <c r="O137" t="s">
        <v>419</v>
      </c>
      <c r="P137" t="s">
        <v>188</v>
      </c>
      <c r="Q137" t="s">
        <v>418</v>
      </c>
      <c r="R137" t="str">
        <f t="shared" si="46"/>
        <v>5x</v>
      </c>
      <c r="AA137">
        <v>1</v>
      </c>
      <c r="AB137" t="str">
        <f t="shared" si="47"/>
        <v/>
      </c>
      <c r="AC137" t="str">
        <f t="shared" si="48"/>
        <v/>
      </c>
      <c r="AE137" t="str">
        <f t="shared" si="49"/>
        <v/>
      </c>
      <c r="AF137" t="str">
        <f t="shared" si="50"/>
        <v/>
      </c>
      <c r="AH137" t="str">
        <f t="shared" si="51"/>
        <v/>
      </c>
      <c r="AI137" t="str">
        <f t="shared" si="44"/>
        <v/>
      </c>
      <c r="AJ137">
        <f t="shared" si="45"/>
        <v>1276510208</v>
      </c>
    </row>
    <row r="138" spans="1:36" ht="14.15" customHeight="1">
      <c r="A138"/>
      <c r="B138"/>
      <c r="C138"/>
      <c r="D138"/>
      <c r="E138"/>
      <c r="F138"/>
      <c r="G138"/>
      <c r="H138"/>
      <c r="I138"/>
      <c r="J138"/>
      <c r="L138" t="s">
        <v>415</v>
      </c>
      <c r="M138" t="s">
        <v>112</v>
      </c>
      <c r="N138">
        <v>1174028288</v>
      </c>
      <c r="O138" t="s">
        <v>420</v>
      </c>
      <c r="P138" t="s">
        <v>137</v>
      </c>
      <c r="Q138" t="s">
        <v>421</v>
      </c>
      <c r="R138" t="str">
        <f t="shared" si="46"/>
        <v>5x</v>
      </c>
      <c r="AA138">
        <v>1</v>
      </c>
      <c r="AB138" t="str">
        <f t="shared" si="47"/>
        <v/>
      </c>
      <c r="AC138" t="str">
        <f t="shared" si="48"/>
        <v/>
      </c>
      <c r="AE138" t="str">
        <f t="shared" si="49"/>
        <v/>
      </c>
      <c r="AF138" t="str">
        <f t="shared" si="50"/>
        <v/>
      </c>
      <c r="AH138" t="str">
        <f t="shared" si="51"/>
        <v/>
      </c>
      <c r="AI138" t="str">
        <f t="shared" si="44"/>
        <v/>
      </c>
      <c r="AJ138">
        <f t="shared" si="45"/>
        <v>1174028288</v>
      </c>
    </row>
    <row r="139" spans="1:36" ht="14.15" customHeight="1">
      <c r="A139"/>
      <c r="B139"/>
      <c r="C139"/>
      <c r="D139"/>
      <c r="E139"/>
      <c r="F139"/>
      <c r="G139"/>
      <c r="H139"/>
      <c r="I139"/>
      <c r="J139"/>
      <c r="L139" t="s">
        <v>415</v>
      </c>
      <c r="M139" t="s">
        <v>116</v>
      </c>
      <c r="N139">
        <v>45809664</v>
      </c>
      <c r="O139" t="s">
        <v>155</v>
      </c>
      <c r="P139" t="s">
        <v>339</v>
      </c>
      <c r="Q139" t="s">
        <v>422</v>
      </c>
      <c r="R139" t="str">
        <f t="shared" si="46"/>
        <v>5x</v>
      </c>
      <c r="AA139">
        <v>1</v>
      </c>
      <c r="AB139" t="str">
        <f t="shared" si="47"/>
        <v/>
      </c>
      <c r="AC139" t="str">
        <f t="shared" si="48"/>
        <v/>
      </c>
      <c r="AE139" t="str">
        <f t="shared" si="49"/>
        <v/>
      </c>
      <c r="AF139" t="str">
        <f t="shared" si="50"/>
        <v/>
      </c>
      <c r="AH139" t="str">
        <f t="shared" si="51"/>
        <v/>
      </c>
      <c r="AI139" t="str">
        <f t="shared" si="44"/>
        <v/>
      </c>
      <c r="AJ139">
        <f t="shared" si="45"/>
        <v>45809664</v>
      </c>
    </row>
    <row r="140" spans="1:36" ht="14.15" customHeight="1">
      <c r="A140"/>
      <c r="B140"/>
      <c r="C140"/>
      <c r="D140"/>
      <c r="E140"/>
      <c r="F140"/>
      <c r="G140"/>
      <c r="H140"/>
      <c r="I140"/>
      <c r="J140"/>
      <c r="L140" t="s">
        <v>415</v>
      </c>
      <c r="M140" t="s">
        <v>120</v>
      </c>
      <c r="N140">
        <v>666370048</v>
      </c>
      <c r="O140" t="s">
        <v>423</v>
      </c>
      <c r="P140" t="s">
        <v>424</v>
      </c>
      <c r="Q140" t="s">
        <v>422</v>
      </c>
      <c r="R140" t="str">
        <f t="shared" si="46"/>
        <v>5x</v>
      </c>
      <c r="AA140">
        <v>1</v>
      </c>
      <c r="AB140" t="str">
        <f t="shared" si="47"/>
        <v/>
      </c>
      <c r="AC140" t="str">
        <f t="shared" si="48"/>
        <v/>
      </c>
      <c r="AE140" t="str">
        <f t="shared" si="49"/>
        <v/>
      </c>
      <c r="AF140" t="str">
        <f t="shared" si="50"/>
        <v/>
      </c>
      <c r="AH140" t="str">
        <f t="shared" si="51"/>
        <v/>
      </c>
      <c r="AI140" t="str">
        <f t="shared" si="44"/>
        <v/>
      </c>
      <c r="AJ140">
        <f t="shared" si="45"/>
        <v>666370048</v>
      </c>
    </row>
    <row r="141" spans="1:36" ht="14.15" customHeight="1">
      <c r="A141"/>
      <c r="B141"/>
      <c r="C141"/>
      <c r="D141"/>
      <c r="E141"/>
      <c r="F141"/>
      <c r="G141"/>
      <c r="H141"/>
      <c r="I141"/>
      <c r="J141"/>
      <c r="L141" t="s">
        <v>415</v>
      </c>
      <c r="M141" t="s">
        <v>73</v>
      </c>
      <c r="N141">
        <v>180224</v>
      </c>
      <c r="O141" t="s">
        <v>425</v>
      </c>
      <c r="P141" t="s">
        <v>426</v>
      </c>
      <c r="Q141" t="s">
        <v>125</v>
      </c>
      <c r="R141" t="str">
        <f t="shared" si="46"/>
        <v>5x</v>
      </c>
      <c r="AA141">
        <v>1</v>
      </c>
      <c r="AB141" t="str">
        <f t="shared" si="47"/>
        <v/>
      </c>
      <c r="AC141" t="str">
        <f t="shared" si="48"/>
        <v/>
      </c>
      <c r="AE141" t="str">
        <f t="shared" si="49"/>
        <v/>
      </c>
      <c r="AF141" t="str">
        <f t="shared" si="50"/>
        <v/>
      </c>
      <c r="AH141" t="str">
        <f t="shared" si="51"/>
        <v/>
      </c>
      <c r="AI141" t="str">
        <f t="shared" si="44"/>
        <v/>
      </c>
      <c r="AJ141">
        <f t="shared" si="45"/>
        <v>180224</v>
      </c>
    </row>
    <row r="142" spans="1:36" ht="14.15" customHeight="1">
      <c r="A142"/>
      <c r="B142"/>
      <c r="C142"/>
      <c r="D142"/>
      <c r="E142"/>
      <c r="F142"/>
      <c r="G142"/>
      <c r="H142"/>
      <c r="I142"/>
      <c r="J142"/>
      <c r="L142" t="s">
        <v>415</v>
      </c>
      <c r="M142" t="s">
        <v>258</v>
      </c>
      <c r="N142">
        <v>1359872</v>
      </c>
      <c r="O142" t="s">
        <v>427</v>
      </c>
      <c r="P142" t="s">
        <v>428</v>
      </c>
      <c r="Q142" t="s">
        <v>125</v>
      </c>
      <c r="R142" t="str">
        <f t="shared" si="46"/>
        <v>5x</v>
      </c>
      <c r="AA142">
        <v>1</v>
      </c>
      <c r="AB142" t="str">
        <f t="shared" si="47"/>
        <v/>
      </c>
      <c r="AC142" t="str">
        <f t="shared" si="48"/>
        <v/>
      </c>
      <c r="AE142" t="str">
        <f t="shared" si="49"/>
        <v/>
      </c>
      <c r="AF142" t="str">
        <f t="shared" si="50"/>
        <v/>
      </c>
      <c r="AH142" t="str">
        <f t="shared" si="51"/>
        <v/>
      </c>
      <c r="AI142" t="str">
        <f t="shared" si="44"/>
        <v/>
      </c>
      <c r="AJ142">
        <f t="shared" si="45"/>
        <v>1359872</v>
      </c>
    </row>
    <row r="143" spans="1:36" ht="14.15" customHeight="1">
      <c r="A143"/>
      <c r="B143"/>
      <c r="C143"/>
      <c r="D143"/>
      <c r="E143"/>
      <c r="F143"/>
      <c r="G143"/>
      <c r="H143"/>
      <c r="I143"/>
      <c r="J143"/>
      <c r="L143" t="s">
        <v>415</v>
      </c>
      <c r="M143" t="s">
        <v>130</v>
      </c>
      <c r="N143">
        <v>745472</v>
      </c>
      <c r="O143" t="s">
        <v>131</v>
      </c>
      <c r="P143" t="s">
        <v>132</v>
      </c>
      <c r="Q143" t="s">
        <v>111</v>
      </c>
      <c r="R143" t="str">
        <f t="shared" si="46"/>
        <v>5x</v>
      </c>
      <c r="AA143">
        <v>1</v>
      </c>
      <c r="AB143" t="str">
        <f t="shared" si="47"/>
        <v/>
      </c>
      <c r="AC143" t="str">
        <f t="shared" si="48"/>
        <v/>
      </c>
      <c r="AE143" t="str">
        <f t="shared" si="49"/>
        <v/>
      </c>
      <c r="AF143" t="str">
        <f t="shared" si="50"/>
        <v/>
      </c>
      <c r="AH143" t="str">
        <f t="shared" si="51"/>
        <v/>
      </c>
      <c r="AI143" t="str">
        <f t="shared" si="44"/>
        <v/>
      </c>
      <c r="AJ143">
        <f t="shared" si="45"/>
        <v>745472</v>
      </c>
    </row>
    <row r="144" spans="1:36" ht="14.15" customHeight="1">
      <c r="A144"/>
      <c r="B144"/>
      <c r="C144"/>
      <c r="D144"/>
      <c r="E144"/>
      <c r="F144"/>
      <c r="G144"/>
      <c r="H144"/>
      <c r="I144"/>
      <c r="J144"/>
      <c r="L144" t="s">
        <v>415</v>
      </c>
      <c r="M144" t="s">
        <v>76</v>
      </c>
      <c r="N144">
        <v>44023808</v>
      </c>
      <c r="O144" t="s">
        <v>335</v>
      </c>
      <c r="P144" t="s">
        <v>96</v>
      </c>
      <c r="Q144" t="s">
        <v>188</v>
      </c>
      <c r="R144" t="str">
        <f t="shared" si="46"/>
        <v>5x</v>
      </c>
      <c r="AA144">
        <v>1</v>
      </c>
      <c r="AB144" t="str">
        <f t="shared" si="47"/>
        <v/>
      </c>
      <c r="AC144" t="str">
        <f t="shared" si="48"/>
        <v/>
      </c>
      <c r="AE144" t="str">
        <f t="shared" si="49"/>
        <v/>
      </c>
      <c r="AF144" t="str">
        <f t="shared" si="50"/>
        <v/>
      </c>
      <c r="AH144" t="str">
        <f t="shared" si="51"/>
        <v/>
      </c>
      <c r="AI144" t="str">
        <f t="shared" si="44"/>
        <v/>
      </c>
      <c r="AJ144">
        <f t="shared" si="45"/>
        <v>44023808</v>
      </c>
    </row>
    <row r="145" spans="1:36" ht="14.15" customHeight="1">
      <c r="A145"/>
      <c r="B145"/>
      <c r="C145"/>
      <c r="D145"/>
      <c r="E145"/>
      <c r="F145"/>
      <c r="G145"/>
      <c r="H145"/>
      <c r="I145"/>
      <c r="J145"/>
      <c r="L145" t="s">
        <v>415</v>
      </c>
      <c r="M145" t="s">
        <v>261</v>
      </c>
      <c r="N145">
        <v>353714176</v>
      </c>
      <c r="O145" t="s">
        <v>429</v>
      </c>
      <c r="P145" t="s">
        <v>430</v>
      </c>
      <c r="Q145" t="s">
        <v>431</v>
      </c>
      <c r="R145" t="str">
        <f t="shared" si="46"/>
        <v>5x</v>
      </c>
      <c r="AA145">
        <v>1</v>
      </c>
      <c r="AB145" t="str">
        <f t="shared" si="47"/>
        <v/>
      </c>
      <c r="AC145" t="str">
        <f t="shared" si="48"/>
        <v/>
      </c>
      <c r="AE145" t="str">
        <f t="shared" si="49"/>
        <v/>
      </c>
      <c r="AF145" t="str">
        <f t="shared" si="50"/>
        <v/>
      </c>
      <c r="AH145" t="str">
        <f t="shared" si="51"/>
        <v/>
      </c>
      <c r="AI145" t="str">
        <f t="shared" si="44"/>
        <v/>
      </c>
      <c r="AJ145">
        <f t="shared" si="45"/>
        <v>353714176</v>
      </c>
    </row>
    <row r="146" spans="1:36" ht="14.15" customHeight="1">
      <c r="A146"/>
      <c r="B146"/>
      <c r="C146"/>
      <c r="D146"/>
      <c r="E146"/>
      <c r="F146"/>
      <c r="G146"/>
      <c r="H146"/>
      <c r="I146"/>
      <c r="J146"/>
      <c r="L146" t="s">
        <v>80</v>
      </c>
      <c r="M146" t="s">
        <v>69</v>
      </c>
      <c r="N146">
        <v>6253584384</v>
      </c>
      <c r="O146" t="s">
        <v>81</v>
      </c>
      <c r="P146" t="s">
        <v>82</v>
      </c>
      <c r="Q146" t="s">
        <v>83</v>
      </c>
      <c r="R146" t="str">
        <f t="shared" si="46"/>
        <v>10x</v>
      </c>
      <c r="S146">
        <v>1</v>
      </c>
      <c r="AB146">
        <f t="shared" si="47"/>
        <v>6253584384</v>
      </c>
      <c r="AC146" t="str">
        <f t="shared" si="48"/>
        <v/>
      </c>
      <c r="AE146" t="str">
        <f t="shared" si="49"/>
        <v/>
      </c>
      <c r="AF146" t="str">
        <f t="shared" si="50"/>
        <v/>
      </c>
      <c r="AH146" t="str">
        <f t="shared" si="51"/>
        <v/>
      </c>
      <c r="AI146" t="str">
        <f t="shared" si="44"/>
        <v/>
      </c>
      <c r="AJ146" t="str">
        <f t="shared" si="45"/>
        <v/>
      </c>
    </row>
    <row r="147" spans="1:36" ht="14.15" customHeight="1">
      <c r="A147"/>
      <c r="B147"/>
      <c r="C147"/>
      <c r="D147"/>
      <c r="E147"/>
      <c r="F147"/>
      <c r="G147"/>
      <c r="H147"/>
      <c r="I147"/>
      <c r="J147"/>
      <c r="L147" t="s">
        <v>80</v>
      </c>
      <c r="M147" t="s">
        <v>73</v>
      </c>
      <c r="N147">
        <v>181059584</v>
      </c>
      <c r="O147" t="s">
        <v>84</v>
      </c>
      <c r="P147" t="s">
        <v>85</v>
      </c>
      <c r="Q147" t="s">
        <v>86</v>
      </c>
      <c r="R147" t="str">
        <f t="shared" si="46"/>
        <v>10x</v>
      </c>
      <c r="S147">
        <v>1</v>
      </c>
      <c r="T147">
        <v>1</v>
      </c>
      <c r="AB147">
        <f t="shared" si="47"/>
        <v>181059584</v>
      </c>
      <c r="AC147">
        <f t="shared" si="48"/>
        <v>181059584</v>
      </c>
      <c r="AE147" t="str">
        <f t="shared" si="49"/>
        <v/>
      </c>
      <c r="AF147" t="str">
        <f t="shared" si="50"/>
        <v/>
      </c>
      <c r="AH147" t="str">
        <f t="shared" si="51"/>
        <v/>
      </c>
      <c r="AI147" t="str">
        <f t="shared" si="44"/>
        <v/>
      </c>
      <c r="AJ147" t="str">
        <f t="shared" si="45"/>
        <v/>
      </c>
    </row>
    <row r="148" spans="1:36">
      <c r="L148" t="s">
        <v>80</v>
      </c>
      <c r="M148" t="s">
        <v>76</v>
      </c>
      <c r="N148">
        <v>720314368</v>
      </c>
      <c r="O148" t="s">
        <v>87</v>
      </c>
      <c r="P148" t="s">
        <v>88</v>
      </c>
      <c r="Q148" t="s">
        <v>89</v>
      </c>
      <c r="R148" t="str">
        <f t="shared" si="46"/>
        <v>10x</v>
      </c>
      <c r="S148">
        <v>1</v>
      </c>
      <c r="AB148">
        <f t="shared" si="47"/>
        <v>720314368</v>
      </c>
      <c r="AC148" t="str">
        <f t="shared" si="48"/>
        <v/>
      </c>
      <c r="AE148" t="str">
        <f t="shared" si="49"/>
        <v/>
      </c>
      <c r="AF148" t="str">
        <f t="shared" si="50"/>
        <v/>
      </c>
      <c r="AH148" t="str">
        <f t="shared" si="51"/>
        <v/>
      </c>
      <c r="AI148" t="str">
        <f t="shared" si="44"/>
        <v/>
      </c>
      <c r="AJ148" t="str">
        <f t="shared" si="45"/>
        <v/>
      </c>
    </row>
    <row r="149" spans="1:36">
      <c r="L149" t="s">
        <v>90</v>
      </c>
      <c r="M149" t="s">
        <v>91</v>
      </c>
      <c r="N149">
        <v>70385664</v>
      </c>
      <c r="O149" t="s">
        <v>92</v>
      </c>
      <c r="P149" t="s">
        <v>93</v>
      </c>
      <c r="Q149" t="s">
        <v>94</v>
      </c>
      <c r="R149" t="str">
        <f t="shared" si="46"/>
        <v>10x</v>
      </c>
      <c r="V149">
        <v>1</v>
      </c>
      <c r="Y149">
        <v>1</v>
      </c>
      <c r="AB149" t="str">
        <f t="shared" si="47"/>
        <v/>
      </c>
      <c r="AC149" t="str">
        <f t="shared" si="48"/>
        <v/>
      </c>
      <c r="AE149">
        <f t="shared" si="49"/>
        <v>70385664</v>
      </c>
      <c r="AF149" t="str">
        <f t="shared" si="50"/>
        <v/>
      </c>
      <c r="AH149">
        <f t="shared" si="51"/>
        <v>70385664</v>
      </c>
      <c r="AI149" t="str">
        <f t="shared" si="44"/>
        <v/>
      </c>
      <c r="AJ149" t="str">
        <f t="shared" si="45"/>
        <v/>
      </c>
    </row>
    <row r="150" spans="1:36">
      <c r="L150" t="s">
        <v>90</v>
      </c>
      <c r="M150" t="s">
        <v>95</v>
      </c>
      <c r="N150">
        <v>31948800</v>
      </c>
      <c r="O150" t="s">
        <v>96</v>
      </c>
      <c r="P150" t="s">
        <v>97</v>
      </c>
      <c r="Q150" t="s">
        <v>98</v>
      </c>
      <c r="R150" t="str">
        <f t="shared" si="46"/>
        <v>10x</v>
      </c>
      <c r="V150">
        <v>1</v>
      </c>
      <c r="Y150">
        <v>1</v>
      </c>
      <c r="AB150" t="str">
        <f t="shared" si="47"/>
        <v/>
      </c>
      <c r="AC150" t="str">
        <f t="shared" si="48"/>
        <v/>
      </c>
      <c r="AE150">
        <f t="shared" si="49"/>
        <v>31948800</v>
      </c>
      <c r="AF150" t="str">
        <f t="shared" si="50"/>
        <v/>
      </c>
      <c r="AH150">
        <f t="shared" si="51"/>
        <v>31948800</v>
      </c>
      <c r="AI150" t="str">
        <f t="shared" si="44"/>
        <v/>
      </c>
      <c r="AJ150" t="str">
        <f t="shared" si="45"/>
        <v/>
      </c>
    </row>
    <row r="151" spans="1:36">
      <c r="L151" t="s">
        <v>90</v>
      </c>
      <c r="M151" t="s">
        <v>99</v>
      </c>
      <c r="N151">
        <v>315015168</v>
      </c>
      <c r="O151" t="s">
        <v>100</v>
      </c>
      <c r="P151" t="s">
        <v>101</v>
      </c>
      <c r="Q151" t="s">
        <v>102</v>
      </c>
      <c r="R151" t="str">
        <f t="shared" si="46"/>
        <v>10x</v>
      </c>
      <c r="Y151">
        <v>1</v>
      </c>
      <c r="AB151" t="str">
        <f t="shared" si="47"/>
        <v/>
      </c>
      <c r="AC151" t="str">
        <f t="shared" si="48"/>
        <v/>
      </c>
      <c r="AE151" t="str">
        <f t="shared" si="49"/>
        <v/>
      </c>
      <c r="AF151" t="str">
        <f t="shared" si="50"/>
        <v/>
      </c>
      <c r="AH151">
        <f t="shared" si="51"/>
        <v>315015168</v>
      </c>
      <c r="AI151" t="str">
        <f t="shared" si="44"/>
        <v/>
      </c>
      <c r="AJ151" t="str">
        <f t="shared" si="45"/>
        <v/>
      </c>
    </row>
    <row r="152" spans="1:36">
      <c r="L152" t="s">
        <v>90</v>
      </c>
      <c r="M152" t="s">
        <v>103</v>
      </c>
      <c r="N152">
        <v>624787456</v>
      </c>
      <c r="O152" t="s">
        <v>70</v>
      </c>
      <c r="P152" t="s">
        <v>104</v>
      </c>
      <c r="Q152" t="s">
        <v>102</v>
      </c>
      <c r="R152" t="str">
        <f t="shared" si="46"/>
        <v>10x</v>
      </c>
      <c r="V152">
        <v>1</v>
      </c>
      <c r="Y152">
        <v>1</v>
      </c>
      <c r="AB152" t="str">
        <f t="shared" si="47"/>
        <v/>
      </c>
      <c r="AC152" t="str">
        <f t="shared" si="48"/>
        <v/>
      </c>
      <c r="AE152">
        <f t="shared" si="49"/>
        <v>624787456</v>
      </c>
      <c r="AF152" t="str">
        <f t="shared" si="50"/>
        <v/>
      </c>
      <c r="AH152">
        <f t="shared" si="51"/>
        <v>624787456</v>
      </c>
      <c r="AI152" t="str">
        <f t="shared" si="44"/>
        <v/>
      </c>
      <c r="AJ152" t="str">
        <f t="shared" si="45"/>
        <v/>
      </c>
    </row>
    <row r="153" spans="1:36">
      <c r="L153" t="s">
        <v>90</v>
      </c>
      <c r="M153" t="s">
        <v>105</v>
      </c>
      <c r="N153">
        <v>73728</v>
      </c>
      <c r="O153" t="s">
        <v>106</v>
      </c>
      <c r="P153" t="s">
        <v>107</v>
      </c>
      <c r="Q153" t="s">
        <v>107</v>
      </c>
      <c r="R153" t="str">
        <f t="shared" si="46"/>
        <v>10x</v>
      </c>
      <c r="T153">
        <v>1</v>
      </c>
      <c r="V153">
        <v>1</v>
      </c>
      <c r="Y153">
        <v>1</v>
      </c>
      <c r="AB153" t="str">
        <f t="shared" si="47"/>
        <v/>
      </c>
      <c r="AC153">
        <f t="shared" si="48"/>
        <v>73728</v>
      </c>
      <c r="AE153">
        <f t="shared" si="49"/>
        <v>73728</v>
      </c>
      <c r="AF153" t="str">
        <f t="shared" si="50"/>
        <v/>
      </c>
      <c r="AH153">
        <f t="shared" si="51"/>
        <v>73728</v>
      </c>
      <c r="AI153" t="str">
        <f t="shared" si="44"/>
        <v/>
      </c>
      <c r="AJ153" t="str">
        <f t="shared" si="45"/>
        <v/>
      </c>
    </row>
    <row r="154" spans="1:36">
      <c r="L154" t="s">
        <v>90</v>
      </c>
      <c r="M154" t="s">
        <v>108</v>
      </c>
      <c r="N154">
        <v>352256</v>
      </c>
      <c r="O154" t="s">
        <v>109</v>
      </c>
      <c r="P154" t="s">
        <v>110</v>
      </c>
      <c r="Q154" t="s">
        <v>111</v>
      </c>
      <c r="R154" t="str">
        <f t="shared" si="46"/>
        <v>10x</v>
      </c>
      <c r="T154">
        <v>1</v>
      </c>
      <c r="V154">
        <v>1</v>
      </c>
      <c r="Y154">
        <v>1</v>
      </c>
      <c r="AB154" t="str">
        <f t="shared" si="47"/>
        <v/>
      </c>
      <c r="AC154">
        <f t="shared" si="48"/>
        <v>352256</v>
      </c>
      <c r="AE154">
        <f t="shared" si="49"/>
        <v>352256</v>
      </c>
      <c r="AF154" t="str">
        <f t="shared" si="50"/>
        <v/>
      </c>
      <c r="AH154">
        <f t="shared" si="51"/>
        <v>352256</v>
      </c>
      <c r="AI154" t="str">
        <f t="shared" si="44"/>
        <v/>
      </c>
      <c r="AJ154" t="str">
        <f t="shared" si="45"/>
        <v/>
      </c>
    </row>
    <row r="155" spans="1:36">
      <c r="L155" t="s">
        <v>90</v>
      </c>
      <c r="M155" t="s">
        <v>112</v>
      </c>
      <c r="N155">
        <v>3843497984</v>
      </c>
      <c r="O155" t="s">
        <v>113</v>
      </c>
      <c r="P155" t="s">
        <v>114</v>
      </c>
      <c r="Q155" t="s">
        <v>115</v>
      </c>
      <c r="R155" t="str">
        <f t="shared" si="46"/>
        <v>10x</v>
      </c>
      <c r="T155">
        <v>1</v>
      </c>
      <c r="V155">
        <v>1</v>
      </c>
      <c r="Y155">
        <v>1</v>
      </c>
      <c r="AB155" t="str">
        <f t="shared" si="47"/>
        <v/>
      </c>
      <c r="AC155">
        <f t="shared" si="48"/>
        <v>3843497984</v>
      </c>
      <c r="AE155">
        <f t="shared" si="49"/>
        <v>3843497984</v>
      </c>
      <c r="AF155" t="str">
        <f t="shared" si="50"/>
        <v/>
      </c>
      <c r="AH155">
        <f t="shared" si="51"/>
        <v>3843497984</v>
      </c>
      <c r="AI155" t="str">
        <f t="shared" si="44"/>
        <v/>
      </c>
      <c r="AJ155" t="str">
        <f t="shared" si="45"/>
        <v/>
      </c>
    </row>
    <row r="156" spans="1:36">
      <c r="L156" t="s">
        <v>90</v>
      </c>
      <c r="M156" t="s">
        <v>116</v>
      </c>
      <c r="N156">
        <v>228712448</v>
      </c>
      <c r="O156" t="s">
        <v>117</v>
      </c>
      <c r="P156" t="s">
        <v>118</v>
      </c>
      <c r="Q156" t="s">
        <v>119</v>
      </c>
      <c r="R156" t="str">
        <f t="shared" si="46"/>
        <v>10x</v>
      </c>
      <c r="T156">
        <v>1</v>
      </c>
      <c r="V156">
        <v>1</v>
      </c>
      <c r="Y156">
        <v>1</v>
      </c>
      <c r="AB156" t="str">
        <f t="shared" si="47"/>
        <v/>
      </c>
      <c r="AC156">
        <f t="shared" si="48"/>
        <v>228712448</v>
      </c>
      <c r="AE156">
        <f t="shared" si="49"/>
        <v>228712448</v>
      </c>
      <c r="AF156" t="str">
        <f t="shared" si="50"/>
        <v/>
      </c>
      <c r="AH156">
        <f t="shared" si="51"/>
        <v>228712448</v>
      </c>
      <c r="AI156" t="str">
        <f t="shared" si="44"/>
        <v/>
      </c>
      <c r="AJ156" t="str">
        <f t="shared" si="45"/>
        <v/>
      </c>
    </row>
    <row r="157" spans="1:36">
      <c r="L157" t="s">
        <v>90</v>
      </c>
      <c r="M157" t="s">
        <v>120</v>
      </c>
      <c r="N157">
        <v>2406440960</v>
      </c>
      <c r="O157" t="s">
        <v>121</v>
      </c>
      <c r="P157" t="s">
        <v>122</v>
      </c>
      <c r="Q157" t="s">
        <v>123</v>
      </c>
      <c r="R157" t="str">
        <f t="shared" si="46"/>
        <v>10x</v>
      </c>
      <c r="T157">
        <v>1</v>
      </c>
      <c r="V157">
        <v>1</v>
      </c>
      <c r="Y157">
        <v>1</v>
      </c>
      <c r="AB157" t="str">
        <f t="shared" si="47"/>
        <v/>
      </c>
      <c r="AC157">
        <f t="shared" si="48"/>
        <v>2406440960</v>
      </c>
      <c r="AE157">
        <f t="shared" si="49"/>
        <v>2406440960</v>
      </c>
      <c r="AF157" t="str">
        <f t="shared" si="50"/>
        <v/>
      </c>
      <c r="AH157">
        <f t="shared" si="51"/>
        <v>2406440960</v>
      </c>
      <c r="AI157" t="str">
        <f t="shared" si="44"/>
        <v/>
      </c>
      <c r="AJ157" t="str">
        <f t="shared" si="45"/>
        <v/>
      </c>
    </row>
    <row r="158" spans="1:36">
      <c r="L158" t="s">
        <v>90</v>
      </c>
      <c r="M158" t="s">
        <v>73</v>
      </c>
      <c r="N158">
        <v>181002240</v>
      </c>
      <c r="O158" t="s">
        <v>84</v>
      </c>
      <c r="P158" t="s">
        <v>85</v>
      </c>
      <c r="Q158" t="s">
        <v>86</v>
      </c>
      <c r="R158" t="str">
        <f t="shared" si="46"/>
        <v>10x</v>
      </c>
      <c r="V158">
        <v>1</v>
      </c>
      <c r="Y158">
        <v>1</v>
      </c>
      <c r="AB158" t="str">
        <f t="shared" si="47"/>
        <v/>
      </c>
      <c r="AC158" t="str">
        <f t="shared" si="48"/>
        <v/>
      </c>
      <c r="AE158">
        <f t="shared" si="49"/>
        <v>181002240</v>
      </c>
      <c r="AF158" t="str">
        <f t="shared" si="50"/>
        <v/>
      </c>
      <c r="AH158">
        <f t="shared" si="51"/>
        <v>181002240</v>
      </c>
      <c r="AI158" t="str">
        <f t="shared" si="44"/>
        <v/>
      </c>
      <c r="AJ158" t="str">
        <f t="shared" si="45"/>
        <v/>
      </c>
    </row>
    <row r="159" spans="1:36">
      <c r="L159" t="s">
        <v>90</v>
      </c>
      <c r="M159" t="s">
        <v>124</v>
      </c>
      <c r="N159">
        <v>73728</v>
      </c>
      <c r="O159" t="s">
        <v>106</v>
      </c>
      <c r="P159" t="s">
        <v>125</v>
      </c>
      <c r="Q159" t="s">
        <v>111</v>
      </c>
      <c r="R159" t="str">
        <f t="shared" si="46"/>
        <v>10x</v>
      </c>
      <c r="V159">
        <v>1</v>
      </c>
      <c r="Y159">
        <v>1</v>
      </c>
      <c r="AB159" t="str">
        <f t="shared" si="47"/>
        <v/>
      </c>
      <c r="AC159" t="str">
        <f t="shared" si="48"/>
        <v/>
      </c>
      <c r="AE159">
        <f t="shared" si="49"/>
        <v>73728</v>
      </c>
      <c r="AF159" t="str">
        <f t="shared" si="50"/>
        <v/>
      </c>
      <c r="AH159">
        <f t="shared" si="51"/>
        <v>73728</v>
      </c>
      <c r="AI159" t="str">
        <f t="shared" si="44"/>
        <v/>
      </c>
      <c r="AJ159" t="str">
        <f t="shared" si="45"/>
        <v/>
      </c>
    </row>
    <row r="160" spans="1:36">
      <c r="L160" t="s">
        <v>90</v>
      </c>
      <c r="M160" t="s">
        <v>126</v>
      </c>
      <c r="N160">
        <v>142548992</v>
      </c>
      <c r="O160" t="s">
        <v>127</v>
      </c>
      <c r="P160" t="s">
        <v>128</v>
      </c>
      <c r="Q160" t="s">
        <v>129</v>
      </c>
      <c r="R160" t="str">
        <f t="shared" si="46"/>
        <v>10x</v>
      </c>
      <c r="V160">
        <v>1</v>
      </c>
      <c r="AB160" t="str">
        <f t="shared" si="47"/>
        <v/>
      </c>
      <c r="AC160" t="str">
        <f t="shared" si="48"/>
        <v/>
      </c>
      <c r="AE160">
        <f t="shared" si="49"/>
        <v>142548992</v>
      </c>
      <c r="AF160" t="str">
        <f t="shared" si="50"/>
        <v/>
      </c>
      <c r="AH160" t="str">
        <f t="shared" si="51"/>
        <v/>
      </c>
      <c r="AI160" t="str">
        <f t="shared" si="44"/>
        <v/>
      </c>
      <c r="AJ160" t="str">
        <f t="shared" si="45"/>
        <v/>
      </c>
    </row>
    <row r="161" spans="12:36">
      <c r="L161" t="s">
        <v>90</v>
      </c>
      <c r="M161" t="s">
        <v>130</v>
      </c>
      <c r="N161">
        <v>745472</v>
      </c>
      <c r="O161" t="s">
        <v>131</v>
      </c>
      <c r="P161" t="s">
        <v>132</v>
      </c>
      <c r="Q161" t="s">
        <v>111</v>
      </c>
      <c r="R161" t="str">
        <f t="shared" si="46"/>
        <v>10x</v>
      </c>
      <c r="Y161">
        <v>1</v>
      </c>
      <c r="AB161" t="str">
        <f t="shared" si="47"/>
        <v/>
      </c>
      <c r="AC161" t="str">
        <f t="shared" si="48"/>
        <v/>
      </c>
      <c r="AE161" t="str">
        <f t="shared" si="49"/>
        <v/>
      </c>
      <c r="AF161" t="str">
        <f t="shared" si="50"/>
        <v/>
      </c>
      <c r="AH161">
        <f t="shared" si="51"/>
        <v>745472</v>
      </c>
      <c r="AI161" t="str">
        <f t="shared" si="44"/>
        <v/>
      </c>
      <c r="AJ161" t="str">
        <f t="shared" si="45"/>
        <v/>
      </c>
    </row>
    <row r="162" spans="12:36">
      <c r="L162" t="s">
        <v>90</v>
      </c>
      <c r="M162" t="s">
        <v>76</v>
      </c>
      <c r="N162">
        <v>720314368</v>
      </c>
      <c r="O162" t="s">
        <v>87</v>
      </c>
      <c r="P162" t="s">
        <v>88</v>
      </c>
      <c r="Q162" t="s">
        <v>89</v>
      </c>
      <c r="R162" t="str">
        <f t="shared" si="46"/>
        <v>10x</v>
      </c>
      <c r="T162">
        <v>1</v>
      </c>
      <c r="V162">
        <v>1</v>
      </c>
      <c r="Y162">
        <v>1</v>
      </c>
      <c r="AB162" t="str">
        <f t="shared" ref="AB162:AB192" si="52">IF(S162=1,$N162,"")</f>
        <v/>
      </c>
      <c r="AC162">
        <f t="shared" ref="AC162:AC192" si="53">IF(T162=1,$N162,"")</f>
        <v>720314368</v>
      </c>
      <c r="AE162">
        <f t="shared" ref="AE162:AE192" si="54">IF(V162=1,$N162,"")</f>
        <v>720314368</v>
      </c>
      <c r="AF162" t="str">
        <f t="shared" ref="AF162:AF192" si="55">IF(W162=1,$N162,"")</f>
        <v/>
      </c>
      <c r="AH162">
        <f t="shared" ref="AH162:AH192" si="56">IF(Y162=1,$N162,"")</f>
        <v>720314368</v>
      </c>
      <c r="AI162" t="str">
        <f t="shared" si="44"/>
        <v/>
      </c>
      <c r="AJ162" t="str">
        <f t="shared" si="45"/>
        <v/>
      </c>
    </row>
    <row r="163" spans="12:36">
      <c r="L163" t="s">
        <v>90</v>
      </c>
      <c r="M163" t="s">
        <v>133</v>
      </c>
      <c r="N163">
        <v>16384</v>
      </c>
      <c r="O163" t="s">
        <v>111</v>
      </c>
      <c r="P163" t="s">
        <v>134</v>
      </c>
      <c r="Q163" t="s">
        <v>110</v>
      </c>
      <c r="R163" t="str">
        <f t="shared" si="46"/>
        <v>10x</v>
      </c>
      <c r="T163">
        <v>1</v>
      </c>
      <c r="V163">
        <v>1</v>
      </c>
      <c r="Y163">
        <v>1</v>
      </c>
      <c r="AB163" t="str">
        <f t="shared" si="52"/>
        <v/>
      </c>
      <c r="AC163">
        <f t="shared" si="53"/>
        <v>16384</v>
      </c>
      <c r="AE163">
        <f t="shared" si="54"/>
        <v>16384</v>
      </c>
      <c r="AF163" t="str">
        <f t="shared" si="55"/>
        <v/>
      </c>
      <c r="AH163">
        <f t="shared" si="56"/>
        <v>16384</v>
      </c>
      <c r="AI163" t="str">
        <f t="shared" si="44"/>
        <v/>
      </c>
      <c r="AJ163" t="str">
        <f t="shared" si="45"/>
        <v/>
      </c>
    </row>
    <row r="164" spans="12:36">
      <c r="L164" t="s">
        <v>178</v>
      </c>
      <c r="M164" t="s">
        <v>91</v>
      </c>
      <c r="N164">
        <v>70385664</v>
      </c>
      <c r="O164" t="s">
        <v>92</v>
      </c>
      <c r="P164" t="s">
        <v>93</v>
      </c>
      <c r="Q164" t="s">
        <v>94</v>
      </c>
      <c r="R164" t="str">
        <f t="shared" si="46"/>
        <v>10x</v>
      </c>
      <c r="W164">
        <v>1</v>
      </c>
      <c r="Z164">
        <v>1</v>
      </c>
      <c r="AB164" t="str">
        <f t="shared" si="52"/>
        <v/>
      </c>
      <c r="AC164" t="str">
        <f t="shared" si="53"/>
        <v/>
      </c>
      <c r="AE164" t="str">
        <f t="shared" si="54"/>
        <v/>
      </c>
      <c r="AF164">
        <f t="shared" si="55"/>
        <v>70385664</v>
      </c>
      <c r="AH164" t="str">
        <f t="shared" si="56"/>
        <v/>
      </c>
      <c r="AI164">
        <f t="shared" si="44"/>
        <v>70385664</v>
      </c>
      <c r="AJ164" t="str">
        <f t="shared" si="45"/>
        <v/>
      </c>
    </row>
    <row r="165" spans="12:36">
      <c r="L165" t="s">
        <v>178</v>
      </c>
      <c r="M165" t="s">
        <v>95</v>
      </c>
      <c r="N165">
        <v>31948800</v>
      </c>
      <c r="O165" t="s">
        <v>96</v>
      </c>
      <c r="P165" t="s">
        <v>97</v>
      </c>
      <c r="Q165" t="s">
        <v>98</v>
      </c>
      <c r="R165" t="str">
        <f t="shared" si="46"/>
        <v>10x</v>
      </c>
      <c r="W165">
        <v>1</v>
      </c>
      <c r="Z165">
        <v>1</v>
      </c>
      <c r="AB165" t="str">
        <f t="shared" si="52"/>
        <v/>
      </c>
      <c r="AC165" t="str">
        <f t="shared" si="53"/>
        <v/>
      </c>
      <c r="AE165" t="str">
        <f t="shared" si="54"/>
        <v/>
      </c>
      <c r="AF165">
        <f t="shared" si="55"/>
        <v>31948800</v>
      </c>
      <c r="AH165" t="str">
        <f t="shared" si="56"/>
        <v/>
      </c>
      <c r="AI165">
        <f t="shared" si="44"/>
        <v>31948800</v>
      </c>
      <c r="AJ165" t="str">
        <f t="shared" si="45"/>
        <v/>
      </c>
    </row>
    <row r="166" spans="12:36">
      <c r="L166" t="s">
        <v>178</v>
      </c>
      <c r="M166" t="s">
        <v>99</v>
      </c>
      <c r="N166">
        <v>315015168</v>
      </c>
      <c r="O166" t="s">
        <v>100</v>
      </c>
      <c r="P166" t="s">
        <v>101</v>
      </c>
      <c r="Q166" t="s">
        <v>102</v>
      </c>
      <c r="R166" t="str">
        <f t="shared" si="46"/>
        <v>10x</v>
      </c>
      <c r="Z166">
        <v>1</v>
      </c>
      <c r="AB166" t="str">
        <f t="shared" si="52"/>
        <v/>
      </c>
      <c r="AC166" t="str">
        <f t="shared" si="53"/>
        <v/>
      </c>
      <c r="AE166" t="str">
        <f t="shared" si="54"/>
        <v/>
      </c>
      <c r="AF166" t="str">
        <f t="shared" si="55"/>
        <v/>
      </c>
      <c r="AH166" t="str">
        <f t="shared" si="56"/>
        <v/>
      </c>
      <c r="AI166">
        <f t="shared" si="44"/>
        <v>315015168</v>
      </c>
      <c r="AJ166" t="str">
        <f t="shared" si="45"/>
        <v/>
      </c>
    </row>
    <row r="167" spans="12:36">
      <c r="L167" t="s">
        <v>178</v>
      </c>
      <c r="M167" t="s">
        <v>103</v>
      </c>
      <c r="N167">
        <v>624787456</v>
      </c>
      <c r="O167" t="s">
        <v>70</v>
      </c>
      <c r="P167" t="s">
        <v>104</v>
      </c>
      <c r="Q167" t="s">
        <v>102</v>
      </c>
      <c r="R167" t="str">
        <f t="shared" si="46"/>
        <v>10x</v>
      </c>
      <c r="W167">
        <v>1</v>
      </c>
      <c r="Z167">
        <v>1</v>
      </c>
      <c r="AB167" t="str">
        <f t="shared" si="52"/>
        <v/>
      </c>
      <c r="AC167" t="str">
        <f t="shared" si="53"/>
        <v/>
      </c>
      <c r="AE167" t="str">
        <f t="shared" si="54"/>
        <v/>
      </c>
      <c r="AF167">
        <f t="shared" si="55"/>
        <v>624787456</v>
      </c>
      <c r="AH167" t="str">
        <f t="shared" si="56"/>
        <v/>
      </c>
      <c r="AI167">
        <f t="shared" si="44"/>
        <v>624787456</v>
      </c>
      <c r="AJ167" t="str">
        <f t="shared" si="45"/>
        <v/>
      </c>
    </row>
    <row r="168" spans="12:36">
      <c r="L168" t="s">
        <v>178</v>
      </c>
      <c r="M168" t="s">
        <v>105</v>
      </c>
      <c r="N168">
        <v>72007680</v>
      </c>
      <c r="O168" t="s">
        <v>77</v>
      </c>
      <c r="P168" t="s">
        <v>179</v>
      </c>
      <c r="Q168" t="s">
        <v>144</v>
      </c>
      <c r="R168" t="str">
        <f t="shared" si="46"/>
        <v>10x</v>
      </c>
      <c r="W168">
        <v>1</v>
      </c>
      <c r="Z168">
        <v>1</v>
      </c>
      <c r="AB168" t="str">
        <f t="shared" si="52"/>
        <v/>
      </c>
      <c r="AC168" t="str">
        <f t="shared" si="53"/>
        <v/>
      </c>
      <c r="AE168" t="str">
        <f t="shared" si="54"/>
        <v/>
      </c>
      <c r="AF168">
        <f t="shared" si="55"/>
        <v>72007680</v>
      </c>
      <c r="AH168" t="str">
        <f t="shared" si="56"/>
        <v/>
      </c>
      <c r="AI168">
        <f t="shared" si="44"/>
        <v>72007680</v>
      </c>
      <c r="AJ168" t="str">
        <f t="shared" si="45"/>
        <v/>
      </c>
    </row>
    <row r="169" spans="12:36">
      <c r="L169" t="s">
        <v>178</v>
      </c>
      <c r="M169" t="s">
        <v>108</v>
      </c>
      <c r="N169">
        <v>1051934720</v>
      </c>
      <c r="O169" t="s">
        <v>180</v>
      </c>
      <c r="P169" t="s">
        <v>181</v>
      </c>
      <c r="Q169" t="s">
        <v>182</v>
      </c>
      <c r="R169" t="str">
        <f t="shared" si="46"/>
        <v>10x</v>
      </c>
      <c r="W169">
        <v>1</v>
      </c>
      <c r="Z169">
        <v>1</v>
      </c>
      <c r="AB169" t="str">
        <f t="shared" si="52"/>
        <v/>
      </c>
      <c r="AC169" t="str">
        <f t="shared" si="53"/>
        <v/>
      </c>
      <c r="AE169" t="str">
        <f t="shared" si="54"/>
        <v/>
      </c>
      <c r="AF169">
        <f t="shared" si="55"/>
        <v>1051934720</v>
      </c>
      <c r="AH169" t="str">
        <f t="shared" si="56"/>
        <v/>
      </c>
      <c r="AI169">
        <f t="shared" si="44"/>
        <v>1051934720</v>
      </c>
      <c r="AJ169" t="str">
        <f t="shared" si="45"/>
        <v/>
      </c>
    </row>
    <row r="170" spans="12:36">
      <c r="L170" t="s">
        <v>178</v>
      </c>
      <c r="M170" t="s">
        <v>112</v>
      </c>
      <c r="N170">
        <v>3824254976</v>
      </c>
      <c r="O170" t="s">
        <v>183</v>
      </c>
      <c r="P170" t="s">
        <v>114</v>
      </c>
      <c r="Q170" t="s">
        <v>104</v>
      </c>
      <c r="R170" t="str">
        <f t="shared" si="46"/>
        <v>10x</v>
      </c>
      <c r="W170">
        <v>1</v>
      </c>
      <c r="Z170">
        <v>1</v>
      </c>
      <c r="AB170" t="str">
        <f t="shared" si="52"/>
        <v/>
      </c>
      <c r="AC170" t="str">
        <f t="shared" si="53"/>
        <v/>
      </c>
      <c r="AE170" t="str">
        <f t="shared" si="54"/>
        <v/>
      </c>
      <c r="AF170">
        <f t="shared" si="55"/>
        <v>3824254976</v>
      </c>
      <c r="AH170" t="str">
        <f t="shared" si="56"/>
        <v/>
      </c>
      <c r="AI170">
        <f t="shared" si="44"/>
        <v>3824254976</v>
      </c>
      <c r="AJ170" t="str">
        <f t="shared" si="45"/>
        <v/>
      </c>
    </row>
    <row r="171" spans="12:36">
      <c r="L171" t="s">
        <v>178</v>
      </c>
      <c r="M171" t="s">
        <v>116</v>
      </c>
      <c r="N171">
        <v>88571904</v>
      </c>
      <c r="O171" t="s">
        <v>184</v>
      </c>
      <c r="P171" t="s">
        <v>185</v>
      </c>
      <c r="Q171" t="s">
        <v>186</v>
      </c>
      <c r="R171" t="str">
        <f t="shared" si="46"/>
        <v>10x</v>
      </c>
      <c r="W171">
        <v>1</v>
      </c>
      <c r="Z171">
        <v>1</v>
      </c>
      <c r="AB171" t="str">
        <f t="shared" si="52"/>
        <v/>
      </c>
      <c r="AC171" t="str">
        <f t="shared" si="53"/>
        <v/>
      </c>
      <c r="AE171" t="str">
        <f t="shared" si="54"/>
        <v/>
      </c>
      <c r="AF171">
        <f t="shared" si="55"/>
        <v>88571904</v>
      </c>
      <c r="AH171" t="str">
        <f t="shared" si="56"/>
        <v/>
      </c>
      <c r="AI171">
        <f t="shared" si="44"/>
        <v>88571904</v>
      </c>
      <c r="AJ171" t="str">
        <f t="shared" si="45"/>
        <v/>
      </c>
    </row>
    <row r="172" spans="12:36">
      <c r="L172" t="s">
        <v>178</v>
      </c>
      <c r="M172" t="s">
        <v>120</v>
      </c>
      <c r="N172">
        <v>1354637312</v>
      </c>
      <c r="O172" t="s">
        <v>187</v>
      </c>
      <c r="P172" t="s">
        <v>188</v>
      </c>
      <c r="Q172" t="s">
        <v>189</v>
      </c>
      <c r="R172" t="str">
        <f t="shared" si="46"/>
        <v>10x</v>
      </c>
      <c r="W172">
        <v>1</v>
      </c>
      <c r="Z172">
        <v>1</v>
      </c>
      <c r="AB172" t="str">
        <f t="shared" si="52"/>
        <v/>
      </c>
      <c r="AC172" t="str">
        <f t="shared" si="53"/>
        <v/>
      </c>
      <c r="AE172" t="str">
        <f t="shared" si="54"/>
        <v/>
      </c>
      <c r="AF172">
        <f t="shared" si="55"/>
        <v>1354637312</v>
      </c>
      <c r="AH172" t="str">
        <f t="shared" si="56"/>
        <v/>
      </c>
      <c r="AI172">
        <f t="shared" si="44"/>
        <v>1354637312</v>
      </c>
      <c r="AJ172" t="str">
        <f t="shared" si="45"/>
        <v/>
      </c>
    </row>
    <row r="173" spans="12:36">
      <c r="L173" t="s">
        <v>178</v>
      </c>
      <c r="M173" t="s">
        <v>73</v>
      </c>
      <c r="N173">
        <v>3055616</v>
      </c>
      <c r="O173" t="s">
        <v>190</v>
      </c>
      <c r="P173" t="s">
        <v>191</v>
      </c>
      <c r="Q173" t="s">
        <v>192</v>
      </c>
      <c r="R173" t="str">
        <f t="shared" si="46"/>
        <v>10x</v>
      </c>
      <c r="W173">
        <v>1</v>
      </c>
      <c r="Z173">
        <v>1</v>
      </c>
      <c r="AB173" t="str">
        <f t="shared" si="52"/>
        <v/>
      </c>
      <c r="AC173" t="str">
        <f t="shared" si="53"/>
        <v/>
      </c>
      <c r="AE173" t="str">
        <f t="shared" si="54"/>
        <v/>
      </c>
      <c r="AF173">
        <f t="shared" si="55"/>
        <v>3055616</v>
      </c>
      <c r="AH173" t="str">
        <f t="shared" si="56"/>
        <v/>
      </c>
      <c r="AI173">
        <f t="shared" si="44"/>
        <v>3055616</v>
      </c>
      <c r="AJ173" t="str">
        <f t="shared" si="45"/>
        <v/>
      </c>
    </row>
    <row r="174" spans="12:36">
      <c r="L174" t="s">
        <v>178</v>
      </c>
      <c r="M174" t="s">
        <v>124</v>
      </c>
      <c r="N174">
        <v>155361280</v>
      </c>
      <c r="O174" t="s">
        <v>193</v>
      </c>
      <c r="P174" t="s">
        <v>194</v>
      </c>
      <c r="Q174" t="s">
        <v>144</v>
      </c>
      <c r="R174" t="str">
        <f t="shared" si="46"/>
        <v>10x</v>
      </c>
      <c r="W174">
        <v>1</v>
      </c>
      <c r="Z174">
        <v>1</v>
      </c>
      <c r="AB174" t="str">
        <f t="shared" si="52"/>
        <v/>
      </c>
      <c r="AC174" t="str">
        <f t="shared" si="53"/>
        <v/>
      </c>
      <c r="AE174" t="str">
        <f t="shared" si="54"/>
        <v/>
      </c>
      <c r="AF174">
        <f t="shared" si="55"/>
        <v>155361280</v>
      </c>
      <c r="AH174" t="str">
        <f t="shared" si="56"/>
        <v/>
      </c>
      <c r="AI174">
        <f t="shared" si="44"/>
        <v>155361280</v>
      </c>
      <c r="AJ174" t="str">
        <f t="shared" si="45"/>
        <v/>
      </c>
    </row>
    <row r="175" spans="12:36">
      <c r="L175" t="s">
        <v>178</v>
      </c>
      <c r="M175" t="s">
        <v>126</v>
      </c>
      <c r="N175">
        <v>2400256</v>
      </c>
      <c r="O175" t="s">
        <v>195</v>
      </c>
      <c r="P175" t="s">
        <v>196</v>
      </c>
      <c r="Q175" t="s">
        <v>197</v>
      </c>
      <c r="R175" t="str">
        <f t="shared" si="46"/>
        <v>10x</v>
      </c>
      <c r="AB175" t="str">
        <f t="shared" si="52"/>
        <v/>
      </c>
      <c r="AC175" t="str">
        <f t="shared" si="53"/>
        <v/>
      </c>
      <c r="AE175" t="str">
        <f t="shared" si="54"/>
        <v/>
      </c>
      <c r="AF175" t="str">
        <f t="shared" si="55"/>
        <v/>
      </c>
      <c r="AH175" t="str">
        <f t="shared" si="56"/>
        <v/>
      </c>
      <c r="AI175" t="str">
        <f t="shared" si="44"/>
        <v/>
      </c>
      <c r="AJ175" t="str">
        <f t="shared" si="45"/>
        <v/>
      </c>
    </row>
    <row r="176" spans="12:36">
      <c r="L176" t="s">
        <v>178</v>
      </c>
      <c r="M176" t="s">
        <v>198</v>
      </c>
      <c r="N176">
        <v>127803392</v>
      </c>
      <c r="O176" t="s">
        <v>199</v>
      </c>
      <c r="P176" t="s">
        <v>200</v>
      </c>
      <c r="Q176" t="s">
        <v>144</v>
      </c>
      <c r="R176" t="str">
        <f t="shared" si="46"/>
        <v>10x</v>
      </c>
      <c r="AB176" t="str">
        <f t="shared" si="52"/>
        <v/>
      </c>
      <c r="AC176" t="str">
        <f t="shared" si="53"/>
        <v/>
      </c>
      <c r="AE176" t="str">
        <f t="shared" si="54"/>
        <v/>
      </c>
      <c r="AF176" t="str">
        <f t="shared" si="55"/>
        <v/>
      </c>
      <c r="AH176" t="str">
        <f t="shared" si="56"/>
        <v/>
      </c>
      <c r="AI176" t="str">
        <f t="shared" si="44"/>
        <v/>
      </c>
      <c r="AJ176" t="str">
        <f t="shared" si="45"/>
        <v/>
      </c>
    </row>
    <row r="177" spans="12:36">
      <c r="L177" t="s">
        <v>178</v>
      </c>
      <c r="M177" t="s">
        <v>130</v>
      </c>
      <c r="N177">
        <v>745472</v>
      </c>
      <c r="O177" t="s">
        <v>131</v>
      </c>
      <c r="P177" t="s">
        <v>132</v>
      </c>
      <c r="Q177" t="s">
        <v>111</v>
      </c>
      <c r="R177" t="str">
        <f t="shared" si="46"/>
        <v>10x</v>
      </c>
      <c r="Z177">
        <v>1</v>
      </c>
      <c r="AB177" t="str">
        <f t="shared" si="52"/>
        <v/>
      </c>
      <c r="AC177" t="str">
        <f t="shared" si="53"/>
        <v/>
      </c>
      <c r="AE177" t="str">
        <f t="shared" si="54"/>
        <v/>
      </c>
      <c r="AF177" t="str">
        <f t="shared" si="55"/>
        <v/>
      </c>
      <c r="AH177" t="str">
        <f t="shared" si="56"/>
        <v/>
      </c>
      <c r="AI177">
        <f t="shared" si="44"/>
        <v>745472</v>
      </c>
      <c r="AJ177" t="str">
        <f t="shared" si="45"/>
        <v/>
      </c>
    </row>
    <row r="178" spans="12:36">
      <c r="L178" t="s">
        <v>178</v>
      </c>
      <c r="M178" t="s">
        <v>76</v>
      </c>
      <c r="N178">
        <v>733732864</v>
      </c>
      <c r="O178" t="s">
        <v>201</v>
      </c>
      <c r="P178" t="s">
        <v>88</v>
      </c>
      <c r="Q178" t="s">
        <v>96</v>
      </c>
      <c r="R178" t="str">
        <f t="shared" si="46"/>
        <v>10x</v>
      </c>
      <c r="W178">
        <v>1</v>
      </c>
      <c r="Z178">
        <v>1</v>
      </c>
      <c r="AB178" t="str">
        <f t="shared" si="52"/>
        <v/>
      </c>
      <c r="AC178" t="str">
        <f t="shared" si="53"/>
        <v/>
      </c>
      <c r="AE178" t="str">
        <f t="shared" si="54"/>
        <v/>
      </c>
      <c r="AF178">
        <f t="shared" si="55"/>
        <v>733732864</v>
      </c>
      <c r="AH178" t="str">
        <f t="shared" si="56"/>
        <v/>
      </c>
      <c r="AI178">
        <f t="shared" ref="AI178:AI185" si="57">IF(Z178=1,$N178,"")</f>
        <v>733732864</v>
      </c>
      <c r="AJ178" t="str">
        <f t="shared" ref="AJ178:AJ185" si="58">IF(AA178=1,$N178,"")</f>
        <v/>
      </c>
    </row>
    <row r="179" spans="12:36">
      <c r="L179" t="s">
        <v>239</v>
      </c>
      <c r="M179" t="s">
        <v>240</v>
      </c>
      <c r="N179">
        <v>16384</v>
      </c>
      <c r="O179" t="s">
        <v>111</v>
      </c>
      <c r="P179" t="s">
        <v>134</v>
      </c>
      <c r="Q179" t="s">
        <v>110</v>
      </c>
      <c r="R179" t="str">
        <f t="shared" si="46"/>
        <v>10x</v>
      </c>
      <c r="AA179">
        <v>1</v>
      </c>
      <c r="AB179" t="str">
        <f t="shared" si="52"/>
        <v/>
      </c>
      <c r="AC179" t="str">
        <f t="shared" si="53"/>
        <v/>
      </c>
      <c r="AE179" t="str">
        <f t="shared" si="54"/>
        <v/>
      </c>
      <c r="AF179" t="str">
        <f t="shared" si="55"/>
        <v/>
      </c>
      <c r="AH179" t="str">
        <f t="shared" si="56"/>
        <v/>
      </c>
      <c r="AI179" t="str">
        <f t="shared" si="57"/>
        <v/>
      </c>
      <c r="AJ179">
        <f t="shared" si="58"/>
        <v>16384</v>
      </c>
    </row>
    <row r="180" spans="12:36">
      <c r="L180" t="s">
        <v>239</v>
      </c>
      <c r="M180" t="s">
        <v>241</v>
      </c>
      <c r="N180">
        <v>70574080</v>
      </c>
      <c r="O180" t="s">
        <v>92</v>
      </c>
      <c r="P180" t="s">
        <v>242</v>
      </c>
      <c r="Q180" t="s">
        <v>243</v>
      </c>
      <c r="R180" t="str">
        <f t="shared" si="46"/>
        <v>10x</v>
      </c>
      <c r="AA180">
        <v>1</v>
      </c>
      <c r="AB180" t="str">
        <f t="shared" si="52"/>
        <v/>
      </c>
      <c r="AC180" t="str">
        <f t="shared" si="53"/>
        <v/>
      </c>
      <c r="AE180" t="str">
        <f t="shared" si="54"/>
        <v/>
      </c>
      <c r="AF180" t="str">
        <f t="shared" si="55"/>
        <v/>
      </c>
      <c r="AH180" t="str">
        <f t="shared" si="56"/>
        <v/>
      </c>
      <c r="AI180" t="str">
        <f t="shared" si="57"/>
        <v/>
      </c>
      <c r="AJ180">
        <f t="shared" si="58"/>
        <v>70574080</v>
      </c>
    </row>
    <row r="181" spans="12:36">
      <c r="L181" t="s">
        <v>239</v>
      </c>
      <c r="M181" t="s">
        <v>244</v>
      </c>
      <c r="N181">
        <v>23977984</v>
      </c>
      <c r="O181" t="s">
        <v>245</v>
      </c>
      <c r="P181" t="s">
        <v>122</v>
      </c>
      <c r="Q181" t="s">
        <v>246</v>
      </c>
      <c r="R181" t="str">
        <f t="shared" si="46"/>
        <v>10x</v>
      </c>
      <c r="AA181">
        <v>1</v>
      </c>
      <c r="AB181" t="str">
        <f t="shared" si="52"/>
        <v/>
      </c>
      <c r="AC181" t="str">
        <f t="shared" si="53"/>
        <v/>
      </c>
      <c r="AE181" t="str">
        <f t="shared" si="54"/>
        <v/>
      </c>
      <c r="AF181" t="str">
        <f t="shared" si="55"/>
        <v/>
      </c>
      <c r="AH181" t="str">
        <f t="shared" si="56"/>
        <v/>
      </c>
      <c r="AI181" t="str">
        <f t="shared" si="57"/>
        <v/>
      </c>
      <c r="AJ181">
        <f t="shared" si="58"/>
        <v>23977984</v>
      </c>
    </row>
    <row r="182" spans="12:36">
      <c r="L182" t="s">
        <v>239</v>
      </c>
      <c r="M182" t="s">
        <v>99</v>
      </c>
      <c r="N182">
        <v>315015168</v>
      </c>
      <c r="O182" t="s">
        <v>100</v>
      </c>
      <c r="P182" t="s">
        <v>101</v>
      </c>
      <c r="Q182" t="s">
        <v>102</v>
      </c>
      <c r="R182" t="str">
        <f t="shared" si="46"/>
        <v>10x</v>
      </c>
      <c r="AA182">
        <v>1</v>
      </c>
      <c r="AB182" t="str">
        <f t="shared" si="52"/>
        <v/>
      </c>
      <c r="AC182" t="str">
        <f t="shared" si="53"/>
        <v/>
      </c>
      <c r="AE182" t="str">
        <f t="shared" si="54"/>
        <v/>
      </c>
      <c r="AF182" t="str">
        <f t="shared" si="55"/>
        <v/>
      </c>
      <c r="AH182" t="str">
        <f t="shared" si="56"/>
        <v/>
      </c>
      <c r="AI182" t="str">
        <f t="shared" si="57"/>
        <v/>
      </c>
      <c r="AJ182">
        <f t="shared" si="58"/>
        <v>315015168</v>
      </c>
    </row>
    <row r="183" spans="12:36">
      <c r="L183" t="s">
        <v>239</v>
      </c>
      <c r="M183" t="s">
        <v>103</v>
      </c>
      <c r="N183">
        <v>624787456</v>
      </c>
      <c r="O183" t="s">
        <v>70</v>
      </c>
      <c r="P183" t="s">
        <v>104</v>
      </c>
      <c r="Q183" t="s">
        <v>102</v>
      </c>
      <c r="R183" t="str">
        <f t="shared" si="46"/>
        <v>10x</v>
      </c>
      <c r="AA183">
        <v>1</v>
      </c>
      <c r="AB183" t="str">
        <f t="shared" si="52"/>
        <v/>
      </c>
      <c r="AC183" t="str">
        <f t="shared" si="53"/>
        <v/>
      </c>
      <c r="AE183" t="str">
        <f t="shared" si="54"/>
        <v/>
      </c>
      <c r="AF183" t="str">
        <f t="shared" si="55"/>
        <v/>
      </c>
      <c r="AH183" t="str">
        <f t="shared" si="56"/>
        <v/>
      </c>
      <c r="AI183" t="str">
        <f t="shared" si="57"/>
        <v/>
      </c>
      <c r="AJ183">
        <f t="shared" si="58"/>
        <v>624787456</v>
      </c>
    </row>
    <row r="184" spans="12:36">
      <c r="L184" t="s">
        <v>239</v>
      </c>
      <c r="M184" t="s">
        <v>105</v>
      </c>
      <c r="N184">
        <v>193863680</v>
      </c>
      <c r="O184" t="s">
        <v>247</v>
      </c>
      <c r="P184" t="s">
        <v>248</v>
      </c>
      <c r="Q184" t="s">
        <v>249</v>
      </c>
      <c r="R184" t="str">
        <f t="shared" si="46"/>
        <v>10x</v>
      </c>
      <c r="AA184">
        <v>1</v>
      </c>
      <c r="AB184" t="str">
        <f t="shared" si="52"/>
        <v/>
      </c>
      <c r="AC184" t="str">
        <f t="shared" si="53"/>
        <v/>
      </c>
      <c r="AE184" t="str">
        <f t="shared" si="54"/>
        <v/>
      </c>
      <c r="AF184" t="str">
        <f t="shared" si="55"/>
        <v/>
      </c>
      <c r="AH184" t="str">
        <f t="shared" si="56"/>
        <v/>
      </c>
      <c r="AI184" t="str">
        <f t="shared" si="57"/>
        <v/>
      </c>
      <c r="AJ184">
        <f t="shared" si="58"/>
        <v>193863680</v>
      </c>
    </row>
    <row r="185" spans="12:36">
      <c r="L185" t="s">
        <v>239</v>
      </c>
      <c r="M185" t="s">
        <v>108</v>
      </c>
      <c r="N185">
        <v>2552848384</v>
      </c>
      <c r="O185" t="s">
        <v>250</v>
      </c>
      <c r="P185" t="s">
        <v>245</v>
      </c>
      <c r="Q185" t="s">
        <v>249</v>
      </c>
      <c r="R185" t="str">
        <f t="shared" si="46"/>
        <v>10x</v>
      </c>
      <c r="AA185">
        <v>1</v>
      </c>
      <c r="AB185" t="str">
        <f t="shared" si="52"/>
        <v/>
      </c>
      <c r="AC185" t="str">
        <f t="shared" si="53"/>
        <v/>
      </c>
      <c r="AE185" t="str">
        <f t="shared" si="54"/>
        <v/>
      </c>
      <c r="AF185" t="str">
        <f t="shared" si="55"/>
        <v/>
      </c>
      <c r="AH185" t="str">
        <f t="shared" si="56"/>
        <v/>
      </c>
      <c r="AI185" t="str">
        <f t="shared" si="57"/>
        <v/>
      </c>
      <c r="AJ185">
        <f t="shared" si="58"/>
        <v>2552848384</v>
      </c>
    </row>
    <row r="186" spans="12:36">
      <c r="L186" t="s">
        <v>239</v>
      </c>
      <c r="M186" t="s">
        <v>112</v>
      </c>
      <c r="N186">
        <v>2347925504</v>
      </c>
      <c r="O186" t="s">
        <v>251</v>
      </c>
      <c r="P186" t="s">
        <v>122</v>
      </c>
      <c r="Q186" t="s">
        <v>119</v>
      </c>
      <c r="R186" t="str">
        <f t="shared" si="46"/>
        <v>10x</v>
      </c>
      <c r="AA186">
        <v>1</v>
      </c>
      <c r="AB186" t="str">
        <f t="shared" si="52"/>
        <v/>
      </c>
      <c r="AC186" t="str">
        <f t="shared" si="53"/>
        <v/>
      </c>
      <c r="AE186" t="str">
        <f t="shared" si="54"/>
        <v/>
      </c>
      <c r="AF186" t="str">
        <f t="shared" si="55"/>
        <v/>
      </c>
      <c r="AH186" t="str">
        <f t="shared" si="56"/>
        <v/>
      </c>
      <c r="AI186" t="str">
        <f t="shared" ref="AI186:AI193" si="59">IF(Z186=1,$N186,"")</f>
        <v/>
      </c>
      <c r="AJ186">
        <f t="shared" ref="AJ186:AJ193" si="60">IF(AA186=1,$N186,"")</f>
        <v>2347925504</v>
      </c>
    </row>
    <row r="187" spans="12:36">
      <c r="L187" t="s">
        <v>239</v>
      </c>
      <c r="M187" t="s">
        <v>116</v>
      </c>
      <c r="N187">
        <v>91537408</v>
      </c>
      <c r="O187" t="s">
        <v>252</v>
      </c>
      <c r="P187" t="s">
        <v>253</v>
      </c>
      <c r="Q187" t="s">
        <v>254</v>
      </c>
      <c r="R187" t="str">
        <f t="shared" si="46"/>
        <v>10x</v>
      </c>
      <c r="AA187">
        <v>1</v>
      </c>
      <c r="AB187" t="str">
        <f t="shared" si="52"/>
        <v/>
      </c>
      <c r="AC187" t="str">
        <f t="shared" si="53"/>
        <v/>
      </c>
      <c r="AE187" t="str">
        <f t="shared" si="54"/>
        <v/>
      </c>
      <c r="AF187" t="str">
        <f t="shared" si="55"/>
        <v/>
      </c>
      <c r="AH187" t="str">
        <f t="shared" si="56"/>
        <v/>
      </c>
      <c r="AI187" t="str">
        <f t="shared" si="59"/>
        <v/>
      </c>
      <c r="AJ187">
        <f t="shared" si="60"/>
        <v>91537408</v>
      </c>
    </row>
    <row r="188" spans="12:36">
      <c r="L188" t="s">
        <v>239</v>
      </c>
      <c r="M188" t="s">
        <v>120</v>
      </c>
      <c r="N188">
        <v>1332617216</v>
      </c>
      <c r="O188" t="s">
        <v>255</v>
      </c>
      <c r="P188" t="s">
        <v>188</v>
      </c>
      <c r="Q188" t="s">
        <v>254</v>
      </c>
      <c r="R188" t="str">
        <f t="shared" si="46"/>
        <v>10x</v>
      </c>
      <c r="AA188">
        <v>1</v>
      </c>
      <c r="AB188" t="str">
        <f t="shared" si="52"/>
        <v/>
      </c>
      <c r="AC188" t="str">
        <f t="shared" si="53"/>
        <v/>
      </c>
      <c r="AE188" t="str">
        <f t="shared" si="54"/>
        <v/>
      </c>
      <c r="AF188" t="str">
        <f t="shared" si="55"/>
        <v/>
      </c>
      <c r="AH188" t="str">
        <f t="shared" si="56"/>
        <v/>
      </c>
      <c r="AI188" t="str">
        <f t="shared" si="59"/>
        <v/>
      </c>
      <c r="AJ188">
        <f t="shared" si="60"/>
        <v>1332617216</v>
      </c>
    </row>
    <row r="189" spans="12:36">
      <c r="L189" t="s">
        <v>239</v>
      </c>
      <c r="M189" t="s">
        <v>73</v>
      </c>
      <c r="N189">
        <v>294912</v>
      </c>
      <c r="O189" t="s">
        <v>256</v>
      </c>
      <c r="P189" t="s">
        <v>257</v>
      </c>
      <c r="Q189" t="s">
        <v>197</v>
      </c>
      <c r="R189" t="str">
        <f t="shared" si="46"/>
        <v>10x</v>
      </c>
      <c r="AA189">
        <v>1</v>
      </c>
      <c r="AB189" t="str">
        <f t="shared" si="52"/>
        <v/>
      </c>
      <c r="AC189" t="str">
        <f t="shared" si="53"/>
        <v/>
      </c>
      <c r="AE189" t="str">
        <f t="shared" si="54"/>
        <v/>
      </c>
      <c r="AF189" t="str">
        <f t="shared" si="55"/>
        <v/>
      </c>
      <c r="AH189" t="str">
        <f t="shared" si="56"/>
        <v/>
      </c>
      <c r="AI189" t="str">
        <f t="shared" si="59"/>
        <v/>
      </c>
      <c r="AJ189">
        <f t="shared" si="60"/>
        <v>294912</v>
      </c>
    </row>
    <row r="190" spans="12:36">
      <c r="L190" t="s">
        <v>239</v>
      </c>
      <c r="M190" t="s">
        <v>258</v>
      </c>
      <c r="N190">
        <v>2662400</v>
      </c>
      <c r="O190" t="s">
        <v>150</v>
      </c>
      <c r="P190" t="s">
        <v>259</v>
      </c>
      <c r="Q190" t="s">
        <v>197</v>
      </c>
      <c r="R190" t="str">
        <f t="shared" si="46"/>
        <v>10x</v>
      </c>
      <c r="AA190">
        <v>1</v>
      </c>
      <c r="AB190" t="str">
        <f t="shared" si="52"/>
        <v/>
      </c>
      <c r="AC190" t="str">
        <f t="shared" si="53"/>
        <v/>
      </c>
      <c r="AE190" t="str">
        <f t="shared" si="54"/>
        <v/>
      </c>
      <c r="AF190" t="str">
        <f t="shared" si="55"/>
        <v/>
      </c>
      <c r="AH190" t="str">
        <f t="shared" si="56"/>
        <v/>
      </c>
      <c r="AI190" t="str">
        <f t="shared" si="59"/>
        <v/>
      </c>
      <c r="AJ190">
        <f t="shared" si="60"/>
        <v>2662400</v>
      </c>
    </row>
    <row r="191" spans="12:36">
      <c r="L191" t="s">
        <v>239</v>
      </c>
      <c r="M191" t="s">
        <v>130</v>
      </c>
      <c r="N191">
        <v>745472</v>
      </c>
      <c r="O191" t="s">
        <v>131</v>
      </c>
      <c r="P191" t="s">
        <v>132</v>
      </c>
      <c r="Q191" t="s">
        <v>111</v>
      </c>
      <c r="R191" t="str">
        <f t="shared" si="46"/>
        <v>10x</v>
      </c>
      <c r="AA191">
        <v>1</v>
      </c>
      <c r="AB191" t="str">
        <f t="shared" si="52"/>
        <v/>
      </c>
      <c r="AC191" t="str">
        <f t="shared" si="53"/>
        <v/>
      </c>
      <c r="AE191" t="str">
        <f t="shared" si="54"/>
        <v/>
      </c>
      <c r="AF191" t="str">
        <f t="shared" si="55"/>
        <v/>
      </c>
      <c r="AH191" t="str">
        <f t="shared" si="56"/>
        <v/>
      </c>
      <c r="AI191" t="str">
        <f t="shared" si="59"/>
        <v/>
      </c>
      <c r="AJ191">
        <f t="shared" si="60"/>
        <v>745472</v>
      </c>
    </row>
    <row r="192" spans="12:36">
      <c r="L192" t="s">
        <v>239</v>
      </c>
      <c r="M192" t="s">
        <v>76</v>
      </c>
      <c r="N192">
        <v>87719936</v>
      </c>
      <c r="O192" t="s">
        <v>184</v>
      </c>
      <c r="P192" t="s">
        <v>260</v>
      </c>
      <c r="Q192" t="s">
        <v>245</v>
      </c>
      <c r="R192" t="str">
        <f t="shared" si="46"/>
        <v>10x</v>
      </c>
      <c r="AA192">
        <v>1</v>
      </c>
      <c r="AB192" t="str">
        <f t="shared" si="52"/>
        <v/>
      </c>
      <c r="AC192" t="str">
        <f t="shared" si="53"/>
        <v/>
      </c>
      <c r="AE192" t="str">
        <f t="shared" si="54"/>
        <v/>
      </c>
      <c r="AF192" t="str">
        <f t="shared" si="55"/>
        <v/>
      </c>
      <c r="AH192" t="str">
        <f t="shared" si="56"/>
        <v/>
      </c>
      <c r="AI192" t="str">
        <f t="shared" si="59"/>
        <v/>
      </c>
      <c r="AJ192">
        <f t="shared" si="60"/>
        <v>87719936</v>
      </c>
    </row>
    <row r="193" spans="1:36">
      <c r="L193" t="s">
        <v>239</v>
      </c>
      <c r="M193" t="s">
        <v>261</v>
      </c>
      <c r="N193">
        <v>707330048</v>
      </c>
      <c r="O193" t="s">
        <v>262</v>
      </c>
      <c r="P193" t="s">
        <v>176</v>
      </c>
      <c r="Q193" t="s">
        <v>263</v>
      </c>
      <c r="R193" t="str">
        <f t="shared" si="46"/>
        <v>10x</v>
      </c>
      <c r="AA193">
        <v>1</v>
      </c>
      <c r="AB193" t="str">
        <f t="shared" ref="AB193" si="61">IF(S193=1,$N193,"")</f>
        <v/>
      </c>
      <c r="AC193" t="str">
        <f t="shared" ref="AC193" si="62">IF(T193=1,$N193,"")</f>
        <v/>
      </c>
      <c r="AD193" t="str">
        <f t="shared" ref="AD193" si="63">IF(U193=1,$N193,"")</f>
        <v/>
      </c>
      <c r="AE193" t="str">
        <f t="shared" ref="AE193" si="64">IF(V193=1,$N193,"")</f>
        <v/>
      </c>
      <c r="AF193" t="str">
        <f t="shared" ref="AF193" si="65">IF(W193=1,$N193,"")</f>
        <v/>
      </c>
      <c r="AG193" t="str">
        <f t="shared" ref="AG193" si="66">IF(X193=1,$N193,"")</f>
        <v/>
      </c>
      <c r="AH193" t="str">
        <f t="shared" ref="AH193" si="67">IF(Y193=1,$N193,"")</f>
        <v/>
      </c>
      <c r="AI193" t="str">
        <f t="shared" si="59"/>
        <v/>
      </c>
      <c r="AJ193">
        <f t="shared" si="60"/>
        <v>707330048</v>
      </c>
    </row>
    <row r="194" spans="1:36" hidden="1">
      <c r="L194" t="s">
        <v>297</v>
      </c>
      <c r="M194" t="s">
        <v>69</v>
      </c>
      <c r="N194">
        <v>24576</v>
      </c>
      <c r="O194" t="s">
        <v>291</v>
      </c>
      <c r="P194" t="s">
        <v>134</v>
      </c>
      <c r="Q194" t="s">
        <v>111</v>
      </c>
      <c r="R194" t="str">
        <f t="shared" ref="R194:R206" si="68">IF(ISNUMBER(SEARCH("_2x", L194)), "2x", IF(ISNUMBER(SEARCH("_5x", L194)), "5x", IF(ISNUMBER(SEARCH("_10x", L194)), "10x", "1x")))</f>
        <v>1x</v>
      </c>
      <c r="AA194">
        <v>1</v>
      </c>
      <c r="AB194" t="str">
        <f>IF(S194=1,$N194,"")</f>
        <v/>
      </c>
      <c r="AC194" t="str">
        <f>IF(T194=1,$N194,"")</f>
        <v/>
      </c>
      <c r="AE194" t="str">
        <f>IF(V194=1,$N194,"")</f>
        <v/>
      </c>
      <c r="AF194" t="str">
        <f>IF(W194=1,$N194,"")</f>
        <v/>
      </c>
      <c r="AH194" t="str">
        <f>IF(Y194=1,$N194,"")</f>
        <v/>
      </c>
      <c r="AI194" t="str">
        <f t="shared" ref="AI194:AI195" si="69">IF(Z194=1,$N194,"")</f>
        <v/>
      </c>
      <c r="AJ194">
        <f t="shared" ref="AJ194:AJ195" si="70">IF(AA194=1,$N194,"")</f>
        <v>24576</v>
      </c>
    </row>
    <row r="195" spans="1:36" hidden="1">
      <c r="L195" t="s">
        <v>297</v>
      </c>
      <c r="M195" t="s">
        <v>105</v>
      </c>
      <c r="N195">
        <v>16384</v>
      </c>
      <c r="O195" t="s">
        <v>111</v>
      </c>
      <c r="P195" t="s">
        <v>134</v>
      </c>
      <c r="Q195" t="s">
        <v>110</v>
      </c>
      <c r="R195" t="str">
        <f t="shared" si="68"/>
        <v>1x</v>
      </c>
      <c r="AA195">
        <v>1</v>
      </c>
      <c r="AB195" t="str">
        <f>IF(S195=1,$N195,"")</f>
        <v/>
      </c>
      <c r="AC195" t="str">
        <f>IF(T195=1,$N195,"")</f>
        <v/>
      </c>
      <c r="AE195" t="str">
        <f>IF(V195=1,$N195,"")</f>
        <v/>
      </c>
      <c r="AF195" t="str">
        <f>IF(W195=1,$N195,"")</f>
        <v/>
      </c>
      <c r="AH195" t="str">
        <f>IF(Y195=1,$N195,"")</f>
        <v/>
      </c>
      <c r="AI195" t="str">
        <f t="shared" si="69"/>
        <v/>
      </c>
      <c r="AJ195">
        <f t="shared" si="70"/>
        <v>16384</v>
      </c>
    </row>
    <row r="196" spans="1:36" ht="14.15" hidden="1" customHeight="1">
      <c r="A196"/>
      <c r="B196"/>
      <c r="C196"/>
      <c r="D196"/>
      <c r="E196"/>
      <c r="F196"/>
      <c r="G196"/>
      <c r="H196"/>
      <c r="I196"/>
      <c r="J196"/>
      <c r="L196" t="s">
        <v>297</v>
      </c>
      <c r="M196" t="s">
        <v>108</v>
      </c>
      <c r="N196">
        <v>16384</v>
      </c>
      <c r="O196" t="s">
        <v>111</v>
      </c>
      <c r="P196" t="s">
        <v>134</v>
      </c>
      <c r="Q196" t="s">
        <v>110</v>
      </c>
      <c r="R196" t="str">
        <f t="shared" si="68"/>
        <v>1x</v>
      </c>
    </row>
    <row r="197" spans="1:36" ht="14.15" hidden="1" customHeight="1">
      <c r="A197"/>
      <c r="B197"/>
      <c r="C197"/>
      <c r="D197"/>
      <c r="E197"/>
      <c r="F197"/>
      <c r="G197"/>
      <c r="H197"/>
      <c r="I197"/>
      <c r="J197"/>
      <c r="L197" t="s">
        <v>297</v>
      </c>
      <c r="M197" t="s">
        <v>112</v>
      </c>
      <c r="N197">
        <v>16384</v>
      </c>
      <c r="O197" t="s">
        <v>111</v>
      </c>
      <c r="P197" t="s">
        <v>134</v>
      </c>
      <c r="Q197" t="s">
        <v>110</v>
      </c>
      <c r="R197" t="str">
        <f t="shared" si="68"/>
        <v>1x</v>
      </c>
    </row>
    <row r="198" spans="1:36" ht="14.15" hidden="1" customHeight="1">
      <c r="A198"/>
      <c r="B198"/>
      <c r="C198"/>
      <c r="D198"/>
      <c r="E198"/>
      <c r="F198"/>
      <c r="G198"/>
      <c r="H198"/>
      <c r="I198"/>
      <c r="J198"/>
      <c r="L198" t="s">
        <v>297</v>
      </c>
      <c r="M198" t="s">
        <v>116</v>
      </c>
      <c r="N198">
        <v>41320448</v>
      </c>
      <c r="O198" t="s">
        <v>298</v>
      </c>
      <c r="P198" t="s">
        <v>265</v>
      </c>
      <c r="Q198" t="s">
        <v>299</v>
      </c>
      <c r="R198" t="str">
        <f t="shared" si="68"/>
        <v>1x</v>
      </c>
    </row>
    <row r="199" spans="1:36" ht="14.15" hidden="1" customHeight="1">
      <c r="A199"/>
      <c r="B199"/>
      <c r="C199"/>
      <c r="D199"/>
      <c r="E199"/>
      <c r="F199"/>
      <c r="G199"/>
      <c r="H199"/>
      <c r="I199"/>
      <c r="J199"/>
      <c r="L199" t="s">
        <v>297</v>
      </c>
      <c r="M199" t="s">
        <v>120</v>
      </c>
      <c r="N199">
        <v>629678080</v>
      </c>
      <c r="O199" t="s">
        <v>300</v>
      </c>
      <c r="P199" t="s">
        <v>71</v>
      </c>
      <c r="Q199" t="s">
        <v>299</v>
      </c>
      <c r="R199" t="str">
        <f t="shared" si="68"/>
        <v>1x</v>
      </c>
    </row>
    <row r="200" spans="1:36" ht="14.15" hidden="1" customHeight="1">
      <c r="A200"/>
      <c r="B200"/>
      <c r="C200"/>
      <c r="D200"/>
      <c r="E200"/>
      <c r="F200"/>
      <c r="G200"/>
      <c r="H200"/>
      <c r="I200"/>
      <c r="J200"/>
      <c r="L200" t="s">
        <v>297</v>
      </c>
      <c r="M200" t="s">
        <v>73</v>
      </c>
      <c r="N200">
        <v>304340992</v>
      </c>
      <c r="O200" t="s">
        <v>301</v>
      </c>
      <c r="P200" t="s">
        <v>302</v>
      </c>
      <c r="Q200" t="s">
        <v>188</v>
      </c>
      <c r="R200" t="str">
        <f t="shared" si="68"/>
        <v>1x</v>
      </c>
    </row>
    <row r="201" spans="1:36" ht="14.15" hidden="1" customHeight="1">
      <c r="A201"/>
      <c r="B201"/>
      <c r="C201"/>
      <c r="D201"/>
      <c r="E201"/>
      <c r="F201"/>
      <c r="G201"/>
      <c r="H201"/>
      <c r="I201"/>
      <c r="J201"/>
      <c r="L201" t="s">
        <v>297</v>
      </c>
      <c r="M201" t="s">
        <v>124</v>
      </c>
      <c r="N201">
        <v>16384</v>
      </c>
      <c r="O201" t="s">
        <v>111</v>
      </c>
      <c r="P201" t="s">
        <v>134</v>
      </c>
      <c r="Q201" t="s">
        <v>110</v>
      </c>
      <c r="R201" t="str">
        <f t="shared" si="68"/>
        <v>1x</v>
      </c>
    </row>
    <row r="202" spans="1:36" ht="14.15" hidden="1" customHeight="1">
      <c r="A202"/>
      <c r="B202"/>
      <c r="C202"/>
      <c r="D202"/>
      <c r="E202"/>
      <c r="F202"/>
      <c r="G202"/>
      <c r="H202"/>
      <c r="I202"/>
      <c r="J202"/>
      <c r="L202" t="s">
        <v>297</v>
      </c>
      <c r="M202" t="s">
        <v>76</v>
      </c>
      <c r="N202">
        <v>327974912</v>
      </c>
      <c r="O202" t="s">
        <v>303</v>
      </c>
      <c r="P202" t="s">
        <v>304</v>
      </c>
      <c r="Q202" t="s">
        <v>305</v>
      </c>
      <c r="R202" t="str">
        <f t="shared" si="68"/>
        <v>1x</v>
      </c>
    </row>
    <row r="203" spans="1:36" ht="14.15" hidden="1" customHeight="1">
      <c r="A203"/>
      <c r="B203"/>
      <c r="C203"/>
      <c r="D203"/>
      <c r="E203"/>
      <c r="F203"/>
      <c r="G203"/>
      <c r="H203"/>
      <c r="I203"/>
      <c r="J203"/>
      <c r="L203" t="s">
        <v>297</v>
      </c>
      <c r="M203" t="s">
        <v>133</v>
      </c>
      <c r="N203">
        <v>16384</v>
      </c>
      <c r="O203" t="s">
        <v>111</v>
      </c>
      <c r="P203" t="s">
        <v>134</v>
      </c>
      <c r="Q203" t="s">
        <v>110</v>
      </c>
      <c r="R203" t="str">
        <f t="shared" si="68"/>
        <v>1x</v>
      </c>
    </row>
    <row r="204" spans="1:36" ht="14.15" hidden="1" customHeight="1">
      <c r="A204"/>
      <c r="B204"/>
      <c r="C204"/>
      <c r="D204"/>
      <c r="E204"/>
      <c r="F204"/>
      <c r="G204"/>
      <c r="H204"/>
      <c r="I204"/>
      <c r="J204"/>
      <c r="L204" t="s">
        <v>306</v>
      </c>
      <c r="M204" t="s">
        <v>91</v>
      </c>
      <c r="N204">
        <v>662315008</v>
      </c>
      <c r="O204" t="s">
        <v>307</v>
      </c>
      <c r="P204" t="s">
        <v>308</v>
      </c>
      <c r="Q204" t="s">
        <v>134</v>
      </c>
      <c r="R204" t="str">
        <f t="shared" si="68"/>
        <v>1x</v>
      </c>
    </row>
    <row r="205" spans="1:36" ht="14.15" hidden="1" customHeight="1">
      <c r="A205"/>
      <c r="B205"/>
      <c r="C205"/>
      <c r="D205"/>
      <c r="E205"/>
      <c r="F205"/>
      <c r="G205"/>
      <c r="H205"/>
      <c r="I205"/>
      <c r="J205"/>
      <c r="L205" t="s">
        <v>306</v>
      </c>
      <c r="M205" t="s">
        <v>95</v>
      </c>
      <c r="N205">
        <v>221175808</v>
      </c>
      <c r="O205" t="s">
        <v>309</v>
      </c>
      <c r="P205" t="s">
        <v>309</v>
      </c>
      <c r="Q205" t="s">
        <v>134</v>
      </c>
      <c r="R205" t="str">
        <f t="shared" si="68"/>
        <v>1x</v>
      </c>
    </row>
    <row r="206" spans="1:36" ht="14.15" hidden="1" customHeight="1">
      <c r="A206"/>
      <c r="B206"/>
      <c r="C206"/>
      <c r="D206"/>
      <c r="E206"/>
      <c r="F206"/>
      <c r="G206"/>
      <c r="H206"/>
      <c r="I206"/>
      <c r="J206"/>
      <c r="L206" t="s">
        <v>306</v>
      </c>
      <c r="M206" t="s">
        <v>99</v>
      </c>
      <c r="N206">
        <v>112230400</v>
      </c>
      <c r="O206" t="s">
        <v>310</v>
      </c>
      <c r="P206" t="s">
        <v>310</v>
      </c>
      <c r="Q206" t="s">
        <v>134</v>
      </c>
      <c r="R206" t="str">
        <f t="shared" si="68"/>
        <v>1x</v>
      </c>
    </row>
    <row r="207" spans="1:36" hidden="1">
      <c r="L207" t="s">
        <v>306</v>
      </c>
      <c r="M207" t="s">
        <v>103</v>
      </c>
      <c r="N207">
        <v>617111552</v>
      </c>
      <c r="O207" t="s">
        <v>311</v>
      </c>
      <c r="P207" t="s">
        <v>312</v>
      </c>
      <c r="Q207" t="s">
        <v>134</v>
      </c>
      <c r="R207" t="str">
        <f t="shared" ref="R207:R270" si="71">IF(ISNUMBER(SEARCH("_2x", L207)), "2x", IF(ISNUMBER(SEARCH("_5x", L207)), "5x", IF(ISNUMBER(SEARCH("_10x", L207)), "10x", "1x")))</f>
        <v>1x</v>
      </c>
    </row>
    <row r="208" spans="1:36" hidden="1">
      <c r="L208" t="s">
        <v>306</v>
      </c>
      <c r="M208" t="s">
        <v>69</v>
      </c>
      <c r="N208">
        <v>819453952</v>
      </c>
      <c r="O208" t="s">
        <v>313</v>
      </c>
      <c r="P208" t="s">
        <v>313</v>
      </c>
      <c r="Q208" t="s">
        <v>134</v>
      </c>
      <c r="R208" t="str">
        <f t="shared" si="71"/>
        <v>1x</v>
      </c>
    </row>
    <row r="209" spans="12:18" hidden="1">
      <c r="L209" t="s">
        <v>306</v>
      </c>
      <c r="M209" t="s">
        <v>73</v>
      </c>
      <c r="N209">
        <v>31547392</v>
      </c>
      <c r="O209" t="s">
        <v>96</v>
      </c>
      <c r="P209" t="s">
        <v>96</v>
      </c>
      <c r="Q209" t="s">
        <v>134</v>
      </c>
      <c r="R209" t="str">
        <f t="shared" si="71"/>
        <v>1x</v>
      </c>
    </row>
    <row r="210" spans="12:18" hidden="1">
      <c r="L210" t="s">
        <v>306</v>
      </c>
      <c r="M210" t="s">
        <v>126</v>
      </c>
      <c r="N210">
        <v>25632768</v>
      </c>
      <c r="O210" t="s">
        <v>217</v>
      </c>
      <c r="P210" t="s">
        <v>217</v>
      </c>
      <c r="Q210" t="s">
        <v>134</v>
      </c>
      <c r="R210" t="str">
        <f t="shared" si="71"/>
        <v>1x</v>
      </c>
    </row>
    <row r="211" spans="12:18" hidden="1">
      <c r="L211" t="s">
        <v>306</v>
      </c>
      <c r="M211" t="s">
        <v>130</v>
      </c>
      <c r="N211">
        <v>6438912</v>
      </c>
      <c r="O211" t="s">
        <v>314</v>
      </c>
      <c r="P211" t="s">
        <v>315</v>
      </c>
      <c r="Q211" t="s">
        <v>134</v>
      </c>
      <c r="R211" t="str">
        <f t="shared" si="71"/>
        <v>1x</v>
      </c>
    </row>
    <row r="212" spans="12:18" hidden="1">
      <c r="L212" t="s">
        <v>306</v>
      </c>
      <c r="M212" t="s">
        <v>76</v>
      </c>
      <c r="N212">
        <v>187981824</v>
      </c>
      <c r="O212" t="s">
        <v>316</v>
      </c>
      <c r="P212" t="s">
        <v>316</v>
      </c>
      <c r="Q212" t="s">
        <v>134</v>
      </c>
      <c r="R212" t="str">
        <f t="shared" si="71"/>
        <v>1x</v>
      </c>
    </row>
    <row r="213" spans="12:18" hidden="1">
      <c r="L213" t="s">
        <v>306</v>
      </c>
      <c r="M213" t="s">
        <v>317</v>
      </c>
      <c r="N213">
        <v>20029440</v>
      </c>
      <c r="O213" t="s">
        <v>279</v>
      </c>
      <c r="P213" t="s">
        <v>279</v>
      </c>
      <c r="Q213" t="s">
        <v>134</v>
      </c>
      <c r="R213" t="str">
        <f t="shared" si="71"/>
        <v>1x</v>
      </c>
    </row>
    <row r="214" spans="12:18" hidden="1">
      <c r="L214" t="s">
        <v>318</v>
      </c>
      <c r="M214" t="s">
        <v>91</v>
      </c>
      <c r="N214">
        <v>45760512</v>
      </c>
      <c r="O214" t="s">
        <v>155</v>
      </c>
      <c r="P214" t="s">
        <v>155</v>
      </c>
      <c r="Q214" t="s">
        <v>134</v>
      </c>
      <c r="R214" t="str">
        <f t="shared" si="71"/>
        <v>1x</v>
      </c>
    </row>
    <row r="215" spans="12:18" hidden="1">
      <c r="L215" t="s">
        <v>318</v>
      </c>
      <c r="M215" t="s">
        <v>95</v>
      </c>
      <c r="N215">
        <v>11124736</v>
      </c>
      <c r="O215" t="s">
        <v>137</v>
      </c>
      <c r="P215" t="s">
        <v>137</v>
      </c>
      <c r="Q215" t="s">
        <v>134</v>
      </c>
      <c r="R215" t="str">
        <f t="shared" si="71"/>
        <v>1x</v>
      </c>
    </row>
    <row r="216" spans="12:18" hidden="1">
      <c r="L216" t="s">
        <v>318</v>
      </c>
      <c r="M216" t="s">
        <v>99</v>
      </c>
      <c r="N216">
        <v>8175616</v>
      </c>
      <c r="O216" t="s">
        <v>319</v>
      </c>
      <c r="P216" t="s">
        <v>320</v>
      </c>
      <c r="Q216" t="s">
        <v>134</v>
      </c>
      <c r="R216" t="str">
        <f t="shared" si="71"/>
        <v>1x</v>
      </c>
    </row>
    <row r="217" spans="12:18" hidden="1">
      <c r="L217" t="s">
        <v>318</v>
      </c>
      <c r="M217" t="s">
        <v>103</v>
      </c>
      <c r="N217">
        <v>44802048</v>
      </c>
      <c r="O217" t="s">
        <v>321</v>
      </c>
      <c r="P217" t="s">
        <v>321</v>
      </c>
      <c r="Q217" t="s">
        <v>134</v>
      </c>
      <c r="R217" t="str">
        <f t="shared" si="71"/>
        <v>1x</v>
      </c>
    </row>
    <row r="218" spans="12:18" hidden="1">
      <c r="L218" t="s">
        <v>318</v>
      </c>
      <c r="M218" t="s">
        <v>69</v>
      </c>
      <c r="N218">
        <v>819404800</v>
      </c>
      <c r="O218" t="s">
        <v>313</v>
      </c>
      <c r="P218" t="s">
        <v>313</v>
      </c>
      <c r="Q218" t="s">
        <v>134</v>
      </c>
      <c r="R218" t="str">
        <f t="shared" si="71"/>
        <v>1x</v>
      </c>
    </row>
    <row r="219" spans="12:18" hidden="1">
      <c r="L219" t="s">
        <v>318</v>
      </c>
      <c r="M219" t="s">
        <v>73</v>
      </c>
      <c r="N219">
        <v>5365760</v>
      </c>
      <c r="O219" t="s">
        <v>322</v>
      </c>
      <c r="P219" t="s">
        <v>323</v>
      </c>
      <c r="Q219" t="s">
        <v>134</v>
      </c>
      <c r="R219" t="str">
        <f t="shared" si="71"/>
        <v>1x</v>
      </c>
    </row>
    <row r="220" spans="12:18" hidden="1">
      <c r="L220" t="s">
        <v>318</v>
      </c>
      <c r="M220" t="s">
        <v>126</v>
      </c>
      <c r="N220">
        <v>4366336</v>
      </c>
      <c r="O220" t="s">
        <v>324</v>
      </c>
      <c r="P220" t="s">
        <v>325</v>
      </c>
      <c r="Q220" t="s">
        <v>134</v>
      </c>
      <c r="R220" t="str">
        <f t="shared" si="71"/>
        <v>1x</v>
      </c>
    </row>
    <row r="221" spans="12:18" hidden="1">
      <c r="L221" t="s">
        <v>318</v>
      </c>
      <c r="M221" t="s">
        <v>130</v>
      </c>
      <c r="N221">
        <v>958464</v>
      </c>
      <c r="O221" t="s">
        <v>326</v>
      </c>
      <c r="P221" t="s">
        <v>327</v>
      </c>
      <c r="Q221" t="s">
        <v>134</v>
      </c>
      <c r="R221" t="str">
        <f t="shared" si="71"/>
        <v>1x</v>
      </c>
    </row>
    <row r="222" spans="12:18" hidden="1">
      <c r="L222" t="s">
        <v>318</v>
      </c>
      <c r="M222" t="s">
        <v>328</v>
      </c>
      <c r="N222">
        <v>8192</v>
      </c>
      <c r="O222" t="s">
        <v>110</v>
      </c>
      <c r="P222" t="s">
        <v>110</v>
      </c>
      <c r="Q222" t="s">
        <v>134</v>
      </c>
      <c r="R222" t="str">
        <f t="shared" si="71"/>
        <v>1x</v>
      </c>
    </row>
    <row r="223" spans="12:18" hidden="1">
      <c r="L223" t="s">
        <v>318</v>
      </c>
      <c r="M223" t="s">
        <v>76</v>
      </c>
      <c r="N223">
        <v>40615936</v>
      </c>
      <c r="O223" t="s">
        <v>298</v>
      </c>
      <c r="P223" t="s">
        <v>298</v>
      </c>
      <c r="Q223" t="s">
        <v>134</v>
      </c>
      <c r="R223" t="str">
        <f t="shared" si="71"/>
        <v>1x</v>
      </c>
    </row>
    <row r="224" spans="12:18" hidden="1">
      <c r="L224" t="s">
        <v>318</v>
      </c>
      <c r="M224" t="s">
        <v>317</v>
      </c>
      <c r="N224">
        <v>3424256</v>
      </c>
      <c r="O224" t="s">
        <v>329</v>
      </c>
      <c r="P224" t="s">
        <v>330</v>
      </c>
      <c r="Q224" t="s">
        <v>134</v>
      </c>
      <c r="R224" t="str">
        <f t="shared" si="71"/>
        <v>1x</v>
      </c>
    </row>
    <row r="225" spans="12:18" hidden="1">
      <c r="L225" t="s">
        <v>331</v>
      </c>
      <c r="M225" t="s">
        <v>91</v>
      </c>
      <c r="N225">
        <v>45760512</v>
      </c>
      <c r="O225" t="s">
        <v>155</v>
      </c>
      <c r="P225" t="s">
        <v>155</v>
      </c>
      <c r="Q225" t="s">
        <v>134</v>
      </c>
      <c r="R225" t="str">
        <f t="shared" si="71"/>
        <v>10x</v>
      </c>
    </row>
    <row r="226" spans="12:18" hidden="1">
      <c r="L226" t="s">
        <v>331</v>
      </c>
      <c r="M226" t="s">
        <v>95</v>
      </c>
      <c r="N226">
        <v>11124736</v>
      </c>
      <c r="O226" t="s">
        <v>137</v>
      </c>
      <c r="P226" t="s">
        <v>137</v>
      </c>
      <c r="Q226" t="s">
        <v>134</v>
      </c>
      <c r="R226" t="str">
        <f t="shared" si="71"/>
        <v>10x</v>
      </c>
    </row>
    <row r="227" spans="12:18" hidden="1">
      <c r="L227" t="s">
        <v>331</v>
      </c>
      <c r="M227" t="s">
        <v>99</v>
      </c>
      <c r="N227">
        <v>81428480</v>
      </c>
      <c r="O227" t="s">
        <v>332</v>
      </c>
      <c r="P227" t="s">
        <v>332</v>
      </c>
      <c r="Q227" t="s">
        <v>134</v>
      </c>
      <c r="R227" t="str">
        <f t="shared" si="71"/>
        <v>10x</v>
      </c>
    </row>
    <row r="228" spans="12:18" hidden="1">
      <c r="L228" t="s">
        <v>331</v>
      </c>
      <c r="M228" t="s">
        <v>103</v>
      </c>
      <c r="N228">
        <v>447717376</v>
      </c>
      <c r="O228" t="s">
        <v>333</v>
      </c>
      <c r="P228" t="s">
        <v>333</v>
      </c>
      <c r="Q228" t="s">
        <v>134</v>
      </c>
      <c r="R228" t="str">
        <f t="shared" si="71"/>
        <v>10x</v>
      </c>
    </row>
    <row r="229" spans="12:18" hidden="1">
      <c r="L229" t="s">
        <v>331</v>
      </c>
      <c r="M229" t="s">
        <v>334</v>
      </c>
      <c r="N229">
        <v>44318720</v>
      </c>
      <c r="O229" t="s">
        <v>335</v>
      </c>
      <c r="P229" t="s">
        <v>335</v>
      </c>
      <c r="Q229" t="s">
        <v>134</v>
      </c>
      <c r="R229" t="str">
        <f t="shared" si="71"/>
        <v>10x</v>
      </c>
    </row>
    <row r="230" spans="12:18" hidden="1">
      <c r="L230" t="s">
        <v>331</v>
      </c>
      <c r="M230" t="s">
        <v>69</v>
      </c>
      <c r="N230">
        <v>8192647168</v>
      </c>
      <c r="O230" t="s">
        <v>336</v>
      </c>
      <c r="P230" t="s">
        <v>337</v>
      </c>
      <c r="Q230" t="s">
        <v>134</v>
      </c>
      <c r="R230" t="str">
        <f t="shared" si="71"/>
        <v>10x</v>
      </c>
    </row>
    <row r="231" spans="12:18" hidden="1">
      <c r="L231" t="s">
        <v>331</v>
      </c>
      <c r="M231" t="s">
        <v>73</v>
      </c>
      <c r="N231">
        <v>53370880</v>
      </c>
      <c r="O231" t="s">
        <v>338</v>
      </c>
      <c r="P231" t="s">
        <v>338</v>
      </c>
      <c r="Q231" t="s">
        <v>134</v>
      </c>
      <c r="R231" t="str">
        <f t="shared" si="71"/>
        <v>10x</v>
      </c>
    </row>
    <row r="232" spans="12:18" hidden="1">
      <c r="L232" t="s">
        <v>331</v>
      </c>
      <c r="M232" t="s">
        <v>126</v>
      </c>
      <c r="N232">
        <v>43376640</v>
      </c>
      <c r="O232" t="s">
        <v>339</v>
      </c>
      <c r="P232" t="s">
        <v>339</v>
      </c>
      <c r="Q232" t="s">
        <v>134</v>
      </c>
      <c r="R232" t="str">
        <f t="shared" si="71"/>
        <v>10x</v>
      </c>
    </row>
    <row r="233" spans="12:18" hidden="1">
      <c r="L233" t="s">
        <v>331</v>
      </c>
      <c r="M233" t="s">
        <v>130</v>
      </c>
      <c r="N233">
        <v>434176</v>
      </c>
      <c r="O233" t="s">
        <v>340</v>
      </c>
      <c r="P233" t="s">
        <v>341</v>
      </c>
      <c r="Q233" t="s">
        <v>134</v>
      </c>
      <c r="R233" t="str">
        <f t="shared" si="71"/>
        <v>10x</v>
      </c>
    </row>
    <row r="234" spans="12:18" hidden="1">
      <c r="L234" t="s">
        <v>331</v>
      </c>
      <c r="M234" t="s">
        <v>76</v>
      </c>
      <c r="N234">
        <v>405626880</v>
      </c>
      <c r="O234" t="s">
        <v>342</v>
      </c>
      <c r="P234" t="s">
        <v>342</v>
      </c>
      <c r="Q234" t="s">
        <v>134</v>
      </c>
      <c r="R234" t="str">
        <f t="shared" si="71"/>
        <v>10x</v>
      </c>
    </row>
    <row r="235" spans="12:18" hidden="1">
      <c r="L235" t="s">
        <v>331</v>
      </c>
      <c r="M235" t="s">
        <v>317</v>
      </c>
      <c r="N235">
        <v>33857536</v>
      </c>
      <c r="O235" t="s">
        <v>115</v>
      </c>
      <c r="P235" t="s">
        <v>115</v>
      </c>
      <c r="Q235" t="s">
        <v>134</v>
      </c>
      <c r="R235" t="str">
        <f t="shared" si="71"/>
        <v>10x</v>
      </c>
    </row>
    <row r="236" spans="12:18" hidden="1">
      <c r="L236" t="s">
        <v>343</v>
      </c>
      <c r="M236" t="s">
        <v>91</v>
      </c>
      <c r="N236">
        <v>45760512</v>
      </c>
      <c r="O236" t="s">
        <v>155</v>
      </c>
      <c r="P236" t="s">
        <v>155</v>
      </c>
      <c r="Q236" t="s">
        <v>134</v>
      </c>
      <c r="R236" t="str">
        <f t="shared" si="71"/>
        <v>2x</v>
      </c>
    </row>
    <row r="237" spans="12:18" hidden="1">
      <c r="L237" t="s">
        <v>343</v>
      </c>
      <c r="M237" t="s">
        <v>95</v>
      </c>
      <c r="N237">
        <v>11124736</v>
      </c>
      <c r="O237" t="s">
        <v>137</v>
      </c>
      <c r="P237" t="s">
        <v>137</v>
      </c>
      <c r="Q237" t="s">
        <v>134</v>
      </c>
      <c r="R237" t="str">
        <f t="shared" si="71"/>
        <v>2x</v>
      </c>
    </row>
    <row r="238" spans="12:18" hidden="1">
      <c r="L238" t="s">
        <v>343</v>
      </c>
      <c r="M238" t="s">
        <v>99</v>
      </c>
      <c r="N238">
        <v>16310272</v>
      </c>
      <c r="O238" t="s">
        <v>123</v>
      </c>
      <c r="P238" t="s">
        <v>123</v>
      </c>
      <c r="Q238" t="s">
        <v>134</v>
      </c>
      <c r="R238" t="str">
        <f t="shared" si="71"/>
        <v>2x</v>
      </c>
    </row>
    <row r="239" spans="12:18" hidden="1">
      <c r="L239" t="s">
        <v>343</v>
      </c>
      <c r="M239" t="s">
        <v>103</v>
      </c>
      <c r="N239">
        <v>89563136</v>
      </c>
      <c r="O239" t="s">
        <v>344</v>
      </c>
      <c r="P239" t="s">
        <v>344</v>
      </c>
      <c r="Q239" t="s">
        <v>134</v>
      </c>
      <c r="R239" t="str">
        <f t="shared" si="71"/>
        <v>2x</v>
      </c>
    </row>
    <row r="240" spans="12:18" hidden="1">
      <c r="L240" t="s">
        <v>343</v>
      </c>
      <c r="M240" t="s">
        <v>334</v>
      </c>
      <c r="N240">
        <v>8888320</v>
      </c>
      <c r="O240" t="s">
        <v>345</v>
      </c>
      <c r="P240" t="s">
        <v>346</v>
      </c>
      <c r="Q240" t="s">
        <v>134</v>
      </c>
      <c r="R240" t="str">
        <f t="shared" si="71"/>
        <v>2x</v>
      </c>
    </row>
    <row r="241" spans="12:18" hidden="1">
      <c r="L241" t="s">
        <v>343</v>
      </c>
      <c r="M241" t="s">
        <v>69</v>
      </c>
      <c r="N241">
        <v>1638555648</v>
      </c>
      <c r="O241" t="s">
        <v>347</v>
      </c>
      <c r="P241" t="s">
        <v>348</v>
      </c>
      <c r="Q241" t="s">
        <v>134</v>
      </c>
      <c r="R241" t="str">
        <f t="shared" si="71"/>
        <v>2x</v>
      </c>
    </row>
    <row r="242" spans="12:18" hidden="1">
      <c r="L242" t="s">
        <v>343</v>
      </c>
      <c r="M242" t="s">
        <v>73</v>
      </c>
      <c r="N242">
        <v>10698752</v>
      </c>
      <c r="O242" t="s">
        <v>138</v>
      </c>
      <c r="P242" t="s">
        <v>138</v>
      </c>
      <c r="Q242" t="s">
        <v>134</v>
      </c>
      <c r="R242" t="str">
        <f t="shared" si="71"/>
        <v>2x</v>
      </c>
    </row>
    <row r="243" spans="12:18" hidden="1">
      <c r="L243" t="s">
        <v>343</v>
      </c>
      <c r="M243" t="s">
        <v>126</v>
      </c>
      <c r="N243">
        <v>8699904</v>
      </c>
      <c r="O243" t="s">
        <v>349</v>
      </c>
      <c r="P243" t="s">
        <v>350</v>
      </c>
      <c r="Q243" t="s">
        <v>134</v>
      </c>
      <c r="R243" t="str">
        <f t="shared" si="71"/>
        <v>2x</v>
      </c>
    </row>
    <row r="244" spans="12:18" hidden="1">
      <c r="L244" t="s">
        <v>343</v>
      </c>
      <c r="M244" t="s">
        <v>130</v>
      </c>
      <c r="N244">
        <v>434176</v>
      </c>
      <c r="O244" t="s">
        <v>340</v>
      </c>
      <c r="P244" t="s">
        <v>341</v>
      </c>
      <c r="Q244" t="s">
        <v>134</v>
      </c>
      <c r="R244" t="str">
        <f t="shared" si="71"/>
        <v>2x</v>
      </c>
    </row>
    <row r="245" spans="12:18" hidden="1">
      <c r="L245" t="s">
        <v>343</v>
      </c>
      <c r="M245" t="s">
        <v>76</v>
      </c>
      <c r="N245">
        <v>81158144</v>
      </c>
      <c r="O245" t="s">
        <v>351</v>
      </c>
      <c r="P245" t="s">
        <v>351</v>
      </c>
      <c r="Q245" t="s">
        <v>134</v>
      </c>
      <c r="R245" t="str">
        <f t="shared" si="71"/>
        <v>2x</v>
      </c>
    </row>
    <row r="246" spans="12:18" hidden="1">
      <c r="L246" t="s">
        <v>343</v>
      </c>
      <c r="M246" t="s">
        <v>317</v>
      </c>
      <c r="N246">
        <v>6807552</v>
      </c>
      <c r="O246" t="s">
        <v>352</v>
      </c>
      <c r="P246" t="s">
        <v>353</v>
      </c>
      <c r="Q246" t="s">
        <v>134</v>
      </c>
      <c r="R246" t="str">
        <f t="shared" si="71"/>
        <v>2x</v>
      </c>
    </row>
    <row r="247" spans="12:18" hidden="1">
      <c r="L247" t="s">
        <v>354</v>
      </c>
      <c r="M247" t="s">
        <v>99</v>
      </c>
      <c r="N247">
        <v>39460864</v>
      </c>
      <c r="O247" t="s">
        <v>355</v>
      </c>
      <c r="P247" t="s">
        <v>355</v>
      </c>
      <c r="Q247" t="s">
        <v>134</v>
      </c>
      <c r="R247" t="str">
        <f t="shared" si="71"/>
        <v>1x</v>
      </c>
    </row>
    <row r="248" spans="12:18" hidden="1">
      <c r="L248" t="s">
        <v>354</v>
      </c>
      <c r="M248" t="s">
        <v>103</v>
      </c>
      <c r="N248">
        <v>216850432</v>
      </c>
      <c r="O248" t="s">
        <v>356</v>
      </c>
      <c r="P248" t="s">
        <v>356</v>
      </c>
      <c r="Q248" t="s">
        <v>134</v>
      </c>
      <c r="R248" t="str">
        <f t="shared" si="71"/>
        <v>1x</v>
      </c>
    </row>
    <row r="249" spans="12:18" hidden="1">
      <c r="L249" t="s">
        <v>354</v>
      </c>
      <c r="M249" t="s">
        <v>334</v>
      </c>
      <c r="N249">
        <v>13320192</v>
      </c>
      <c r="O249" t="s">
        <v>104</v>
      </c>
      <c r="P249" t="s">
        <v>104</v>
      </c>
      <c r="Q249" t="s">
        <v>134</v>
      </c>
      <c r="R249" t="str">
        <f t="shared" si="71"/>
        <v>1x</v>
      </c>
    </row>
    <row r="250" spans="12:18" hidden="1">
      <c r="L250" t="s">
        <v>354</v>
      </c>
      <c r="M250" t="s">
        <v>69</v>
      </c>
      <c r="N250">
        <v>2457812992</v>
      </c>
      <c r="O250" t="s">
        <v>357</v>
      </c>
      <c r="P250" t="s">
        <v>358</v>
      </c>
      <c r="Q250" t="s">
        <v>134</v>
      </c>
      <c r="R250" t="str">
        <f t="shared" si="71"/>
        <v>1x</v>
      </c>
    </row>
    <row r="251" spans="12:18" hidden="1">
      <c r="L251" t="s">
        <v>354</v>
      </c>
      <c r="M251" t="s">
        <v>73</v>
      </c>
      <c r="N251">
        <v>16031744</v>
      </c>
      <c r="O251" t="s">
        <v>88</v>
      </c>
      <c r="P251" t="s">
        <v>88</v>
      </c>
      <c r="Q251" t="s">
        <v>134</v>
      </c>
      <c r="R251" t="str">
        <f t="shared" si="71"/>
        <v>1x</v>
      </c>
    </row>
    <row r="252" spans="12:18" hidden="1">
      <c r="L252" t="s">
        <v>354</v>
      </c>
      <c r="M252" t="s">
        <v>126</v>
      </c>
      <c r="N252">
        <v>13033472</v>
      </c>
      <c r="O252" t="s">
        <v>188</v>
      </c>
      <c r="P252" t="s">
        <v>188</v>
      </c>
      <c r="Q252" t="s">
        <v>134</v>
      </c>
      <c r="R252" t="str">
        <f t="shared" si="71"/>
        <v>1x</v>
      </c>
    </row>
    <row r="253" spans="12:18" hidden="1">
      <c r="L253" t="s">
        <v>354</v>
      </c>
      <c r="M253" t="s">
        <v>76</v>
      </c>
      <c r="N253">
        <v>121667584</v>
      </c>
      <c r="O253" t="s">
        <v>359</v>
      </c>
      <c r="P253" t="s">
        <v>359</v>
      </c>
      <c r="Q253" t="s">
        <v>134</v>
      </c>
      <c r="R253" t="str">
        <f t="shared" si="71"/>
        <v>1x</v>
      </c>
    </row>
    <row r="254" spans="12:18" hidden="1">
      <c r="L254" t="s">
        <v>354</v>
      </c>
      <c r="M254" t="s">
        <v>317</v>
      </c>
      <c r="N254">
        <v>10190848</v>
      </c>
      <c r="O254" t="s">
        <v>360</v>
      </c>
      <c r="P254" t="s">
        <v>361</v>
      </c>
      <c r="Q254" t="s">
        <v>134</v>
      </c>
      <c r="R254" t="str">
        <f t="shared" si="71"/>
        <v>1x</v>
      </c>
    </row>
    <row r="255" spans="12:18" hidden="1">
      <c r="L255" t="s">
        <v>432</v>
      </c>
      <c r="M255" t="s">
        <v>91</v>
      </c>
      <c r="N255">
        <v>45760512</v>
      </c>
      <c r="O255" t="s">
        <v>155</v>
      </c>
      <c r="P255" t="s">
        <v>155</v>
      </c>
      <c r="Q255" t="s">
        <v>134</v>
      </c>
      <c r="R255" t="str">
        <f t="shared" si="71"/>
        <v>5x</v>
      </c>
    </row>
    <row r="256" spans="12:18" hidden="1">
      <c r="L256" t="s">
        <v>432</v>
      </c>
      <c r="M256" t="s">
        <v>95</v>
      </c>
      <c r="N256">
        <v>11124736</v>
      </c>
      <c r="O256" t="s">
        <v>137</v>
      </c>
      <c r="P256" t="s">
        <v>137</v>
      </c>
      <c r="Q256" t="s">
        <v>134</v>
      </c>
      <c r="R256" t="str">
        <f t="shared" si="71"/>
        <v>5x</v>
      </c>
    </row>
    <row r="257" spans="12:36" hidden="1">
      <c r="L257" t="s">
        <v>432</v>
      </c>
      <c r="M257" t="s">
        <v>99</v>
      </c>
      <c r="N257">
        <v>40730624</v>
      </c>
      <c r="O257" t="s">
        <v>298</v>
      </c>
      <c r="P257" t="s">
        <v>298</v>
      </c>
      <c r="Q257" t="s">
        <v>134</v>
      </c>
      <c r="R257" t="str">
        <f t="shared" si="71"/>
        <v>5x</v>
      </c>
    </row>
    <row r="258" spans="12:36" hidden="1">
      <c r="L258" t="s">
        <v>432</v>
      </c>
      <c r="M258" t="s">
        <v>103</v>
      </c>
      <c r="N258">
        <v>223870976</v>
      </c>
      <c r="O258" t="s">
        <v>433</v>
      </c>
      <c r="P258" t="s">
        <v>434</v>
      </c>
      <c r="Q258" t="s">
        <v>134</v>
      </c>
      <c r="R258" t="str">
        <f t="shared" si="71"/>
        <v>5x</v>
      </c>
    </row>
    <row r="259" spans="12:36" hidden="1">
      <c r="L259" t="s">
        <v>432</v>
      </c>
      <c r="M259" t="s">
        <v>334</v>
      </c>
      <c r="N259">
        <v>22175744</v>
      </c>
      <c r="O259" t="s">
        <v>435</v>
      </c>
      <c r="P259" t="s">
        <v>435</v>
      </c>
      <c r="Q259" t="s">
        <v>134</v>
      </c>
      <c r="R259" t="str">
        <f t="shared" si="71"/>
        <v>5x</v>
      </c>
    </row>
    <row r="260" spans="12:36" hidden="1">
      <c r="L260" t="s">
        <v>432</v>
      </c>
      <c r="M260" t="s">
        <v>69</v>
      </c>
      <c r="N260">
        <v>4096335872</v>
      </c>
      <c r="O260" t="s">
        <v>436</v>
      </c>
      <c r="P260" t="s">
        <v>437</v>
      </c>
      <c r="Q260" t="s">
        <v>134</v>
      </c>
      <c r="R260" t="str">
        <f t="shared" si="71"/>
        <v>5x</v>
      </c>
    </row>
    <row r="261" spans="12:36" hidden="1">
      <c r="L261" t="s">
        <v>432</v>
      </c>
      <c r="M261" t="s">
        <v>73</v>
      </c>
      <c r="N261">
        <v>26697728</v>
      </c>
      <c r="O261" t="s">
        <v>438</v>
      </c>
      <c r="P261" t="s">
        <v>438</v>
      </c>
      <c r="Q261" t="s">
        <v>134</v>
      </c>
      <c r="R261" t="str">
        <f t="shared" si="71"/>
        <v>5x</v>
      </c>
    </row>
    <row r="262" spans="12:36" hidden="1">
      <c r="L262" t="s">
        <v>432</v>
      </c>
      <c r="M262" t="s">
        <v>126</v>
      </c>
      <c r="N262">
        <v>21700608</v>
      </c>
      <c r="O262" t="s">
        <v>435</v>
      </c>
      <c r="P262" t="s">
        <v>435</v>
      </c>
      <c r="Q262" t="s">
        <v>134</v>
      </c>
      <c r="R262" t="str">
        <f t="shared" si="71"/>
        <v>5x</v>
      </c>
    </row>
    <row r="263" spans="12:36" hidden="1">
      <c r="L263" t="s">
        <v>432</v>
      </c>
      <c r="M263" t="s">
        <v>130</v>
      </c>
      <c r="N263">
        <v>434176</v>
      </c>
      <c r="O263" t="s">
        <v>340</v>
      </c>
      <c r="P263" t="s">
        <v>341</v>
      </c>
      <c r="Q263" t="s">
        <v>134</v>
      </c>
      <c r="R263" t="str">
        <f t="shared" si="71"/>
        <v>5x</v>
      </c>
    </row>
    <row r="264" spans="12:36" hidden="1">
      <c r="L264" t="s">
        <v>432</v>
      </c>
      <c r="M264" t="s">
        <v>76</v>
      </c>
      <c r="N264">
        <v>202825728</v>
      </c>
      <c r="O264" t="s">
        <v>439</v>
      </c>
      <c r="P264" t="s">
        <v>439</v>
      </c>
      <c r="Q264" t="s">
        <v>134</v>
      </c>
      <c r="R264" t="str">
        <f t="shared" si="71"/>
        <v>5x</v>
      </c>
    </row>
    <row r="265" spans="12:36" hidden="1">
      <c r="L265" t="s">
        <v>432</v>
      </c>
      <c r="M265" t="s">
        <v>317</v>
      </c>
      <c r="N265">
        <v>16949248</v>
      </c>
      <c r="O265" t="s">
        <v>123</v>
      </c>
      <c r="P265" t="s">
        <v>123</v>
      </c>
      <c r="Q265" t="s">
        <v>134</v>
      </c>
      <c r="R265" t="str">
        <f t="shared" si="71"/>
        <v>5x</v>
      </c>
    </row>
    <row r="266" spans="12:36">
      <c r="L266" t="s">
        <v>459</v>
      </c>
      <c r="M266" t="s">
        <v>91</v>
      </c>
      <c r="N266">
        <v>70385664</v>
      </c>
      <c r="O266" t="s">
        <v>92</v>
      </c>
      <c r="P266" t="s">
        <v>93</v>
      </c>
      <c r="Q266" t="s">
        <v>94</v>
      </c>
      <c r="R266" t="str">
        <f t="shared" si="71"/>
        <v>1x</v>
      </c>
      <c r="U266">
        <v>1</v>
      </c>
      <c r="AB266" t="str">
        <f t="shared" ref="AB266:AB329" si="72">IF(S266=1,$N266,"")</f>
        <v/>
      </c>
      <c r="AC266" t="str">
        <f t="shared" ref="AC266:AC329" si="73">IF(T266=1,$N266,"")</f>
        <v/>
      </c>
      <c r="AD266">
        <f t="shared" ref="AD266:AD329" si="74">IF(U266=1,$N266,"")</f>
        <v>70385664</v>
      </c>
      <c r="AE266" t="str">
        <f t="shared" ref="AE266:AE329" si="75">IF(V266=1,$N266,"")</f>
        <v/>
      </c>
      <c r="AF266" t="str">
        <f t="shared" ref="AF266:AF329" si="76">IF(W266=1,$N266,"")</f>
        <v/>
      </c>
      <c r="AG266" t="str">
        <f t="shared" ref="AG266:AG329" si="77">IF(X266=1,$N266,"")</f>
        <v/>
      </c>
      <c r="AH266" t="str">
        <f t="shared" ref="AH266:AH329" si="78">IF(Y266=1,$N266,"")</f>
        <v/>
      </c>
      <c r="AI266" t="str">
        <f t="shared" ref="AI266:AI329" si="79">IF(Z266=1,$N266,"")</f>
        <v/>
      </c>
      <c r="AJ266" t="str">
        <f t="shared" ref="AJ266:AJ329" si="80">IF(AA266=1,$N266,"")</f>
        <v/>
      </c>
    </row>
    <row r="267" spans="12:36">
      <c r="L267" t="s">
        <v>459</v>
      </c>
      <c r="M267" t="s">
        <v>95</v>
      </c>
      <c r="N267">
        <v>31948800</v>
      </c>
      <c r="O267" t="s">
        <v>96</v>
      </c>
      <c r="P267" t="s">
        <v>97</v>
      </c>
      <c r="Q267" t="s">
        <v>98</v>
      </c>
      <c r="R267" t="str">
        <f t="shared" si="71"/>
        <v>1x</v>
      </c>
      <c r="U267">
        <v>1</v>
      </c>
      <c r="AB267" t="str">
        <f t="shared" si="72"/>
        <v/>
      </c>
      <c r="AC267" t="str">
        <f t="shared" si="73"/>
        <v/>
      </c>
      <c r="AD267">
        <f t="shared" si="74"/>
        <v>31948800</v>
      </c>
      <c r="AE267" t="str">
        <f t="shared" si="75"/>
        <v/>
      </c>
      <c r="AF267" t="str">
        <f t="shared" si="76"/>
        <v/>
      </c>
      <c r="AG267" t="str">
        <f t="shared" si="77"/>
        <v/>
      </c>
      <c r="AH267" t="str">
        <f t="shared" si="78"/>
        <v/>
      </c>
      <c r="AI267" t="str">
        <f t="shared" si="79"/>
        <v/>
      </c>
      <c r="AJ267" t="str">
        <f t="shared" si="80"/>
        <v/>
      </c>
    </row>
    <row r="268" spans="12:36">
      <c r="L268" t="s">
        <v>459</v>
      </c>
      <c r="M268" t="s">
        <v>103</v>
      </c>
      <c r="N268">
        <v>62570496</v>
      </c>
      <c r="O268" t="s">
        <v>167</v>
      </c>
      <c r="P268" t="s">
        <v>168</v>
      </c>
      <c r="Q268" t="s">
        <v>166</v>
      </c>
      <c r="R268" t="str">
        <f t="shared" si="71"/>
        <v>1x</v>
      </c>
      <c r="U268">
        <v>1</v>
      </c>
      <c r="AB268" t="str">
        <f t="shared" si="72"/>
        <v/>
      </c>
      <c r="AC268" t="str">
        <f t="shared" si="73"/>
        <v/>
      </c>
      <c r="AD268">
        <f t="shared" si="74"/>
        <v>62570496</v>
      </c>
      <c r="AE268" t="str">
        <f t="shared" si="75"/>
        <v/>
      </c>
      <c r="AF268" t="str">
        <f t="shared" si="76"/>
        <v/>
      </c>
      <c r="AG268" t="str">
        <f t="shared" si="77"/>
        <v/>
      </c>
      <c r="AH268" t="str">
        <f t="shared" si="78"/>
        <v/>
      </c>
      <c r="AI268" t="str">
        <f t="shared" si="79"/>
        <v/>
      </c>
      <c r="AJ268" t="str">
        <f t="shared" si="80"/>
        <v/>
      </c>
    </row>
    <row r="269" spans="12:36">
      <c r="L269" t="s">
        <v>459</v>
      </c>
      <c r="M269" t="s">
        <v>69</v>
      </c>
      <c r="N269">
        <v>622288896</v>
      </c>
      <c r="O269" t="s">
        <v>460</v>
      </c>
      <c r="P269" t="s">
        <v>71</v>
      </c>
      <c r="Q269" t="s">
        <v>299</v>
      </c>
      <c r="R269" t="str">
        <f t="shared" si="71"/>
        <v>1x</v>
      </c>
      <c r="U269">
        <v>1</v>
      </c>
      <c r="AB269" t="str">
        <f t="shared" si="72"/>
        <v/>
      </c>
      <c r="AC269" t="str">
        <f t="shared" si="73"/>
        <v/>
      </c>
      <c r="AD269">
        <f t="shared" si="74"/>
        <v>622288896</v>
      </c>
      <c r="AE269" t="str">
        <f t="shared" si="75"/>
        <v/>
      </c>
      <c r="AF269" t="str">
        <f t="shared" si="76"/>
        <v/>
      </c>
      <c r="AG269" t="str">
        <f t="shared" si="77"/>
        <v/>
      </c>
      <c r="AH269" t="str">
        <f t="shared" si="78"/>
        <v/>
      </c>
      <c r="AI269" t="str">
        <f t="shared" si="79"/>
        <v/>
      </c>
      <c r="AJ269" t="str">
        <f t="shared" si="80"/>
        <v/>
      </c>
    </row>
    <row r="270" spans="12:36">
      <c r="L270" t="s">
        <v>459</v>
      </c>
      <c r="M270" t="s">
        <v>73</v>
      </c>
      <c r="N270">
        <v>17776640</v>
      </c>
      <c r="O270" t="s">
        <v>74</v>
      </c>
      <c r="P270" t="s">
        <v>74</v>
      </c>
      <c r="Q270" t="s">
        <v>177</v>
      </c>
      <c r="R270" t="str">
        <f t="shared" si="71"/>
        <v>1x</v>
      </c>
      <c r="U270">
        <v>1</v>
      </c>
      <c r="AB270" t="str">
        <f t="shared" si="72"/>
        <v/>
      </c>
      <c r="AC270" t="str">
        <f t="shared" si="73"/>
        <v/>
      </c>
      <c r="AD270">
        <f t="shared" si="74"/>
        <v>17776640</v>
      </c>
      <c r="AE270" t="str">
        <f t="shared" si="75"/>
        <v/>
      </c>
      <c r="AF270" t="str">
        <f t="shared" si="76"/>
        <v/>
      </c>
      <c r="AG270" t="str">
        <f t="shared" si="77"/>
        <v/>
      </c>
      <c r="AH270" t="str">
        <f t="shared" si="78"/>
        <v/>
      </c>
      <c r="AI270" t="str">
        <f t="shared" si="79"/>
        <v/>
      </c>
      <c r="AJ270" t="str">
        <f t="shared" si="80"/>
        <v/>
      </c>
    </row>
    <row r="271" spans="12:36">
      <c r="L271" t="s">
        <v>459</v>
      </c>
      <c r="M271" t="s">
        <v>126</v>
      </c>
      <c r="N271">
        <v>14311424</v>
      </c>
      <c r="O271" t="s">
        <v>176</v>
      </c>
      <c r="P271" t="s">
        <v>104</v>
      </c>
      <c r="Q271" t="s">
        <v>177</v>
      </c>
      <c r="R271" t="str">
        <f t="shared" ref="R271:R329" si="81">IF(ISNUMBER(SEARCH("_2x", L271)), "2x", IF(ISNUMBER(SEARCH("_5x", L271)), "5x", IF(ISNUMBER(SEARCH("_10x", L271)), "10x", "1x")))</f>
        <v>1x</v>
      </c>
      <c r="U271">
        <v>1</v>
      </c>
      <c r="AB271" t="str">
        <f t="shared" si="72"/>
        <v/>
      </c>
      <c r="AC271" t="str">
        <f t="shared" si="73"/>
        <v/>
      </c>
      <c r="AD271">
        <f t="shared" si="74"/>
        <v>14311424</v>
      </c>
      <c r="AE271" t="str">
        <f t="shared" si="75"/>
        <v/>
      </c>
      <c r="AF271" t="str">
        <f t="shared" si="76"/>
        <v/>
      </c>
      <c r="AG271" t="str">
        <f t="shared" si="77"/>
        <v/>
      </c>
      <c r="AH271" t="str">
        <f t="shared" si="78"/>
        <v/>
      </c>
      <c r="AI271" t="str">
        <f t="shared" si="79"/>
        <v/>
      </c>
      <c r="AJ271" t="str">
        <f t="shared" si="80"/>
        <v/>
      </c>
    </row>
    <row r="272" spans="12:36">
      <c r="L272" t="s">
        <v>459</v>
      </c>
      <c r="M272" t="s">
        <v>76</v>
      </c>
      <c r="N272">
        <v>70828032</v>
      </c>
      <c r="O272" t="s">
        <v>296</v>
      </c>
      <c r="P272" t="s">
        <v>78</v>
      </c>
      <c r="Q272" t="s">
        <v>213</v>
      </c>
      <c r="R272" t="str">
        <f t="shared" si="81"/>
        <v>1x</v>
      </c>
      <c r="U272">
        <v>1</v>
      </c>
      <c r="AB272" t="str">
        <f t="shared" si="72"/>
        <v/>
      </c>
      <c r="AC272" t="str">
        <f t="shared" si="73"/>
        <v/>
      </c>
      <c r="AD272">
        <f t="shared" si="74"/>
        <v>70828032</v>
      </c>
      <c r="AE272" t="str">
        <f t="shared" si="75"/>
        <v/>
      </c>
      <c r="AF272" t="str">
        <f t="shared" si="76"/>
        <v/>
      </c>
      <c r="AG272" t="str">
        <f t="shared" si="77"/>
        <v/>
      </c>
      <c r="AH272" t="str">
        <f t="shared" si="78"/>
        <v/>
      </c>
      <c r="AI272" t="str">
        <f t="shared" si="79"/>
        <v/>
      </c>
      <c r="AJ272" t="str">
        <f t="shared" si="80"/>
        <v/>
      </c>
    </row>
    <row r="273" spans="12:36">
      <c r="L273" t="s">
        <v>461</v>
      </c>
      <c r="M273" t="s">
        <v>91</v>
      </c>
      <c r="N273">
        <v>70385664</v>
      </c>
      <c r="O273" t="s">
        <v>92</v>
      </c>
      <c r="P273" t="s">
        <v>93</v>
      </c>
      <c r="Q273" t="s">
        <v>94</v>
      </c>
      <c r="R273" t="str">
        <f t="shared" si="81"/>
        <v>2x</v>
      </c>
      <c r="U273">
        <v>1</v>
      </c>
      <c r="AB273" t="str">
        <f t="shared" si="72"/>
        <v/>
      </c>
      <c r="AC273" t="str">
        <f t="shared" si="73"/>
        <v/>
      </c>
      <c r="AD273">
        <f t="shared" si="74"/>
        <v>70385664</v>
      </c>
      <c r="AE273" t="str">
        <f t="shared" si="75"/>
        <v/>
      </c>
      <c r="AF273" t="str">
        <f t="shared" si="76"/>
        <v/>
      </c>
      <c r="AG273" t="str">
        <f t="shared" si="77"/>
        <v/>
      </c>
      <c r="AH273" t="str">
        <f t="shared" si="78"/>
        <v/>
      </c>
      <c r="AI273" t="str">
        <f t="shared" si="79"/>
        <v/>
      </c>
      <c r="AJ273" t="str">
        <f t="shared" si="80"/>
        <v/>
      </c>
    </row>
    <row r="274" spans="12:36">
      <c r="L274" t="s">
        <v>461</v>
      </c>
      <c r="M274" t="s">
        <v>95</v>
      </c>
      <c r="N274">
        <v>31948800</v>
      </c>
      <c r="O274" t="s">
        <v>96</v>
      </c>
      <c r="P274" t="s">
        <v>97</v>
      </c>
      <c r="Q274" t="s">
        <v>98</v>
      </c>
      <c r="R274" t="str">
        <f t="shared" si="81"/>
        <v>2x</v>
      </c>
      <c r="U274">
        <v>1</v>
      </c>
      <c r="AB274" t="str">
        <f t="shared" si="72"/>
        <v/>
      </c>
      <c r="AC274" t="str">
        <f t="shared" si="73"/>
        <v/>
      </c>
      <c r="AD274">
        <f t="shared" si="74"/>
        <v>31948800</v>
      </c>
      <c r="AE274" t="str">
        <f t="shared" si="75"/>
        <v/>
      </c>
      <c r="AF274" t="str">
        <f t="shared" si="76"/>
        <v/>
      </c>
      <c r="AG274" t="str">
        <f t="shared" si="77"/>
        <v/>
      </c>
      <c r="AH274" t="str">
        <f t="shared" si="78"/>
        <v/>
      </c>
      <c r="AI274" t="str">
        <f t="shared" si="79"/>
        <v/>
      </c>
      <c r="AJ274" t="str">
        <f t="shared" si="80"/>
        <v/>
      </c>
    </row>
    <row r="275" spans="12:36">
      <c r="L275" t="s">
        <v>461</v>
      </c>
      <c r="M275" t="s">
        <v>103</v>
      </c>
      <c r="N275">
        <v>125034496</v>
      </c>
      <c r="O275" t="s">
        <v>149</v>
      </c>
      <c r="P275" t="s">
        <v>150</v>
      </c>
      <c r="Q275" t="s">
        <v>148</v>
      </c>
      <c r="R275" t="str">
        <f t="shared" si="81"/>
        <v>2x</v>
      </c>
      <c r="U275">
        <v>1</v>
      </c>
      <c r="AB275" t="str">
        <f t="shared" si="72"/>
        <v/>
      </c>
      <c r="AC275" t="str">
        <f t="shared" si="73"/>
        <v/>
      </c>
      <c r="AD275">
        <f t="shared" si="74"/>
        <v>125034496</v>
      </c>
      <c r="AE275" t="str">
        <f t="shared" si="75"/>
        <v/>
      </c>
      <c r="AF275" t="str">
        <f t="shared" si="76"/>
        <v/>
      </c>
      <c r="AG275" t="str">
        <f t="shared" si="77"/>
        <v/>
      </c>
      <c r="AH275" t="str">
        <f t="shared" si="78"/>
        <v/>
      </c>
      <c r="AI275" t="str">
        <f t="shared" si="79"/>
        <v/>
      </c>
      <c r="AJ275" t="str">
        <f t="shared" si="80"/>
        <v/>
      </c>
    </row>
    <row r="276" spans="12:36">
      <c r="L276" t="s">
        <v>461</v>
      </c>
      <c r="M276" t="s">
        <v>69</v>
      </c>
      <c r="N276">
        <v>1244471296</v>
      </c>
      <c r="O276" t="s">
        <v>462</v>
      </c>
      <c r="P276" t="s">
        <v>137</v>
      </c>
      <c r="Q276" t="s">
        <v>463</v>
      </c>
      <c r="R276" t="str">
        <f t="shared" si="81"/>
        <v>2x</v>
      </c>
      <c r="U276">
        <v>1</v>
      </c>
      <c r="AB276" t="str">
        <f t="shared" si="72"/>
        <v/>
      </c>
      <c r="AC276" t="str">
        <f t="shared" si="73"/>
        <v/>
      </c>
      <c r="AD276">
        <f t="shared" si="74"/>
        <v>1244471296</v>
      </c>
      <c r="AE276" t="str">
        <f t="shared" si="75"/>
        <v/>
      </c>
      <c r="AF276" t="str">
        <f t="shared" si="76"/>
        <v/>
      </c>
      <c r="AG276" t="str">
        <f t="shared" si="77"/>
        <v/>
      </c>
      <c r="AH276" t="str">
        <f t="shared" si="78"/>
        <v/>
      </c>
      <c r="AI276" t="str">
        <f t="shared" si="79"/>
        <v/>
      </c>
      <c r="AJ276" t="str">
        <f t="shared" si="80"/>
        <v/>
      </c>
    </row>
    <row r="277" spans="12:36">
      <c r="L277" t="s">
        <v>461</v>
      </c>
      <c r="M277" t="s">
        <v>73</v>
      </c>
      <c r="N277">
        <v>35495936</v>
      </c>
      <c r="O277" t="s">
        <v>397</v>
      </c>
      <c r="P277" t="s">
        <v>140</v>
      </c>
      <c r="Q277" t="s">
        <v>164</v>
      </c>
      <c r="R277" t="str">
        <f t="shared" si="81"/>
        <v>2x</v>
      </c>
      <c r="U277">
        <v>1</v>
      </c>
      <c r="AB277" t="str">
        <f t="shared" si="72"/>
        <v/>
      </c>
      <c r="AC277" t="str">
        <f t="shared" si="73"/>
        <v/>
      </c>
      <c r="AD277">
        <f t="shared" si="74"/>
        <v>35495936</v>
      </c>
      <c r="AE277" t="str">
        <f t="shared" si="75"/>
        <v/>
      </c>
      <c r="AF277" t="str">
        <f t="shared" si="76"/>
        <v/>
      </c>
      <c r="AG277" t="str">
        <f t="shared" si="77"/>
        <v/>
      </c>
      <c r="AH277" t="str">
        <f t="shared" si="78"/>
        <v/>
      </c>
      <c r="AI277" t="str">
        <f t="shared" si="79"/>
        <v/>
      </c>
      <c r="AJ277" t="str">
        <f t="shared" si="80"/>
        <v/>
      </c>
    </row>
    <row r="278" spans="12:36">
      <c r="L278" t="s">
        <v>461</v>
      </c>
      <c r="M278" t="s">
        <v>126</v>
      </c>
      <c r="N278">
        <v>28549120</v>
      </c>
      <c r="O278" t="s">
        <v>162</v>
      </c>
      <c r="P278" t="s">
        <v>163</v>
      </c>
      <c r="Q278" t="s">
        <v>164</v>
      </c>
      <c r="R278" t="str">
        <f t="shared" si="81"/>
        <v>2x</v>
      </c>
      <c r="U278">
        <v>1</v>
      </c>
      <c r="AB278" t="str">
        <f t="shared" si="72"/>
        <v/>
      </c>
      <c r="AC278" t="str">
        <f t="shared" si="73"/>
        <v/>
      </c>
      <c r="AD278">
        <f t="shared" si="74"/>
        <v>28549120</v>
      </c>
      <c r="AE278" t="str">
        <f t="shared" si="75"/>
        <v/>
      </c>
      <c r="AF278" t="str">
        <f t="shared" si="76"/>
        <v/>
      </c>
      <c r="AG278" t="str">
        <f t="shared" si="77"/>
        <v/>
      </c>
      <c r="AH278" t="str">
        <f t="shared" si="78"/>
        <v/>
      </c>
      <c r="AI278" t="str">
        <f t="shared" si="79"/>
        <v/>
      </c>
      <c r="AJ278" t="str">
        <f t="shared" si="80"/>
        <v/>
      </c>
    </row>
    <row r="279" spans="12:36">
      <c r="L279" t="s">
        <v>461</v>
      </c>
      <c r="M279" t="s">
        <v>76</v>
      </c>
      <c r="N279">
        <v>141541376</v>
      </c>
      <c r="O279" t="s">
        <v>276</v>
      </c>
      <c r="P279" t="s">
        <v>143</v>
      </c>
      <c r="Q279" t="s">
        <v>277</v>
      </c>
      <c r="R279" t="str">
        <f t="shared" si="81"/>
        <v>2x</v>
      </c>
      <c r="U279">
        <v>1</v>
      </c>
      <c r="AB279" t="str">
        <f t="shared" si="72"/>
        <v/>
      </c>
      <c r="AC279" t="str">
        <f t="shared" si="73"/>
        <v/>
      </c>
      <c r="AD279">
        <f t="shared" si="74"/>
        <v>141541376</v>
      </c>
      <c r="AE279" t="str">
        <f t="shared" si="75"/>
        <v/>
      </c>
      <c r="AF279" t="str">
        <f t="shared" si="76"/>
        <v/>
      </c>
      <c r="AG279" t="str">
        <f t="shared" si="77"/>
        <v/>
      </c>
      <c r="AH279" t="str">
        <f t="shared" si="78"/>
        <v/>
      </c>
      <c r="AI279" t="str">
        <f t="shared" si="79"/>
        <v/>
      </c>
      <c r="AJ279" t="str">
        <f t="shared" si="80"/>
        <v/>
      </c>
    </row>
    <row r="280" spans="12:36">
      <c r="L280" t="s">
        <v>464</v>
      </c>
      <c r="M280" t="s">
        <v>91</v>
      </c>
      <c r="N280">
        <v>70385664</v>
      </c>
      <c r="O280" t="s">
        <v>92</v>
      </c>
      <c r="P280" t="s">
        <v>93</v>
      </c>
      <c r="Q280" t="s">
        <v>94</v>
      </c>
      <c r="R280" t="str">
        <f t="shared" si="81"/>
        <v>5x</v>
      </c>
      <c r="U280">
        <v>1</v>
      </c>
      <c r="AB280" t="str">
        <f t="shared" si="72"/>
        <v/>
      </c>
      <c r="AC280" t="str">
        <f t="shared" si="73"/>
        <v/>
      </c>
      <c r="AD280">
        <f t="shared" si="74"/>
        <v>70385664</v>
      </c>
      <c r="AE280" t="str">
        <f t="shared" si="75"/>
        <v/>
      </c>
      <c r="AF280" t="str">
        <f t="shared" si="76"/>
        <v/>
      </c>
      <c r="AG280" t="str">
        <f t="shared" si="77"/>
        <v/>
      </c>
      <c r="AH280" t="str">
        <f t="shared" si="78"/>
        <v/>
      </c>
      <c r="AI280" t="str">
        <f t="shared" si="79"/>
        <v/>
      </c>
      <c r="AJ280" t="str">
        <f t="shared" si="80"/>
        <v/>
      </c>
    </row>
    <row r="281" spans="12:36">
      <c r="L281" t="s">
        <v>464</v>
      </c>
      <c r="M281" t="s">
        <v>95</v>
      </c>
      <c r="N281">
        <v>31948800</v>
      </c>
      <c r="O281" t="s">
        <v>96</v>
      </c>
      <c r="P281" t="s">
        <v>97</v>
      </c>
      <c r="Q281" t="s">
        <v>98</v>
      </c>
      <c r="R281" t="str">
        <f t="shared" si="81"/>
        <v>5x</v>
      </c>
      <c r="U281">
        <v>1</v>
      </c>
      <c r="AB281" t="str">
        <f t="shared" si="72"/>
        <v/>
      </c>
      <c r="AC281" t="str">
        <f t="shared" si="73"/>
        <v/>
      </c>
      <c r="AD281">
        <f t="shared" si="74"/>
        <v>31948800</v>
      </c>
      <c r="AE281" t="str">
        <f t="shared" si="75"/>
        <v/>
      </c>
      <c r="AF281" t="str">
        <f t="shared" si="76"/>
        <v/>
      </c>
      <c r="AG281" t="str">
        <f t="shared" si="77"/>
        <v/>
      </c>
      <c r="AH281" t="str">
        <f t="shared" si="78"/>
        <v/>
      </c>
      <c r="AI281" t="str">
        <f t="shared" si="79"/>
        <v/>
      </c>
      <c r="AJ281" t="str">
        <f t="shared" si="80"/>
        <v/>
      </c>
    </row>
    <row r="282" spans="12:36">
      <c r="L282" t="s">
        <v>464</v>
      </c>
      <c r="M282" t="s">
        <v>103</v>
      </c>
      <c r="N282">
        <v>312459264</v>
      </c>
      <c r="O282" t="s">
        <v>384</v>
      </c>
      <c r="P282" t="s">
        <v>385</v>
      </c>
      <c r="Q282" t="s">
        <v>383</v>
      </c>
      <c r="R282" t="str">
        <f t="shared" si="81"/>
        <v>5x</v>
      </c>
      <c r="U282">
        <v>1</v>
      </c>
      <c r="AB282" t="str">
        <f t="shared" si="72"/>
        <v/>
      </c>
      <c r="AC282" t="str">
        <f t="shared" si="73"/>
        <v/>
      </c>
      <c r="AD282">
        <f t="shared" si="74"/>
        <v>312459264</v>
      </c>
      <c r="AE282" t="str">
        <f t="shared" si="75"/>
        <v/>
      </c>
      <c r="AF282" t="str">
        <f t="shared" si="76"/>
        <v/>
      </c>
      <c r="AG282" t="str">
        <f t="shared" si="77"/>
        <v/>
      </c>
      <c r="AH282" t="str">
        <f t="shared" si="78"/>
        <v/>
      </c>
      <c r="AI282" t="str">
        <f t="shared" si="79"/>
        <v/>
      </c>
      <c r="AJ282" t="str">
        <f t="shared" si="80"/>
        <v/>
      </c>
    </row>
    <row r="283" spans="12:36">
      <c r="L283" t="s">
        <v>464</v>
      </c>
      <c r="M283" t="s">
        <v>69</v>
      </c>
      <c r="N283">
        <v>3111018496</v>
      </c>
      <c r="O283" t="s">
        <v>465</v>
      </c>
      <c r="P283" t="s">
        <v>97</v>
      </c>
      <c r="Q283" t="s">
        <v>137</v>
      </c>
      <c r="R283" t="str">
        <f t="shared" si="81"/>
        <v>5x</v>
      </c>
      <c r="U283">
        <v>1</v>
      </c>
      <c r="AB283" t="str">
        <f t="shared" si="72"/>
        <v/>
      </c>
      <c r="AC283" t="str">
        <f t="shared" si="73"/>
        <v/>
      </c>
      <c r="AD283">
        <f t="shared" si="74"/>
        <v>3111018496</v>
      </c>
      <c r="AE283" t="str">
        <f t="shared" si="75"/>
        <v/>
      </c>
      <c r="AF283" t="str">
        <f t="shared" si="76"/>
        <v/>
      </c>
      <c r="AG283" t="str">
        <f t="shared" si="77"/>
        <v/>
      </c>
      <c r="AH283" t="str">
        <f t="shared" si="78"/>
        <v/>
      </c>
      <c r="AI283" t="str">
        <f t="shared" si="79"/>
        <v/>
      </c>
      <c r="AJ283" t="str">
        <f t="shared" si="80"/>
        <v/>
      </c>
    </row>
    <row r="284" spans="12:36">
      <c r="L284" t="s">
        <v>464</v>
      </c>
      <c r="M284" t="s">
        <v>73</v>
      </c>
      <c r="N284">
        <v>88637440</v>
      </c>
      <c r="O284" t="s">
        <v>344</v>
      </c>
      <c r="P284" t="s">
        <v>253</v>
      </c>
      <c r="Q284" t="s">
        <v>395</v>
      </c>
      <c r="R284" t="str">
        <f t="shared" si="81"/>
        <v>5x</v>
      </c>
      <c r="U284">
        <v>1</v>
      </c>
      <c r="AB284" t="str">
        <f t="shared" si="72"/>
        <v/>
      </c>
      <c r="AC284" t="str">
        <f t="shared" si="73"/>
        <v/>
      </c>
      <c r="AD284">
        <f t="shared" si="74"/>
        <v>88637440</v>
      </c>
      <c r="AE284" t="str">
        <f t="shared" si="75"/>
        <v/>
      </c>
      <c r="AF284" t="str">
        <f t="shared" si="76"/>
        <v/>
      </c>
      <c r="AG284" t="str">
        <f t="shared" si="77"/>
        <v/>
      </c>
      <c r="AH284" t="str">
        <f t="shared" si="78"/>
        <v/>
      </c>
      <c r="AI284" t="str">
        <f t="shared" si="79"/>
        <v/>
      </c>
      <c r="AJ284" t="str">
        <f t="shared" si="80"/>
        <v/>
      </c>
    </row>
    <row r="285" spans="12:36">
      <c r="L285" t="s">
        <v>464</v>
      </c>
      <c r="M285" t="s">
        <v>126</v>
      </c>
      <c r="N285">
        <v>71303168</v>
      </c>
      <c r="O285" t="s">
        <v>296</v>
      </c>
      <c r="P285" t="s">
        <v>394</v>
      </c>
      <c r="Q285" t="s">
        <v>395</v>
      </c>
      <c r="R285" t="str">
        <f t="shared" si="81"/>
        <v>5x</v>
      </c>
      <c r="U285">
        <v>1</v>
      </c>
      <c r="AB285" t="str">
        <f t="shared" si="72"/>
        <v/>
      </c>
      <c r="AC285" t="str">
        <f t="shared" si="73"/>
        <v/>
      </c>
      <c r="AD285">
        <f t="shared" si="74"/>
        <v>71303168</v>
      </c>
      <c r="AE285" t="str">
        <f t="shared" si="75"/>
        <v/>
      </c>
      <c r="AF285" t="str">
        <f t="shared" si="76"/>
        <v/>
      </c>
      <c r="AG285" t="str">
        <f t="shared" si="77"/>
        <v/>
      </c>
      <c r="AH285" t="str">
        <f t="shared" si="78"/>
        <v/>
      </c>
      <c r="AI285" t="str">
        <f t="shared" si="79"/>
        <v/>
      </c>
      <c r="AJ285" t="str">
        <f t="shared" si="80"/>
        <v/>
      </c>
    </row>
    <row r="286" spans="12:36">
      <c r="L286" t="s">
        <v>464</v>
      </c>
      <c r="M286" t="s">
        <v>76</v>
      </c>
      <c r="N286">
        <v>353730560</v>
      </c>
      <c r="O286" t="s">
        <v>429</v>
      </c>
      <c r="P286" t="s">
        <v>378</v>
      </c>
      <c r="Q286" t="s">
        <v>431</v>
      </c>
      <c r="R286" t="str">
        <f t="shared" si="81"/>
        <v>5x</v>
      </c>
      <c r="U286">
        <v>1</v>
      </c>
      <c r="AB286" t="str">
        <f t="shared" si="72"/>
        <v/>
      </c>
      <c r="AC286" t="str">
        <f t="shared" si="73"/>
        <v/>
      </c>
      <c r="AD286">
        <f t="shared" si="74"/>
        <v>353730560</v>
      </c>
      <c r="AE286" t="str">
        <f t="shared" si="75"/>
        <v/>
      </c>
      <c r="AF286" t="str">
        <f t="shared" si="76"/>
        <v/>
      </c>
      <c r="AG286" t="str">
        <f t="shared" si="77"/>
        <v/>
      </c>
      <c r="AH286" t="str">
        <f t="shared" si="78"/>
        <v/>
      </c>
      <c r="AI286" t="str">
        <f t="shared" si="79"/>
        <v/>
      </c>
      <c r="AJ286" t="str">
        <f t="shared" si="80"/>
        <v/>
      </c>
    </row>
    <row r="287" spans="12:36">
      <c r="L287" t="s">
        <v>466</v>
      </c>
      <c r="M287" t="s">
        <v>91</v>
      </c>
      <c r="N287">
        <v>70385664</v>
      </c>
      <c r="O287" t="s">
        <v>92</v>
      </c>
      <c r="P287" t="s">
        <v>93</v>
      </c>
      <c r="Q287" t="s">
        <v>94</v>
      </c>
      <c r="R287" t="str">
        <f t="shared" si="81"/>
        <v>10x</v>
      </c>
      <c r="U287">
        <v>1</v>
      </c>
      <c r="AB287" t="str">
        <f t="shared" si="72"/>
        <v/>
      </c>
      <c r="AC287" t="str">
        <f t="shared" si="73"/>
        <v/>
      </c>
      <c r="AD287">
        <f t="shared" si="74"/>
        <v>70385664</v>
      </c>
      <c r="AE287" t="str">
        <f t="shared" si="75"/>
        <v/>
      </c>
      <c r="AF287" t="str">
        <f t="shared" si="76"/>
        <v/>
      </c>
      <c r="AG287" t="str">
        <f t="shared" si="77"/>
        <v/>
      </c>
      <c r="AH287" t="str">
        <f t="shared" si="78"/>
        <v/>
      </c>
      <c r="AI287" t="str">
        <f t="shared" si="79"/>
        <v/>
      </c>
      <c r="AJ287" t="str">
        <f t="shared" si="80"/>
        <v/>
      </c>
    </row>
    <row r="288" spans="12:36">
      <c r="L288" t="s">
        <v>466</v>
      </c>
      <c r="M288" t="s">
        <v>95</v>
      </c>
      <c r="N288">
        <v>31948800</v>
      </c>
      <c r="O288" t="s">
        <v>96</v>
      </c>
      <c r="P288" t="s">
        <v>97</v>
      </c>
      <c r="Q288" t="s">
        <v>98</v>
      </c>
      <c r="R288" t="str">
        <f t="shared" si="81"/>
        <v>10x</v>
      </c>
      <c r="U288">
        <v>1</v>
      </c>
      <c r="AB288" t="str">
        <f t="shared" si="72"/>
        <v/>
      </c>
      <c r="AC288" t="str">
        <f t="shared" si="73"/>
        <v/>
      </c>
      <c r="AD288">
        <f t="shared" si="74"/>
        <v>31948800</v>
      </c>
      <c r="AE288" t="str">
        <f t="shared" si="75"/>
        <v/>
      </c>
      <c r="AF288" t="str">
        <f t="shared" si="76"/>
        <v/>
      </c>
      <c r="AG288" t="str">
        <f t="shared" si="77"/>
        <v/>
      </c>
      <c r="AH288" t="str">
        <f t="shared" si="78"/>
        <v/>
      </c>
      <c r="AI288" t="str">
        <f t="shared" si="79"/>
        <v/>
      </c>
      <c r="AJ288" t="str">
        <f t="shared" si="80"/>
        <v/>
      </c>
    </row>
    <row r="289" spans="12:36">
      <c r="L289" t="s">
        <v>466</v>
      </c>
      <c r="M289" t="s">
        <v>103</v>
      </c>
      <c r="N289">
        <v>624812032</v>
      </c>
      <c r="O289" t="s">
        <v>70</v>
      </c>
      <c r="P289" t="s">
        <v>104</v>
      </c>
      <c r="Q289" t="s">
        <v>102</v>
      </c>
      <c r="R289" t="str">
        <f t="shared" si="81"/>
        <v>10x</v>
      </c>
      <c r="U289">
        <v>1</v>
      </c>
      <c r="AB289" t="str">
        <f t="shared" si="72"/>
        <v/>
      </c>
      <c r="AC289" t="str">
        <f t="shared" si="73"/>
        <v/>
      </c>
      <c r="AD289">
        <f t="shared" si="74"/>
        <v>624812032</v>
      </c>
      <c r="AE289" t="str">
        <f t="shared" si="75"/>
        <v/>
      </c>
      <c r="AF289" t="str">
        <f t="shared" si="76"/>
        <v/>
      </c>
      <c r="AG289" t="str">
        <f t="shared" si="77"/>
        <v/>
      </c>
      <c r="AH289" t="str">
        <f t="shared" si="78"/>
        <v/>
      </c>
      <c r="AI289" t="str">
        <f t="shared" si="79"/>
        <v/>
      </c>
      <c r="AJ289" t="str">
        <f t="shared" si="80"/>
        <v/>
      </c>
    </row>
    <row r="290" spans="12:36">
      <c r="L290" t="s">
        <v>466</v>
      </c>
      <c r="M290" t="s">
        <v>69</v>
      </c>
      <c r="N290">
        <v>6221987840</v>
      </c>
      <c r="O290" t="s">
        <v>467</v>
      </c>
      <c r="P290" t="s">
        <v>82</v>
      </c>
      <c r="Q290" t="s">
        <v>435</v>
      </c>
      <c r="R290" t="str">
        <f t="shared" si="81"/>
        <v>10x</v>
      </c>
      <c r="U290">
        <v>1</v>
      </c>
      <c r="AB290" t="str">
        <f t="shared" si="72"/>
        <v/>
      </c>
      <c r="AC290" t="str">
        <f t="shared" si="73"/>
        <v/>
      </c>
      <c r="AD290">
        <f t="shared" si="74"/>
        <v>6221987840</v>
      </c>
      <c r="AE290" t="str">
        <f t="shared" si="75"/>
        <v/>
      </c>
      <c r="AF290" t="str">
        <f t="shared" si="76"/>
        <v/>
      </c>
      <c r="AG290" t="str">
        <f t="shared" si="77"/>
        <v/>
      </c>
      <c r="AH290" t="str">
        <f t="shared" si="78"/>
        <v/>
      </c>
      <c r="AI290" t="str">
        <f t="shared" si="79"/>
        <v/>
      </c>
      <c r="AJ290" t="str">
        <f t="shared" si="80"/>
        <v/>
      </c>
    </row>
    <row r="291" spans="12:36">
      <c r="L291" t="s">
        <v>466</v>
      </c>
      <c r="M291" t="s">
        <v>73</v>
      </c>
      <c r="N291">
        <v>177225728</v>
      </c>
      <c r="O291" t="s">
        <v>468</v>
      </c>
      <c r="P291" t="s">
        <v>85</v>
      </c>
      <c r="Q291" t="s">
        <v>129</v>
      </c>
      <c r="R291" t="str">
        <f t="shared" si="81"/>
        <v>10x</v>
      </c>
      <c r="U291">
        <v>1</v>
      </c>
      <c r="AB291" t="str">
        <f t="shared" si="72"/>
        <v/>
      </c>
      <c r="AC291" t="str">
        <f t="shared" si="73"/>
        <v/>
      </c>
      <c r="AD291">
        <f t="shared" si="74"/>
        <v>177225728</v>
      </c>
      <c r="AE291" t="str">
        <f t="shared" si="75"/>
        <v/>
      </c>
      <c r="AF291" t="str">
        <f t="shared" si="76"/>
        <v/>
      </c>
      <c r="AG291" t="str">
        <f t="shared" si="77"/>
        <v/>
      </c>
      <c r="AH291" t="str">
        <f t="shared" si="78"/>
        <v/>
      </c>
      <c r="AI291" t="str">
        <f t="shared" si="79"/>
        <v/>
      </c>
      <c r="AJ291" t="str">
        <f t="shared" si="80"/>
        <v/>
      </c>
    </row>
    <row r="292" spans="12:36">
      <c r="L292" t="s">
        <v>466</v>
      </c>
      <c r="M292" t="s">
        <v>126</v>
      </c>
      <c r="N292">
        <v>142548992</v>
      </c>
      <c r="O292" t="s">
        <v>127</v>
      </c>
      <c r="P292" t="s">
        <v>128</v>
      </c>
      <c r="Q292" t="s">
        <v>129</v>
      </c>
      <c r="R292" t="str">
        <f t="shared" si="81"/>
        <v>10x</v>
      </c>
      <c r="U292">
        <v>1</v>
      </c>
      <c r="AB292" t="str">
        <f t="shared" si="72"/>
        <v/>
      </c>
      <c r="AC292" t="str">
        <f t="shared" si="73"/>
        <v/>
      </c>
      <c r="AD292">
        <f t="shared" si="74"/>
        <v>142548992</v>
      </c>
      <c r="AE292" t="str">
        <f t="shared" si="75"/>
        <v/>
      </c>
      <c r="AF292" t="str">
        <f t="shared" si="76"/>
        <v/>
      </c>
      <c r="AG292" t="str">
        <f t="shared" si="77"/>
        <v/>
      </c>
      <c r="AH292" t="str">
        <f t="shared" si="78"/>
        <v/>
      </c>
      <c r="AI292" t="str">
        <f t="shared" si="79"/>
        <v/>
      </c>
      <c r="AJ292" t="str">
        <f t="shared" si="80"/>
        <v/>
      </c>
    </row>
    <row r="293" spans="12:36">
      <c r="L293" t="s">
        <v>466</v>
      </c>
      <c r="M293" t="s">
        <v>76</v>
      </c>
      <c r="N293">
        <v>707346432</v>
      </c>
      <c r="O293" t="s">
        <v>262</v>
      </c>
      <c r="P293" t="s">
        <v>88</v>
      </c>
      <c r="Q293" t="s">
        <v>263</v>
      </c>
      <c r="R293" t="str">
        <f t="shared" si="81"/>
        <v>10x</v>
      </c>
      <c r="U293">
        <v>1</v>
      </c>
      <c r="AB293" t="str">
        <f t="shared" si="72"/>
        <v/>
      </c>
      <c r="AC293" t="str">
        <f t="shared" si="73"/>
        <v/>
      </c>
      <c r="AD293">
        <f t="shared" si="74"/>
        <v>707346432</v>
      </c>
      <c r="AE293" t="str">
        <f t="shared" si="75"/>
        <v/>
      </c>
      <c r="AF293" t="str">
        <f t="shared" si="76"/>
        <v/>
      </c>
      <c r="AG293" t="str">
        <f t="shared" si="77"/>
        <v/>
      </c>
      <c r="AH293" t="str">
        <f t="shared" si="78"/>
        <v/>
      </c>
      <c r="AI293" t="str">
        <f t="shared" si="79"/>
        <v/>
      </c>
      <c r="AJ293" t="str">
        <f t="shared" si="80"/>
        <v/>
      </c>
    </row>
    <row r="294" spans="12:36">
      <c r="L294" t="s">
        <v>469</v>
      </c>
      <c r="M294" t="s">
        <v>91</v>
      </c>
      <c r="N294">
        <v>70385664</v>
      </c>
      <c r="O294" t="s">
        <v>92</v>
      </c>
      <c r="P294" t="s">
        <v>93</v>
      </c>
      <c r="Q294" t="s">
        <v>94</v>
      </c>
      <c r="R294" t="str">
        <f t="shared" si="81"/>
        <v>1x</v>
      </c>
      <c r="X294">
        <v>1</v>
      </c>
      <c r="AB294" t="str">
        <f t="shared" si="72"/>
        <v/>
      </c>
      <c r="AC294" t="str">
        <f t="shared" si="73"/>
        <v/>
      </c>
      <c r="AD294" t="str">
        <f t="shared" si="74"/>
        <v/>
      </c>
      <c r="AE294" t="str">
        <f t="shared" si="75"/>
        <v/>
      </c>
      <c r="AF294" t="str">
        <f t="shared" si="76"/>
        <v/>
      </c>
      <c r="AG294">
        <f t="shared" si="77"/>
        <v>70385664</v>
      </c>
      <c r="AH294" t="str">
        <f t="shared" si="78"/>
        <v/>
      </c>
      <c r="AI294" t="str">
        <f t="shared" si="79"/>
        <v/>
      </c>
      <c r="AJ294" t="str">
        <f t="shared" si="80"/>
        <v/>
      </c>
    </row>
    <row r="295" spans="12:36">
      <c r="L295" t="s">
        <v>469</v>
      </c>
      <c r="M295" t="s">
        <v>95</v>
      </c>
      <c r="N295">
        <v>31948800</v>
      </c>
      <c r="O295" t="s">
        <v>96</v>
      </c>
      <c r="P295" t="s">
        <v>97</v>
      </c>
      <c r="Q295" t="s">
        <v>98</v>
      </c>
      <c r="R295" t="str">
        <f t="shared" si="81"/>
        <v>1x</v>
      </c>
      <c r="X295">
        <v>1</v>
      </c>
      <c r="AB295" t="str">
        <f t="shared" si="72"/>
        <v/>
      </c>
      <c r="AC295" t="str">
        <f t="shared" si="73"/>
        <v/>
      </c>
      <c r="AD295" t="str">
        <f t="shared" si="74"/>
        <v/>
      </c>
      <c r="AE295" t="str">
        <f t="shared" si="75"/>
        <v/>
      </c>
      <c r="AF295" t="str">
        <f t="shared" si="76"/>
        <v/>
      </c>
      <c r="AG295">
        <f t="shared" si="77"/>
        <v>31948800</v>
      </c>
      <c r="AH295" t="str">
        <f t="shared" si="78"/>
        <v/>
      </c>
      <c r="AI295" t="str">
        <f t="shared" si="79"/>
        <v/>
      </c>
      <c r="AJ295" t="str">
        <f t="shared" si="80"/>
        <v/>
      </c>
    </row>
    <row r="296" spans="12:36">
      <c r="L296" t="s">
        <v>469</v>
      </c>
      <c r="M296" t="s">
        <v>99</v>
      </c>
      <c r="N296">
        <v>30597120</v>
      </c>
      <c r="O296" t="s">
        <v>97</v>
      </c>
      <c r="P296" t="s">
        <v>97</v>
      </c>
      <c r="Q296" t="s">
        <v>166</v>
      </c>
      <c r="R296" t="str">
        <f t="shared" si="81"/>
        <v>1x</v>
      </c>
      <c r="X296">
        <v>1</v>
      </c>
      <c r="AB296" t="str">
        <f t="shared" si="72"/>
        <v/>
      </c>
      <c r="AC296" t="str">
        <f t="shared" si="73"/>
        <v/>
      </c>
      <c r="AD296" t="str">
        <f t="shared" si="74"/>
        <v/>
      </c>
      <c r="AE296" t="str">
        <f t="shared" si="75"/>
        <v/>
      </c>
      <c r="AF296" t="str">
        <f t="shared" si="76"/>
        <v/>
      </c>
      <c r="AG296">
        <f t="shared" si="77"/>
        <v>30597120</v>
      </c>
      <c r="AH296" t="str">
        <f t="shared" si="78"/>
        <v/>
      </c>
      <c r="AI296" t="str">
        <f t="shared" si="79"/>
        <v/>
      </c>
      <c r="AJ296" t="str">
        <f t="shared" si="80"/>
        <v/>
      </c>
    </row>
    <row r="297" spans="12:36">
      <c r="L297" t="s">
        <v>469</v>
      </c>
      <c r="M297" t="s">
        <v>103</v>
      </c>
      <c r="N297">
        <v>62570496</v>
      </c>
      <c r="O297" t="s">
        <v>167</v>
      </c>
      <c r="P297" t="s">
        <v>168</v>
      </c>
      <c r="Q297" t="s">
        <v>166</v>
      </c>
      <c r="R297" t="str">
        <f t="shared" si="81"/>
        <v>1x</v>
      </c>
      <c r="X297">
        <v>1</v>
      </c>
      <c r="AB297" t="str">
        <f t="shared" si="72"/>
        <v/>
      </c>
      <c r="AC297" t="str">
        <f t="shared" si="73"/>
        <v/>
      </c>
      <c r="AD297" t="str">
        <f t="shared" si="74"/>
        <v/>
      </c>
      <c r="AE297" t="str">
        <f t="shared" si="75"/>
        <v/>
      </c>
      <c r="AF297" t="str">
        <f t="shared" si="76"/>
        <v/>
      </c>
      <c r="AG297">
        <f t="shared" si="77"/>
        <v>62570496</v>
      </c>
      <c r="AH297" t="str">
        <f t="shared" si="78"/>
        <v/>
      </c>
      <c r="AI297" t="str">
        <f t="shared" si="79"/>
        <v/>
      </c>
      <c r="AJ297" t="str">
        <f t="shared" si="80"/>
        <v/>
      </c>
    </row>
    <row r="298" spans="12:36">
      <c r="L298" t="s">
        <v>469</v>
      </c>
      <c r="M298" t="s">
        <v>69</v>
      </c>
      <c r="N298">
        <v>627728384</v>
      </c>
      <c r="O298" t="s">
        <v>470</v>
      </c>
      <c r="P298" t="s">
        <v>71</v>
      </c>
      <c r="Q298" t="s">
        <v>471</v>
      </c>
      <c r="R298" t="str">
        <f t="shared" si="81"/>
        <v>1x</v>
      </c>
      <c r="X298">
        <v>1</v>
      </c>
      <c r="AB298" t="str">
        <f t="shared" si="72"/>
        <v/>
      </c>
      <c r="AC298" t="str">
        <f t="shared" si="73"/>
        <v/>
      </c>
      <c r="AD298" t="str">
        <f t="shared" si="74"/>
        <v/>
      </c>
      <c r="AE298" t="str">
        <f t="shared" si="75"/>
        <v/>
      </c>
      <c r="AF298" t="str">
        <f t="shared" si="76"/>
        <v/>
      </c>
      <c r="AG298">
        <f t="shared" si="77"/>
        <v>627728384</v>
      </c>
      <c r="AH298" t="str">
        <f t="shared" si="78"/>
        <v/>
      </c>
      <c r="AI298" t="str">
        <f t="shared" si="79"/>
        <v/>
      </c>
      <c r="AJ298" t="str">
        <f t="shared" si="80"/>
        <v/>
      </c>
    </row>
    <row r="299" spans="12:36">
      <c r="L299" t="s">
        <v>469</v>
      </c>
      <c r="M299" t="s">
        <v>73</v>
      </c>
      <c r="N299">
        <v>18178048</v>
      </c>
      <c r="O299" t="s">
        <v>74</v>
      </c>
      <c r="P299" t="s">
        <v>74</v>
      </c>
      <c r="Q299" t="s">
        <v>75</v>
      </c>
      <c r="R299" t="str">
        <f t="shared" si="81"/>
        <v>1x</v>
      </c>
      <c r="X299">
        <v>1</v>
      </c>
      <c r="AB299" t="str">
        <f t="shared" si="72"/>
        <v/>
      </c>
      <c r="AC299" t="str">
        <f t="shared" si="73"/>
        <v/>
      </c>
      <c r="AD299" t="str">
        <f t="shared" si="74"/>
        <v/>
      </c>
      <c r="AE299" t="str">
        <f t="shared" si="75"/>
        <v/>
      </c>
      <c r="AF299" t="str">
        <f t="shared" si="76"/>
        <v/>
      </c>
      <c r="AG299">
        <f t="shared" si="77"/>
        <v>18178048</v>
      </c>
      <c r="AH299" t="str">
        <f t="shared" si="78"/>
        <v/>
      </c>
      <c r="AI299" t="str">
        <f t="shared" si="79"/>
        <v/>
      </c>
      <c r="AJ299" t="str">
        <f t="shared" si="80"/>
        <v/>
      </c>
    </row>
    <row r="300" spans="12:36">
      <c r="L300" t="s">
        <v>469</v>
      </c>
      <c r="M300" t="s">
        <v>126</v>
      </c>
      <c r="N300">
        <v>14311424</v>
      </c>
      <c r="O300" t="s">
        <v>176</v>
      </c>
      <c r="P300" t="s">
        <v>104</v>
      </c>
      <c r="Q300" t="s">
        <v>177</v>
      </c>
      <c r="R300" t="str">
        <f t="shared" si="81"/>
        <v>1x</v>
      </c>
      <c r="X300">
        <v>1</v>
      </c>
      <c r="AB300" t="str">
        <f t="shared" si="72"/>
        <v/>
      </c>
      <c r="AC300" t="str">
        <f t="shared" si="73"/>
        <v/>
      </c>
      <c r="AD300" t="str">
        <f t="shared" si="74"/>
        <v/>
      </c>
      <c r="AE300" t="str">
        <f t="shared" si="75"/>
        <v/>
      </c>
      <c r="AF300" t="str">
        <f t="shared" si="76"/>
        <v/>
      </c>
      <c r="AG300">
        <f t="shared" si="77"/>
        <v>14311424</v>
      </c>
      <c r="AH300" t="str">
        <f t="shared" si="78"/>
        <v/>
      </c>
      <c r="AI300" t="str">
        <f t="shared" si="79"/>
        <v/>
      </c>
      <c r="AJ300" t="str">
        <f t="shared" si="80"/>
        <v/>
      </c>
    </row>
    <row r="301" spans="12:36">
      <c r="L301" t="s">
        <v>469</v>
      </c>
      <c r="M301" t="s">
        <v>130</v>
      </c>
      <c r="N301">
        <v>745472</v>
      </c>
      <c r="O301" t="s">
        <v>131</v>
      </c>
      <c r="P301" t="s">
        <v>132</v>
      </c>
      <c r="Q301" t="s">
        <v>111</v>
      </c>
      <c r="R301" t="str">
        <f t="shared" si="81"/>
        <v>1x</v>
      </c>
      <c r="X301">
        <v>1</v>
      </c>
      <c r="AB301" t="str">
        <f t="shared" si="72"/>
        <v/>
      </c>
      <c r="AC301" t="str">
        <f t="shared" si="73"/>
        <v/>
      </c>
      <c r="AD301" t="str">
        <f t="shared" si="74"/>
        <v/>
      </c>
      <c r="AE301" t="str">
        <f t="shared" si="75"/>
        <v/>
      </c>
      <c r="AF301" t="str">
        <f t="shared" si="76"/>
        <v/>
      </c>
      <c r="AG301">
        <f t="shared" si="77"/>
        <v>745472</v>
      </c>
      <c r="AH301" t="str">
        <f t="shared" si="78"/>
        <v/>
      </c>
      <c r="AI301" t="str">
        <f t="shared" si="79"/>
        <v/>
      </c>
      <c r="AJ301" t="str">
        <f t="shared" si="80"/>
        <v/>
      </c>
    </row>
    <row r="302" spans="12:36">
      <c r="L302" t="s">
        <v>469</v>
      </c>
      <c r="M302" t="s">
        <v>76</v>
      </c>
      <c r="N302">
        <v>71933952</v>
      </c>
      <c r="O302" t="s">
        <v>77</v>
      </c>
      <c r="P302" t="s">
        <v>78</v>
      </c>
      <c r="Q302" t="s">
        <v>472</v>
      </c>
      <c r="R302" t="str">
        <f t="shared" si="81"/>
        <v>1x</v>
      </c>
      <c r="X302">
        <v>1</v>
      </c>
      <c r="AB302" t="str">
        <f t="shared" si="72"/>
        <v/>
      </c>
      <c r="AC302" t="str">
        <f t="shared" si="73"/>
        <v/>
      </c>
      <c r="AD302" t="str">
        <f t="shared" si="74"/>
        <v/>
      </c>
      <c r="AE302" t="str">
        <f t="shared" si="75"/>
        <v/>
      </c>
      <c r="AF302" t="str">
        <f t="shared" si="76"/>
        <v/>
      </c>
      <c r="AG302">
        <f t="shared" si="77"/>
        <v>71933952</v>
      </c>
      <c r="AH302" t="str">
        <f t="shared" si="78"/>
        <v/>
      </c>
      <c r="AI302" t="str">
        <f t="shared" si="79"/>
        <v/>
      </c>
      <c r="AJ302" t="str">
        <f t="shared" si="80"/>
        <v/>
      </c>
    </row>
    <row r="303" spans="12:36">
      <c r="L303" t="s">
        <v>473</v>
      </c>
      <c r="M303" t="s">
        <v>91</v>
      </c>
      <c r="N303">
        <v>70385664</v>
      </c>
      <c r="O303" t="s">
        <v>92</v>
      </c>
      <c r="P303" t="s">
        <v>93</v>
      </c>
      <c r="Q303" t="s">
        <v>94</v>
      </c>
      <c r="R303" t="str">
        <f t="shared" si="81"/>
        <v>2x</v>
      </c>
      <c r="X303">
        <v>1</v>
      </c>
      <c r="AB303" t="str">
        <f t="shared" si="72"/>
        <v/>
      </c>
      <c r="AC303" t="str">
        <f t="shared" si="73"/>
        <v/>
      </c>
      <c r="AD303" t="str">
        <f t="shared" si="74"/>
        <v/>
      </c>
      <c r="AE303" t="str">
        <f t="shared" si="75"/>
        <v/>
      </c>
      <c r="AF303" t="str">
        <f t="shared" si="76"/>
        <v/>
      </c>
      <c r="AG303">
        <f t="shared" si="77"/>
        <v>70385664</v>
      </c>
      <c r="AH303" t="str">
        <f t="shared" si="78"/>
        <v/>
      </c>
      <c r="AI303" t="str">
        <f t="shared" si="79"/>
        <v/>
      </c>
      <c r="AJ303" t="str">
        <f t="shared" si="80"/>
        <v/>
      </c>
    </row>
    <row r="304" spans="12:36">
      <c r="L304" t="s">
        <v>473</v>
      </c>
      <c r="M304" t="s">
        <v>95</v>
      </c>
      <c r="N304">
        <v>31948800</v>
      </c>
      <c r="O304" t="s">
        <v>96</v>
      </c>
      <c r="P304" t="s">
        <v>97</v>
      </c>
      <c r="Q304" t="s">
        <v>98</v>
      </c>
      <c r="R304" t="str">
        <f t="shared" si="81"/>
        <v>2x</v>
      </c>
      <c r="X304">
        <v>1</v>
      </c>
      <c r="AB304" t="str">
        <f t="shared" si="72"/>
        <v/>
      </c>
      <c r="AC304" t="str">
        <f t="shared" si="73"/>
        <v/>
      </c>
      <c r="AD304" t="str">
        <f t="shared" si="74"/>
        <v/>
      </c>
      <c r="AE304" t="str">
        <f t="shared" si="75"/>
        <v/>
      </c>
      <c r="AF304" t="str">
        <f t="shared" si="76"/>
        <v/>
      </c>
      <c r="AG304">
        <f t="shared" si="77"/>
        <v>31948800</v>
      </c>
      <c r="AH304" t="str">
        <f t="shared" si="78"/>
        <v/>
      </c>
      <c r="AI304" t="str">
        <f t="shared" si="79"/>
        <v/>
      </c>
      <c r="AJ304" t="str">
        <f t="shared" si="80"/>
        <v/>
      </c>
    </row>
    <row r="305" spans="12:36">
      <c r="L305" t="s">
        <v>473</v>
      </c>
      <c r="M305" t="s">
        <v>99</v>
      </c>
      <c r="N305">
        <v>61726720</v>
      </c>
      <c r="O305" t="s">
        <v>146</v>
      </c>
      <c r="P305" t="s">
        <v>147</v>
      </c>
      <c r="Q305" t="s">
        <v>148</v>
      </c>
      <c r="R305" t="str">
        <f t="shared" si="81"/>
        <v>2x</v>
      </c>
      <c r="X305">
        <v>1</v>
      </c>
      <c r="AB305" t="str">
        <f t="shared" si="72"/>
        <v/>
      </c>
      <c r="AC305" t="str">
        <f t="shared" si="73"/>
        <v/>
      </c>
      <c r="AD305" t="str">
        <f t="shared" si="74"/>
        <v/>
      </c>
      <c r="AE305" t="str">
        <f t="shared" si="75"/>
        <v/>
      </c>
      <c r="AF305" t="str">
        <f t="shared" si="76"/>
        <v/>
      </c>
      <c r="AG305">
        <f t="shared" si="77"/>
        <v>61726720</v>
      </c>
      <c r="AH305" t="str">
        <f t="shared" si="78"/>
        <v/>
      </c>
      <c r="AI305" t="str">
        <f t="shared" si="79"/>
        <v/>
      </c>
      <c r="AJ305" t="str">
        <f t="shared" si="80"/>
        <v/>
      </c>
    </row>
    <row r="306" spans="12:36">
      <c r="L306" t="s">
        <v>473</v>
      </c>
      <c r="M306" t="s">
        <v>103</v>
      </c>
      <c r="N306">
        <v>125034496</v>
      </c>
      <c r="O306" t="s">
        <v>149</v>
      </c>
      <c r="P306" t="s">
        <v>150</v>
      </c>
      <c r="Q306" t="s">
        <v>148</v>
      </c>
      <c r="R306" t="str">
        <f t="shared" si="81"/>
        <v>2x</v>
      </c>
      <c r="X306">
        <v>1</v>
      </c>
      <c r="AB306" t="str">
        <f t="shared" si="72"/>
        <v/>
      </c>
      <c r="AC306" t="str">
        <f t="shared" si="73"/>
        <v/>
      </c>
      <c r="AD306" t="str">
        <f t="shared" si="74"/>
        <v/>
      </c>
      <c r="AE306" t="str">
        <f t="shared" si="75"/>
        <v/>
      </c>
      <c r="AF306" t="str">
        <f t="shared" si="76"/>
        <v/>
      </c>
      <c r="AG306">
        <f t="shared" si="77"/>
        <v>125034496</v>
      </c>
      <c r="AH306" t="str">
        <f t="shared" si="78"/>
        <v/>
      </c>
      <c r="AI306" t="str">
        <f t="shared" si="79"/>
        <v/>
      </c>
      <c r="AJ306" t="str">
        <f t="shared" si="80"/>
        <v/>
      </c>
    </row>
    <row r="307" spans="12:36">
      <c r="L307" t="s">
        <v>473</v>
      </c>
      <c r="M307" t="s">
        <v>69</v>
      </c>
      <c r="N307">
        <v>1255317504</v>
      </c>
      <c r="O307" t="s">
        <v>474</v>
      </c>
      <c r="P307" t="s">
        <v>137</v>
      </c>
      <c r="Q307" t="s">
        <v>88</v>
      </c>
      <c r="R307" t="str">
        <f t="shared" si="81"/>
        <v>2x</v>
      </c>
      <c r="X307">
        <v>1</v>
      </c>
      <c r="AB307" t="str">
        <f t="shared" si="72"/>
        <v/>
      </c>
      <c r="AC307" t="str">
        <f t="shared" si="73"/>
        <v/>
      </c>
      <c r="AD307" t="str">
        <f t="shared" si="74"/>
        <v/>
      </c>
      <c r="AE307" t="str">
        <f t="shared" si="75"/>
        <v/>
      </c>
      <c r="AF307" t="str">
        <f t="shared" si="76"/>
        <v/>
      </c>
      <c r="AG307">
        <f t="shared" si="77"/>
        <v>1255317504</v>
      </c>
      <c r="AH307" t="str">
        <f t="shared" si="78"/>
        <v/>
      </c>
      <c r="AI307" t="str">
        <f t="shared" si="79"/>
        <v/>
      </c>
      <c r="AJ307" t="str">
        <f t="shared" si="80"/>
        <v/>
      </c>
    </row>
    <row r="308" spans="12:36">
      <c r="L308" t="s">
        <v>473</v>
      </c>
      <c r="M308" t="s">
        <v>73</v>
      </c>
      <c r="N308">
        <v>36274176</v>
      </c>
      <c r="O308" t="s">
        <v>139</v>
      </c>
      <c r="P308" t="s">
        <v>140</v>
      </c>
      <c r="Q308" t="s">
        <v>141</v>
      </c>
      <c r="R308" t="str">
        <f t="shared" si="81"/>
        <v>2x</v>
      </c>
      <c r="X308">
        <v>1</v>
      </c>
      <c r="AB308" t="str">
        <f t="shared" si="72"/>
        <v/>
      </c>
      <c r="AC308" t="str">
        <f t="shared" si="73"/>
        <v/>
      </c>
      <c r="AD308" t="str">
        <f t="shared" si="74"/>
        <v/>
      </c>
      <c r="AE308" t="str">
        <f t="shared" si="75"/>
        <v/>
      </c>
      <c r="AF308" t="str">
        <f t="shared" si="76"/>
        <v/>
      </c>
      <c r="AG308">
        <f t="shared" si="77"/>
        <v>36274176</v>
      </c>
      <c r="AH308" t="str">
        <f t="shared" si="78"/>
        <v/>
      </c>
      <c r="AI308" t="str">
        <f t="shared" si="79"/>
        <v/>
      </c>
      <c r="AJ308" t="str">
        <f t="shared" si="80"/>
        <v/>
      </c>
    </row>
    <row r="309" spans="12:36">
      <c r="L309" t="s">
        <v>473</v>
      </c>
      <c r="M309" t="s">
        <v>126</v>
      </c>
      <c r="N309">
        <v>28549120</v>
      </c>
      <c r="O309" t="s">
        <v>162</v>
      </c>
      <c r="P309" t="s">
        <v>163</v>
      </c>
      <c r="Q309" t="s">
        <v>164</v>
      </c>
      <c r="R309" t="str">
        <f t="shared" si="81"/>
        <v>2x</v>
      </c>
      <c r="X309">
        <v>1</v>
      </c>
      <c r="AB309" t="str">
        <f t="shared" si="72"/>
        <v/>
      </c>
      <c r="AC309" t="str">
        <f t="shared" si="73"/>
        <v/>
      </c>
      <c r="AD309" t="str">
        <f t="shared" si="74"/>
        <v/>
      </c>
      <c r="AE309" t="str">
        <f t="shared" si="75"/>
        <v/>
      </c>
      <c r="AF309" t="str">
        <f t="shared" si="76"/>
        <v/>
      </c>
      <c r="AG309">
        <f t="shared" si="77"/>
        <v>28549120</v>
      </c>
      <c r="AH309" t="str">
        <f t="shared" si="78"/>
        <v/>
      </c>
      <c r="AI309" t="str">
        <f t="shared" si="79"/>
        <v/>
      </c>
      <c r="AJ309" t="str">
        <f t="shared" si="80"/>
        <v/>
      </c>
    </row>
    <row r="310" spans="12:36">
      <c r="L310" t="s">
        <v>473</v>
      </c>
      <c r="M310" t="s">
        <v>130</v>
      </c>
      <c r="N310">
        <v>745472</v>
      </c>
      <c r="O310" t="s">
        <v>131</v>
      </c>
      <c r="P310" t="s">
        <v>132</v>
      </c>
      <c r="Q310" t="s">
        <v>111</v>
      </c>
      <c r="R310" t="str">
        <f t="shared" si="81"/>
        <v>2x</v>
      </c>
      <c r="X310">
        <v>1</v>
      </c>
      <c r="AB310" t="str">
        <f t="shared" si="72"/>
        <v/>
      </c>
      <c r="AC310" t="str">
        <f t="shared" si="73"/>
        <v/>
      </c>
      <c r="AD310" t="str">
        <f t="shared" si="74"/>
        <v/>
      </c>
      <c r="AE310" t="str">
        <f t="shared" si="75"/>
        <v/>
      </c>
      <c r="AF310" t="str">
        <f t="shared" si="76"/>
        <v/>
      </c>
      <c r="AG310">
        <f t="shared" si="77"/>
        <v>745472</v>
      </c>
      <c r="AH310" t="str">
        <f t="shared" si="78"/>
        <v/>
      </c>
      <c r="AI310" t="str">
        <f t="shared" si="79"/>
        <v/>
      </c>
      <c r="AJ310" t="str">
        <f t="shared" si="80"/>
        <v/>
      </c>
    </row>
    <row r="311" spans="12:36">
      <c r="L311" t="s">
        <v>473</v>
      </c>
      <c r="M311" t="s">
        <v>76</v>
      </c>
      <c r="N311">
        <v>143712256</v>
      </c>
      <c r="O311" t="s">
        <v>142</v>
      </c>
      <c r="P311" t="s">
        <v>143</v>
      </c>
      <c r="Q311" t="s">
        <v>475</v>
      </c>
      <c r="R311" t="str">
        <f t="shared" si="81"/>
        <v>2x</v>
      </c>
      <c r="X311">
        <v>1</v>
      </c>
      <c r="AB311" t="str">
        <f t="shared" si="72"/>
        <v/>
      </c>
      <c r="AC311" t="str">
        <f t="shared" si="73"/>
        <v/>
      </c>
      <c r="AD311" t="str">
        <f t="shared" si="74"/>
        <v/>
      </c>
      <c r="AE311" t="str">
        <f t="shared" si="75"/>
        <v/>
      </c>
      <c r="AF311" t="str">
        <f t="shared" si="76"/>
        <v/>
      </c>
      <c r="AG311">
        <f t="shared" si="77"/>
        <v>143712256</v>
      </c>
      <c r="AH311" t="str">
        <f t="shared" si="78"/>
        <v/>
      </c>
      <c r="AI311" t="str">
        <f t="shared" si="79"/>
        <v/>
      </c>
      <c r="AJ311" t="str">
        <f t="shared" si="80"/>
        <v/>
      </c>
    </row>
    <row r="312" spans="12:36">
      <c r="L312" t="s">
        <v>476</v>
      </c>
      <c r="M312" t="s">
        <v>91</v>
      </c>
      <c r="N312">
        <v>70385664</v>
      </c>
      <c r="O312" t="s">
        <v>92</v>
      </c>
      <c r="P312" t="s">
        <v>93</v>
      </c>
      <c r="Q312" t="s">
        <v>94</v>
      </c>
      <c r="R312" t="str">
        <f t="shared" si="81"/>
        <v>5x</v>
      </c>
      <c r="X312">
        <v>1</v>
      </c>
      <c r="AB312" t="str">
        <f t="shared" si="72"/>
        <v/>
      </c>
      <c r="AC312" t="str">
        <f t="shared" si="73"/>
        <v/>
      </c>
      <c r="AD312" t="str">
        <f t="shared" si="74"/>
        <v/>
      </c>
      <c r="AE312" t="str">
        <f t="shared" si="75"/>
        <v/>
      </c>
      <c r="AF312" t="str">
        <f t="shared" si="76"/>
        <v/>
      </c>
      <c r="AG312">
        <f t="shared" si="77"/>
        <v>70385664</v>
      </c>
      <c r="AH312" t="str">
        <f t="shared" si="78"/>
        <v/>
      </c>
      <c r="AI312" t="str">
        <f t="shared" si="79"/>
        <v/>
      </c>
      <c r="AJ312" t="str">
        <f t="shared" si="80"/>
        <v/>
      </c>
    </row>
    <row r="313" spans="12:36">
      <c r="L313" t="s">
        <v>476</v>
      </c>
      <c r="M313" t="s">
        <v>95</v>
      </c>
      <c r="N313">
        <v>31948800</v>
      </c>
      <c r="O313" t="s">
        <v>96</v>
      </c>
      <c r="P313" t="s">
        <v>97</v>
      </c>
      <c r="Q313" t="s">
        <v>98</v>
      </c>
      <c r="R313" t="str">
        <f t="shared" si="81"/>
        <v>5x</v>
      </c>
      <c r="X313">
        <v>1</v>
      </c>
      <c r="AB313" t="str">
        <f t="shared" si="72"/>
        <v/>
      </c>
      <c r="AC313" t="str">
        <f t="shared" si="73"/>
        <v/>
      </c>
      <c r="AD313" t="str">
        <f t="shared" si="74"/>
        <v/>
      </c>
      <c r="AE313" t="str">
        <f t="shared" si="75"/>
        <v/>
      </c>
      <c r="AF313" t="str">
        <f t="shared" si="76"/>
        <v/>
      </c>
      <c r="AG313">
        <f t="shared" si="77"/>
        <v>31948800</v>
      </c>
      <c r="AH313" t="str">
        <f t="shared" si="78"/>
        <v/>
      </c>
      <c r="AI313" t="str">
        <f t="shared" si="79"/>
        <v/>
      </c>
      <c r="AJ313" t="str">
        <f t="shared" si="80"/>
        <v/>
      </c>
    </row>
    <row r="314" spans="12:36">
      <c r="L314" t="s">
        <v>476</v>
      </c>
      <c r="M314" t="s">
        <v>99</v>
      </c>
      <c r="N314">
        <v>156729344</v>
      </c>
      <c r="O314" t="s">
        <v>381</v>
      </c>
      <c r="P314" t="s">
        <v>382</v>
      </c>
      <c r="Q314" t="s">
        <v>383</v>
      </c>
      <c r="R314" t="str">
        <f t="shared" si="81"/>
        <v>5x</v>
      </c>
      <c r="X314">
        <v>1</v>
      </c>
      <c r="AB314" t="str">
        <f t="shared" si="72"/>
        <v/>
      </c>
      <c r="AC314" t="str">
        <f t="shared" si="73"/>
        <v/>
      </c>
      <c r="AD314" t="str">
        <f t="shared" si="74"/>
        <v/>
      </c>
      <c r="AE314" t="str">
        <f t="shared" si="75"/>
        <v/>
      </c>
      <c r="AF314" t="str">
        <f t="shared" si="76"/>
        <v/>
      </c>
      <c r="AG314">
        <f t="shared" si="77"/>
        <v>156729344</v>
      </c>
      <c r="AH314" t="str">
        <f t="shared" si="78"/>
        <v/>
      </c>
      <c r="AI314" t="str">
        <f t="shared" si="79"/>
        <v/>
      </c>
      <c r="AJ314" t="str">
        <f t="shared" si="80"/>
        <v/>
      </c>
    </row>
    <row r="315" spans="12:36">
      <c r="L315" t="s">
        <v>476</v>
      </c>
      <c r="M315" t="s">
        <v>103</v>
      </c>
      <c r="N315">
        <v>312451072</v>
      </c>
      <c r="O315" t="s">
        <v>384</v>
      </c>
      <c r="P315" t="s">
        <v>385</v>
      </c>
      <c r="Q315" t="s">
        <v>383</v>
      </c>
      <c r="R315" t="str">
        <f t="shared" si="81"/>
        <v>5x</v>
      </c>
      <c r="X315">
        <v>1</v>
      </c>
      <c r="AB315" t="str">
        <f t="shared" si="72"/>
        <v/>
      </c>
      <c r="AC315" t="str">
        <f t="shared" si="73"/>
        <v/>
      </c>
      <c r="AD315" t="str">
        <f t="shared" si="74"/>
        <v/>
      </c>
      <c r="AE315" t="str">
        <f t="shared" si="75"/>
        <v/>
      </c>
      <c r="AF315" t="str">
        <f t="shared" si="76"/>
        <v/>
      </c>
      <c r="AG315">
        <f t="shared" si="77"/>
        <v>312451072</v>
      </c>
      <c r="AH315" t="str">
        <f t="shared" si="78"/>
        <v/>
      </c>
      <c r="AI315" t="str">
        <f t="shared" si="79"/>
        <v/>
      </c>
      <c r="AJ315" t="str">
        <f t="shared" si="80"/>
        <v/>
      </c>
    </row>
    <row r="316" spans="12:36">
      <c r="L316" t="s">
        <v>476</v>
      </c>
      <c r="M316" t="s">
        <v>69</v>
      </c>
      <c r="N316">
        <v>3138093056</v>
      </c>
      <c r="O316" t="s">
        <v>477</v>
      </c>
      <c r="P316" t="s">
        <v>97</v>
      </c>
      <c r="Q316" t="s">
        <v>265</v>
      </c>
      <c r="R316" t="str">
        <f t="shared" si="81"/>
        <v>5x</v>
      </c>
      <c r="X316">
        <v>1</v>
      </c>
      <c r="AB316" t="str">
        <f t="shared" si="72"/>
        <v/>
      </c>
      <c r="AC316" t="str">
        <f t="shared" si="73"/>
        <v/>
      </c>
      <c r="AD316" t="str">
        <f t="shared" si="74"/>
        <v/>
      </c>
      <c r="AE316" t="str">
        <f t="shared" si="75"/>
        <v/>
      </c>
      <c r="AF316" t="str">
        <f t="shared" si="76"/>
        <v/>
      </c>
      <c r="AG316">
        <f t="shared" si="77"/>
        <v>3138093056</v>
      </c>
      <c r="AH316" t="str">
        <f t="shared" si="78"/>
        <v/>
      </c>
      <c r="AI316" t="str">
        <f t="shared" si="79"/>
        <v/>
      </c>
      <c r="AJ316" t="str">
        <f t="shared" si="80"/>
        <v/>
      </c>
    </row>
    <row r="317" spans="12:36">
      <c r="L317" t="s">
        <v>476</v>
      </c>
      <c r="M317" t="s">
        <v>73</v>
      </c>
      <c r="N317">
        <v>90570752</v>
      </c>
      <c r="O317" t="s">
        <v>375</v>
      </c>
      <c r="P317" t="s">
        <v>253</v>
      </c>
      <c r="Q317" t="s">
        <v>376</v>
      </c>
      <c r="R317" t="str">
        <f t="shared" si="81"/>
        <v>5x</v>
      </c>
      <c r="X317">
        <v>1</v>
      </c>
      <c r="AB317" t="str">
        <f t="shared" si="72"/>
        <v/>
      </c>
      <c r="AC317" t="str">
        <f t="shared" si="73"/>
        <v/>
      </c>
      <c r="AD317" t="str">
        <f t="shared" si="74"/>
        <v/>
      </c>
      <c r="AE317" t="str">
        <f t="shared" si="75"/>
        <v/>
      </c>
      <c r="AF317" t="str">
        <f t="shared" si="76"/>
        <v/>
      </c>
      <c r="AG317">
        <f t="shared" si="77"/>
        <v>90570752</v>
      </c>
      <c r="AH317" t="str">
        <f t="shared" si="78"/>
        <v/>
      </c>
      <c r="AI317" t="str">
        <f t="shared" si="79"/>
        <v/>
      </c>
      <c r="AJ317" t="str">
        <f t="shared" si="80"/>
        <v/>
      </c>
    </row>
    <row r="318" spans="12:36">
      <c r="L318" t="s">
        <v>476</v>
      </c>
      <c r="M318" t="s">
        <v>126</v>
      </c>
      <c r="N318">
        <v>71303168</v>
      </c>
      <c r="O318" t="s">
        <v>296</v>
      </c>
      <c r="P318" t="s">
        <v>394</v>
      </c>
      <c r="Q318" t="s">
        <v>395</v>
      </c>
      <c r="R318" t="str">
        <f t="shared" si="81"/>
        <v>5x</v>
      </c>
      <c r="X318">
        <v>1</v>
      </c>
      <c r="AB318" t="str">
        <f t="shared" si="72"/>
        <v/>
      </c>
      <c r="AC318" t="str">
        <f t="shared" si="73"/>
        <v/>
      </c>
      <c r="AD318" t="str">
        <f t="shared" si="74"/>
        <v/>
      </c>
      <c r="AE318" t="str">
        <f t="shared" si="75"/>
        <v/>
      </c>
      <c r="AF318" t="str">
        <f t="shared" si="76"/>
        <v/>
      </c>
      <c r="AG318">
        <f t="shared" si="77"/>
        <v>71303168</v>
      </c>
      <c r="AH318" t="str">
        <f t="shared" si="78"/>
        <v/>
      </c>
      <c r="AI318" t="str">
        <f t="shared" si="79"/>
        <v/>
      </c>
      <c r="AJ318" t="str">
        <f t="shared" si="80"/>
        <v/>
      </c>
    </row>
    <row r="319" spans="12:36">
      <c r="L319" t="s">
        <v>476</v>
      </c>
      <c r="M319" t="s">
        <v>130</v>
      </c>
      <c r="N319">
        <v>745472</v>
      </c>
      <c r="O319" t="s">
        <v>131</v>
      </c>
      <c r="P319" t="s">
        <v>132</v>
      </c>
      <c r="Q319" t="s">
        <v>111</v>
      </c>
      <c r="R319" t="str">
        <f t="shared" si="81"/>
        <v>5x</v>
      </c>
      <c r="X319">
        <v>1</v>
      </c>
      <c r="AB319" t="str">
        <f t="shared" si="72"/>
        <v/>
      </c>
      <c r="AC319" t="str">
        <f t="shared" si="73"/>
        <v/>
      </c>
      <c r="AD319" t="str">
        <f t="shared" si="74"/>
        <v/>
      </c>
      <c r="AE319" t="str">
        <f t="shared" si="75"/>
        <v/>
      </c>
      <c r="AF319" t="str">
        <f t="shared" si="76"/>
        <v/>
      </c>
      <c r="AG319">
        <f t="shared" si="77"/>
        <v>745472</v>
      </c>
      <c r="AH319" t="str">
        <f t="shared" si="78"/>
        <v/>
      </c>
      <c r="AI319" t="str">
        <f t="shared" si="79"/>
        <v/>
      </c>
      <c r="AJ319" t="str">
        <f t="shared" si="80"/>
        <v/>
      </c>
    </row>
    <row r="320" spans="12:36">
      <c r="L320" t="s">
        <v>476</v>
      </c>
      <c r="M320" t="s">
        <v>76</v>
      </c>
      <c r="N320">
        <v>359112704</v>
      </c>
      <c r="O320" t="s">
        <v>478</v>
      </c>
      <c r="P320" t="s">
        <v>378</v>
      </c>
      <c r="Q320" t="s">
        <v>479</v>
      </c>
      <c r="R320" t="str">
        <f t="shared" si="81"/>
        <v>5x</v>
      </c>
      <c r="X320">
        <v>1</v>
      </c>
      <c r="AB320" t="str">
        <f t="shared" si="72"/>
        <v/>
      </c>
      <c r="AC320" t="str">
        <f t="shared" si="73"/>
        <v/>
      </c>
      <c r="AD320" t="str">
        <f t="shared" si="74"/>
        <v/>
      </c>
      <c r="AE320" t="str">
        <f t="shared" si="75"/>
        <v/>
      </c>
      <c r="AF320" t="str">
        <f t="shared" si="76"/>
        <v/>
      </c>
      <c r="AG320">
        <f t="shared" si="77"/>
        <v>359112704</v>
      </c>
      <c r="AH320" t="str">
        <f t="shared" si="78"/>
        <v/>
      </c>
      <c r="AI320" t="str">
        <f t="shared" si="79"/>
        <v/>
      </c>
      <c r="AJ320" t="str">
        <f t="shared" si="80"/>
        <v/>
      </c>
    </row>
    <row r="321" spans="12:36">
      <c r="L321" t="s">
        <v>480</v>
      </c>
      <c r="M321" t="s">
        <v>91</v>
      </c>
      <c r="N321">
        <v>70385664</v>
      </c>
      <c r="O321" t="s">
        <v>92</v>
      </c>
      <c r="P321" t="s">
        <v>93</v>
      </c>
      <c r="Q321" t="s">
        <v>94</v>
      </c>
      <c r="R321" t="str">
        <f t="shared" si="81"/>
        <v>10x</v>
      </c>
      <c r="X321">
        <v>1</v>
      </c>
      <c r="AB321" t="str">
        <f t="shared" si="72"/>
        <v/>
      </c>
      <c r="AC321" t="str">
        <f t="shared" si="73"/>
        <v/>
      </c>
      <c r="AD321" t="str">
        <f t="shared" si="74"/>
        <v/>
      </c>
      <c r="AE321" t="str">
        <f t="shared" si="75"/>
        <v/>
      </c>
      <c r="AF321" t="str">
        <f t="shared" si="76"/>
        <v/>
      </c>
      <c r="AG321">
        <f t="shared" si="77"/>
        <v>70385664</v>
      </c>
      <c r="AH321" t="str">
        <f t="shared" si="78"/>
        <v/>
      </c>
      <c r="AI321" t="str">
        <f t="shared" si="79"/>
        <v/>
      </c>
      <c r="AJ321" t="str">
        <f t="shared" si="80"/>
        <v/>
      </c>
    </row>
    <row r="322" spans="12:36">
      <c r="L322" t="s">
        <v>480</v>
      </c>
      <c r="M322" t="s">
        <v>95</v>
      </c>
      <c r="N322">
        <v>31948800</v>
      </c>
      <c r="O322" t="s">
        <v>96</v>
      </c>
      <c r="P322" t="s">
        <v>97</v>
      </c>
      <c r="Q322" t="s">
        <v>98</v>
      </c>
      <c r="R322" t="str">
        <f t="shared" si="81"/>
        <v>10x</v>
      </c>
      <c r="X322">
        <v>1</v>
      </c>
      <c r="AB322" t="str">
        <f t="shared" si="72"/>
        <v/>
      </c>
      <c r="AC322" t="str">
        <f t="shared" si="73"/>
        <v/>
      </c>
      <c r="AD322" t="str">
        <f t="shared" si="74"/>
        <v/>
      </c>
      <c r="AE322" t="str">
        <f t="shared" si="75"/>
        <v/>
      </c>
      <c r="AF322" t="str">
        <f t="shared" si="76"/>
        <v/>
      </c>
      <c r="AG322">
        <f t="shared" si="77"/>
        <v>31948800</v>
      </c>
      <c r="AH322" t="str">
        <f t="shared" si="78"/>
        <v/>
      </c>
      <c r="AI322" t="str">
        <f t="shared" si="79"/>
        <v/>
      </c>
      <c r="AJ322" t="str">
        <f t="shared" si="80"/>
        <v/>
      </c>
    </row>
    <row r="323" spans="12:36">
      <c r="L323" t="s">
        <v>480</v>
      </c>
      <c r="M323" t="s">
        <v>99</v>
      </c>
      <c r="N323">
        <v>315015168</v>
      </c>
      <c r="O323" t="s">
        <v>100</v>
      </c>
      <c r="P323" t="s">
        <v>101</v>
      </c>
      <c r="Q323" t="s">
        <v>102</v>
      </c>
      <c r="R323" t="str">
        <f t="shared" si="81"/>
        <v>10x</v>
      </c>
      <c r="X323">
        <v>1</v>
      </c>
      <c r="AB323" t="str">
        <f t="shared" si="72"/>
        <v/>
      </c>
      <c r="AC323" t="str">
        <f t="shared" si="73"/>
        <v/>
      </c>
      <c r="AD323" t="str">
        <f t="shared" si="74"/>
        <v/>
      </c>
      <c r="AE323" t="str">
        <f t="shared" si="75"/>
        <v/>
      </c>
      <c r="AF323" t="str">
        <f t="shared" si="76"/>
        <v/>
      </c>
      <c r="AG323">
        <f t="shared" si="77"/>
        <v>315015168</v>
      </c>
      <c r="AH323" t="str">
        <f t="shared" si="78"/>
        <v/>
      </c>
      <c r="AI323" t="str">
        <f t="shared" si="79"/>
        <v/>
      </c>
      <c r="AJ323" t="str">
        <f t="shared" si="80"/>
        <v/>
      </c>
    </row>
    <row r="324" spans="12:36">
      <c r="L324" t="s">
        <v>480</v>
      </c>
      <c r="M324" t="s">
        <v>103</v>
      </c>
      <c r="N324">
        <v>624787456</v>
      </c>
      <c r="O324" t="s">
        <v>70</v>
      </c>
      <c r="P324" t="s">
        <v>104</v>
      </c>
      <c r="Q324" t="s">
        <v>102</v>
      </c>
      <c r="R324" t="str">
        <f t="shared" si="81"/>
        <v>10x</v>
      </c>
      <c r="X324">
        <v>1</v>
      </c>
      <c r="AB324" t="str">
        <f t="shared" si="72"/>
        <v/>
      </c>
      <c r="AC324" t="str">
        <f t="shared" si="73"/>
        <v/>
      </c>
      <c r="AD324" t="str">
        <f t="shared" si="74"/>
        <v/>
      </c>
      <c r="AE324" t="str">
        <f t="shared" si="75"/>
        <v/>
      </c>
      <c r="AF324" t="str">
        <f t="shared" si="76"/>
        <v/>
      </c>
      <c r="AG324">
        <f t="shared" si="77"/>
        <v>624787456</v>
      </c>
      <c r="AH324" t="str">
        <f t="shared" si="78"/>
        <v/>
      </c>
      <c r="AI324" t="str">
        <f t="shared" si="79"/>
        <v/>
      </c>
      <c r="AJ324" t="str">
        <f t="shared" si="80"/>
        <v/>
      </c>
    </row>
    <row r="325" spans="12:36">
      <c r="L325" t="s">
        <v>480</v>
      </c>
      <c r="M325" t="s">
        <v>69</v>
      </c>
      <c r="N325">
        <v>6276087808</v>
      </c>
      <c r="O325" t="s">
        <v>481</v>
      </c>
      <c r="P325" t="s">
        <v>82</v>
      </c>
      <c r="Q325" t="s">
        <v>482</v>
      </c>
      <c r="R325" t="str">
        <f t="shared" si="81"/>
        <v>10x</v>
      </c>
      <c r="X325">
        <v>1</v>
      </c>
      <c r="AB325" t="str">
        <f t="shared" si="72"/>
        <v/>
      </c>
      <c r="AC325" t="str">
        <f t="shared" si="73"/>
        <v/>
      </c>
      <c r="AD325" t="str">
        <f t="shared" si="74"/>
        <v/>
      </c>
      <c r="AE325" t="str">
        <f t="shared" si="75"/>
        <v/>
      </c>
      <c r="AF325" t="str">
        <f t="shared" si="76"/>
        <v/>
      </c>
      <c r="AG325">
        <f t="shared" si="77"/>
        <v>6276087808</v>
      </c>
      <c r="AH325" t="str">
        <f t="shared" si="78"/>
        <v/>
      </c>
      <c r="AI325" t="str">
        <f t="shared" si="79"/>
        <v/>
      </c>
      <c r="AJ325" t="str">
        <f t="shared" si="80"/>
        <v/>
      </c>
    </row>
    <row r="326" spans="12:36">
      <c r="L326" t="s">
        <v>480</v>
      </c>
      <c r="M326" t="s">
        <v>73</v>
      </c>
      <c r="N326">
        <v>181059584</v>
      </c>
      <c r="O326" t="s">
        <v>84</v>
      </c>
      <c r="P326" t="s">
        <v>85</v>
      </c>
      <c r="Q326" t="s">
        <v>86</v>
      </c>
      <c r="R326" t="str">
        <f t="shared" si="81"/>
        <v>10x</v>
      </c>
      <c r="X326">
        <v>1</v>
      </c>
      <c r="AB326" t="str">
        <f t="shared" si="72"/>
        <v/>
      </c>
      <c r="AC326" t="str">
        <f t="shared" si="73"/>
        <v/>
      </c>
      <c r="AD326" t="str">
        <f t="shared" si="74"/>
        <v/>
      </c>
      <c r="AE326" t="str">
        <f t="shared" si="75"/>
        <v/>
      </c>
      <c r="AF326" t="str">
        <f t="shared" si="76"/>
        <v/>
      </c>
      <c r="AG326">
        <f t="shared" si="77"/>
        <v>181059584</v>
      </c>
      <c r="AH326" t="str">
        <f t="shared" si="78"/>
        <v/>
      </c>
      <c r="AI326" t="str">
        <f t="shared" si="79"/>
        <v/>
      </c>
      <c r="AJ326" t="str">
        <f t="shared" si="80"/>
        <v/>
      </c>
    </row>
    <row r="327" spans="12:36">
      <c r="L327" t="s">
        <v>480</v>
      </c>
      <c r="M327" t="s">
        <v>126</v>
      </c>
      <c r="N327">
        <v>142548992</v>
      </c>
      <c r="O327" t="s">
        <v>127</v>
      </c>
      <c r="P327" t="s">
        <v>128</v>
      </c>
      <c r="Q327" t="s">
        <v>129</v>
      </c>
      <c r="R327" t="str">
        <f t="shared" si="81"/>
        <v>10x</v>
      </c>
      <c r="X327">
        <v>1</v>
      </c>
      <c r="AB327" t="str">
        <f t="shared" si="72"/>
        <v/>
      </c>
      <c r="AC327" t="str">
        <f t="shared" si="73"/>
        <v/>
      </c>
      <c r="AD327" t="str">
        <f t="shared" si="74"/>
        <v/>
      </c>
      <c r="AE327" t="str">
        <f t="shared" si="75"/>
        <v/>
      </c>
      <c r="AF327" t="str">
        <f t="shared" si="76"/>
        <v/>
      </c>
      <c r="AG327">
        <f t="shared" si="77"/>
        <v>142548992</v>
      </c>
      <c r="AH327" t="str">
        <f t="shared" si="78"/>
        <v/>
      </c>
      <c r="AI327" t="str">
        <f t="shared" si="79"/>
        <v/>
      </c>
      <c r="AJ327" t="str">
        <f t="shared" si="80"/>
        <v/>
      </c>
    </row>
    <row r="328" spans="12:36">
      <c r="L328" t="s">
        <v>480</v>
      </c>
      <c r="M328" t="s">
        <v>130</v>
      </c>
      <c r="N328">
        <v>745472</v>
      </c>
      <c r="O328" t="s">
        <v>131</v>
      </c>
      <c r="P328" t="s">
        <v>132</v>
      </c>
      <c r="Q328" t="s">
        <v>111</v>
      </c>
      <c r="R328" t="str">
        <f t="shared" si="81"/>
        <v>10x</v>
      </c>
      <c r="X328">
        <v>1</v>
      </c>
      <c r="AB328" t="str">
        <f t="shared" si="72"/>
        <v/>
      </c>
      <c r="AC328" t="str">
        <f t="shared" si="73"/>
        <v/>
      </c>
      <c r="AD328" t="str">
        <f t="shared" si="74"/>
        <v/>
      </c>
      <c r="AE328" t="str">
        <f t="shared" si="75"/>
        <v/>
      </c>
      <c r="AF328" t="str">
        <f t="shared" si="76"/>
        <v/>
      </c>
      <c r="AG328">
        <f t="shared" si="77"/>
        <v>745472</v>
      </c>
      <c r="AH328" t="str">
        <f t="shared" si="78"/>
        <v/>
      </c>
      <c r="AI328" t="str">
        <f t="shared" si="79"/>
        <v/>
      </c>
      <c r="AJ328" t="str">
        <f t="shared" si="80"/>
        <v/>
      </c>
    </row>
    <row r="329" spans="12:36">
      <c r="L329" t="s">
        <v>480</v>
      </c>
      <c r="M329" t="s">
        <v>76</v>
      </c>
      <c r="N329">
        <v>718069760</v>
      </c>
      <c r="O329" t="s">
        <v>483</v>
      </c>
      <c r="P329" t="s">
        <v>88</v>
      </c>
      <c r="Q329" t="s">
        <v>123</v>
      </c>
      <c r="R329" t="str">
        <f t="shared" si="81"/>
        <v>10x</v>
      </c>
      <c r="X329">
        <v>1</v>
      </c>
      <c r="AB329" t="str">
        <f t="shared" si="72"/>
        <v/>
      </c>
      <c r="AC329" t="str">
        <f t="shared" si="73"/>
        <v/>
      </c>
      <c r="AD329" t="str">
        <f t="shared" si="74"/>
        <v/>
      </c>
      <c r="AE329" t="str">
        <f t="shared" si="75"/>
        <v/>
      </c>
      <c r="AF329" t="str">
        <f t="shared" si="76"/>
        <v/>
      </c>
      <c r="AG329">
        <f t="shared" si="77"/>
        <v>718069760</v>
      </c>
      <c r="AH329" t="str">
        <f t="shared" si="78"/>
        <v/>
      </c>
      <c r="AI329" t="str">
        <f t="shared" si="79"/>
        <v/>
      </c>
      <c r="AJ329" t="str">
        <f t="shared" si="80"/>
        <v/>
      </c>
    </row>
  </sheetData>
  <autoFilter ref="L1:R265" xr:uid="{0818B785-CA88-414A-B941-315E204E4262}">
    <filterColumn colId="0">
      <filters>
        <filter val="aa_sdss2003"/>
        <filter val="aa_sdss2003_10x"/>
        <filter val="aa_sdss2003_10x_optimized"/>
        <filter val="aa_sdss2003_2x"/>
        <filter val="aa_sdss2003_2x_optimized"/>
        <filter val="aa_sdss2003_5x"/>
        <filter val="aa_sdss2003_5x_optimized"/>
        <filter val="aa_sdss2003_optimized"/>
        <filter val="aa_sdss2013_10x_optimized"/>
        <filter val="aa_sdss2013_2x_optimized"/>
        <filter val="aa_sdss2013_5x_optimized"/>
        <filter val="aa_sdss2013_optimized"/>
        <filter val="aa_sdss2023_10x_optimized"/>
        <filter val="aa_sdss2023_2x_optimized"/>
        <filter val="aa_sdss2023_5x_optimized"/>
        <filter val="aa_sdss2023_optimized"/>
      </filters>
    </filterColumn>
    <sortState xmlns:xlrd2="http://schemas.microsoft.com/office/spreadsheetml/2017/richdata2" ref="L2:R193">
      <sortCondition ref="R2:R265" customList="1x,2x,5x,10x"/>
      <sortCondition ref="L2:L265"/>
      <sortCondition ref="M2:M265"/>
    </sortState>
  </autoFilter>
  <sortState xmlns:xlrd2="http://schemas.microsoft.com/office/spreadsheetml/2017/richdata2" ref="L2:R206">
    <sortCondition ref="R2:R206" customList="1x,2x,5x,10x"/>
    <sortCondition ref="L2:L206"/>
    <sortCondition ref="M2:M206"/>
  </sortState>
  <mergeCells count="3">
    <mergeCell ref="B1:J1"/>
    <mergeCell ref="B16:J16"/>
    <mergeCell ref="B8:J8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12F5-2509-4D02-A267-C4D383415FAE}">
  <dimension ref="A1:L11"/>
  <sheetViews>
    <sheetView workbookViewId="0">
      <selection activeCell="E20" sqref="E20"/>
    </sheetView>
  </sheetViews>
  <sheetFormatPr defaultRowHeight="14"/>
  <cols>
    <col min="1" max="1" width="9.58203125" bestFit="1" customWidth="1"/>
    <col min="2" max="2" width="6.08203125" bestFit="1" customWidth="1"/>
    <col min="3" max="3" width="14.33203125" bestFit="1" customWidth="1"/>
    <col min="4" max="4" width="14.33203125" customWidth="1"/>
    <col min="5" max="5" width="14.33203125" bestFit="1" customWidth="1"/>
    <col min="6" max="6" width="13.08203125" bestFit="1" customWidth="1"/>
    <col min="7" max="7" width="13.08203125" customWidth="1"/>
    <col min="8" max="8" width="14.33203125" bestFit="1" customWidth="1"/>
    <col min="9" max="9" width="13.08203125" bestFit="1" customWidth="1"/>
    <col min="10" max="10" width="16" bestFit="1" customWidth="1"/>
  </cols>
  <sheetData>
    <row r="1" spans="1:12">
      <c r="B1" s="75" t="s">
        <v>66</v>
      </c>
      <c r="C1" s="75"/>
      <c r="D1" s="75"/>
      <c r="E1" s="75"/>
      <c r="F1" s="75"/>
      <c r="G1" s="75"/>
      <c r="H1" s="75"/>
      <c r="I1" s="75"/>
      <c r="J1" s="75"/>
    </row>
    <row r="2" spans="1:12">
      <c r="A2" s="72" t="s">
        <v>52</v>
      </c>
      <c r="B2" s="74" t="s">
        <v>63</v>
      </c>
      <c r="C2" s="74"/>
      <c r="D2" s="76" t="s">
        <v>64</v>
      </c>
      <c r="E2" s="74"/>
      <c r="F2" s="77"/>
      <c r="G2" s="76" t="s">
        <v>65</v>
      </c>
      <c r="H2" s="74"/>
      <c r="I2" s="74"/>
      <c r="J2" s="77"/>
    </row>
    <row r="3" spans="1:12">
      <c r="A3" s="73"/>
      <c r="B3" s="29" t="s">
        <v>56</v>
      </c>
      <c r="C3" s="29" t="s">
        <v>57</v>
      </c>
      <c r="D3" s="55" t="s">
        <v>457</v>
      </c>
      <c r="E3" s="56" t="s">
        <v>58</v>
      </c>
      <c r="F3" s="57" t="s">
        <v>60</v>
      </c>
      <c r="G3" s="55" t="s">
        <v>458</v>
      </c>
      <c r="H3" s="57" t="s">
        <v>59</v>
      </c>
      <c r="I3" s="36" t="s">
        <v>61</v>
      </c>
      <c r="J3" s="54" t="s">
        <v>62</v>
      </c>
    </row>
    <row r="4" spans="1:12">
      <c r="A4" s="28" t="s">
        <v>53</v>
      </c>
      <c r="B4" s="38">
        <f>'Query 1x'!$E$8</f>
        <v>73.819725271400003</v>
      </c>
      <c r="C4" s="52">
        <f>'Query 1x'!$E$17</f>
        <v>7.5770482941999999</v>
      </c>
      <c r="D4" s="58">
        <f>'Query 1x'!$W$30</f>
        <v>27.740189575946129</v>
      </c>
      <c r="E4" s="59">
        <f>'Query 1x'!$E$30</f>
        <v>63.706097233782849</v>
      </c>
      <c r="F4" s="60">
        <f>'Query 1x'!$N$30</f>
        <v>1.4927656856626921</v>
      </c>
      <c r="G4" s="58">
        <f>'Query 1x'!$AF$49</f>
        <v>145.85330323118853</v>
      </c>
      <c r="H4" s="59">
        <f>'Query 1x'!$E$49</f>
        <v>571.18080275875081</v>
      </c>
      <c r="I4" s="59">
        <f>'Query 1x'!$N$49</f>
        <v>269.71695841167246</v>
      </c>
      <c r="J4" s="60">
        <f>'Query 1x'!$W$49</f>
        <v>66.730691392396508</v>
      </c>
      <c r="L4">
        <v>100000</v>
      </c>
    </row>
    <row r="5" spans="1:12">
      <c r="A5" s="28" t="s">
        <v>54</v>
      </c>
      <c r="B5" s="38">
        <f>'Query 2x'!$E$8</f>
        <v>71.277345303040406</v>
      </c>
      <c r="C5" s="52">
        <f>'Query 2x'!$E$17</f>
        <v>5.4333374133213272</v>
      </c>
      <c r="D5" s="38">
        <f>'Query 2x'!$U$30</f>
        <v>26.269220668348211</v>
      </c>
      <c r="E5" s="53">
        <f>'Query 2x'!$E$30</f>
        <v>60.175215080336883</v>
      </c>
      <c r="F5" s="41">
        <f>'Query 2x'!$M$30</f>
        <v>1.4542145384370246</v>
      </c>
      <c r="G5" s="40">
        <f>'Query 2x'!$AC$49</f>
        <v>285.37463023843503</v>
      </c>
      <c r="H5" s="52">
        <f>'Query 2x'!$E$49</f>
        <v>1124.4442429817898</v>
      </c>
      <c r="I5" s="52">
        <f>'Query 2x'!$M$49</f>
        <v>490.92730993940114</v>
      </c>
      <c r="J5" s="39">
        <f>'Query 2x'!$U$49</f>
        <v>45.527085072140785</v>
      </c>
      <c r="L5">
        <v>200000</v>
      </c>
    </row>
    <row r="6" spans="1:12">
      <c r="A6" s="28" t="s">
        <v>372</v>
      </c>
      <c r="B6" s="40">
        <f>'Query 5x'!$E$8</f>
        <v>64.422172906607173</v>
      </c>
      <c r="C6" s="53">
        <f>'Query 5x'!$E$17</f>
        <v>4.9863844617227731</v>
      </c>
      <c r="D6" s="40">
        <f>'Query 5x'!$U$30</f>
        <v>25.53746916671194</v>
      </c>
      <c r="E6" s="53">
        <f>'Query 5x'!$E$30</f>
        <v>62.661454358204836</v>
      </c>
      <c r="F6" s="41">
        <f>'Query 5x'!$M$30</f>
        <v>1.9067935424388094</v>
      </c>
      <c r="G6" s="40">
        <f>'Query 5x'!$AC$49</f>
        <v>714.54020111519787</v>
      </c>
      <c r="H6" s="53">
        <f>'Query 5x'!$E$49</f>
        <v>1546.3559942300797</v>
      </c>
      <c r="I6" s="53">
        <f>'Query 5x'!$M$49</f>
        <v>1134.6376010386482</v>
      </c>
      <c r="J6" s="41">
        <f>'Query 5x'!$U$49</f>
        <v>125.52677351450538</v>
      </c>
      <c r="L6">
        <v>500000</v>
      </c>
    </row>
    <row r="7" spans="1:12">
      <c r="A7" s="27" t="s">
        <v>55</v>
      </c>
      <c r="B7" s="42">
        <f>'Query 10x'!$E$8</f>
        <v>77.883946386899993</v>
      </c>
      <c r="C7" s="44">
        <f>'Query 10x'!$E$17</f>
        <v>5.3762777140303513</v>
      </c>
      <c r="D7" s="62">
        <f>'Query 10x'!$W$30</f>
        <v>27.828198090824664</v>
      </c>
      <c r="E7" s="44">
        <f>'Query 10x'!$E$30</f>
        <v>63.700057330667896</v>
      </c>
      <c r="F7" s="43">
        <f>'Query 10x'!$N$30</f>
        <v>2.0428435623393768</v>
      </c>
      <c r="G7" s="62">
        <f>'Query 10x'!$AF$49</f>
        <v>1125.2166961564537</v>
      </c>
      <c r="H7" s="44">
        <f>'Query 10x'!$E$49</f>
        <v>3249.2021380132906</v>
      </c>
      <c r="I7" s="44">
        <f>'Query 10x'!$N$49</f>
        <v>2304.2816293186729</v>
      </c>
      <c r="J7" s="43">
        <f>'Query 10x'!$W$49</f>
        <v>240.55843553145993</v>
      </c>
      <c r="L7">
        <v>1000000</v>
      </c>
    </row>
    <row r="9" spans="1:12">
      <c r="B9">
        <f>CORREL(B4:B7,$L$4:$L$7)</f>
        <v>0.3504641833238939</v>
      </c>
      <c r="C9">
        <f t="shared" ref="C9:J9" si="0">CORREL(C4:C7,$L$4:$L$7)</f>
        <v>-0.56544442915366555</v>
      </c>
      <c r="D9">
        <f t="shared" si="0"/>
        <v>0.22398668836589236</v>
      </c>
      <c r="E9">
        <f t="shared" si="0"/>
        <v>0.4098967808165152</v>
      </c>
      <c r="F9">
        <f t="shared" si="0"/>
        <v>0.93024903522374847</v>
      </c>
      <c r="G9">
        <f t="shared" si="0"/>
        <v>0.98977367865030275</v>
      </c>
      <c r="H9">
        <f t="shared" si="0"/>
        <v>0.98745783575417823</v>
      </c>
      <c r="I9">
        <f t="shared" si="0"/>
        <v>0.99978388465478851</v>
      </c>
      <c r="J9">
        <f t="shared" si="0"/>
        <v>0.97930706291469871</v>
      </c>
    </row>
    <row r="11" spans="1:12">
      <c r="B11">
        <v>6124</v>
      </c>
    </row>
  </sheetData>
  <mergeCells count="5">
    <mergeCell ref="A2:A3"/>
    <mergeCell ref="B2:C2"/>
    <mergeCell ref="B1:J1"/>
    <mergeCell ref="D2:F2"/>
    <mergeCell ref="G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4BE4-2E20-4E31-9735-DE89176CACC8}">
  <dimension ref="A1:P42"/>
  <sheetViews>
    <sheetView zoomScaleNormal="100" workbookViewId="0">
      <selection activeCell="G12" sqref="G12"/>
    </sheetView>
  </sheetViews>
  <sheetFormatPr defaultRowHeight="14"/>
  <cols>
    <col min="1" max="1" width="5.75" bestFit="1" customWidth="1"/>
    <col min="2" max="2" width="16.75" bestFit="1" customWidth="1"/>
    <col min="3" max="4" width="16.75" customWidth="1"/>
    <col min="5" max="5" width="16.75" bestFit="1" customWidth="1"/>
    <col min="6" max="6" width="14" bestFit="1" customWidth="1"/>
    <col min="8" max="8" width="10.33203125" customWidth="1"/>
    <col min="10" max="10" width="6.75" bestFit="1" customWidth="1"/>
    <col min="11" max="12" width="16.75" bestFit="1" customWidth="1"/>
    <col min="13" max="13" width="14" bestFit="1" customWidth="1"/>
    <col min="16" max="16" width="10.33203125" customWidth="1"/>
  </cols>
  <sheetData>
    <row r="1" spans="1:16">
      <c r="A1" s="75" t="s">
        <v>46</v>
      </c>
      <c r="B1" s="75"/>
      <c r="C1" s="75"/>
      <c r="D1" s="75"/>
      <c r="E1" s="75"/>
      <c r="F1" s="75"/>
      <c r="J1" s="75" t="s">
        <v>47</v>
      </c>
      <c r="K1" s="75"/>
      <c r="L1" s="75"/>
      <c r="M1" s="75"/>
    </row>
    <row r="2" spans="1:16">
      <c r="A2" t="s">
        <v>49</v>
      </c>
      <c r="B2" t="s">
        <v>50</v>
      </c>
      <c r="C2" t="s">
        <v>50</v>
      </c>
      <c r="D2" t="s">
        <v>452</v>
      </c>
      <c r="E2" t="s">
        <v>441</v>
      </c>
      <c r="J2" t="s">
        <v>49</v>
      </c>
      <c r="K2" t="s">
        <v>50</v>
      </c>
      <c r="L2" t="s">
        <v>50</v>
      </c>
      <c r="M2" t="s">
        <v>453</v>
      </c>
      <c r="N2" t="s">
        <v>48</v>
      </c>
    </row>
    <row r="3" spans="1:16">
      <c r="A3">
        <v>1</v>
      </c>
      <c r="B3" s="6">
        <f>('Query 1x'!$E$30-'Query 1x'!$N$30)*B$8/1000</f>
        <v>622.13331548120163</v>
      </c>
      <c r="C3" s="6">
        <f>('Query 1x'!$E$30-'Query 1x'!$N$30)*C$8/1000</f>
        <v>92643.489554925982</v>
      </c>
      <c r="D3" s="32">
        <f>C3/60/60/24</f>
        <v>1.0722626105894211</v>
      </c>
      <c r="E3" s="26">
        <f>'Mig 1x'!$K$8</f>
        <v>55.1</v>
      </c>
      <c r="J3">
        <v>1</v>
      </c>
      <c r="K3" s="6">
        <f>('Query 1x'!$N$49-'Query 1x'!$W$49)*K8/1000</f>
        <v>2029.8626701927594</v>
      </c>
      <c r="L3" s="6">
        <f>('Query 1x'!$N$49-'Query 1x'!$W$49)*L8/1000</f>
        <v>735498.41005497414</v>
      </c>
      <c r="M3" s="32">
        <f>L3/60/60/24</f>
        <v>8.5127130793399797</v>
      </c>
      <c r="N3">
        <f>'Mig 1x'!$K$13</f>
        <v>93</v>
      </c>
    </row>
    <row r="4" spans="1:16">
      <c r="A4">
        <v>2</v>
      </c>
      <c r="B4" s="33">
        <f>('Query 2x'!$E$30-'Query 2x'!$M$30)*B$8/1000</f>
        <v>587.21000541899866</v>
      </c>
      <c r="C4" s="33">
        <f>('Query 2x'!$E$30-'Query 2x'!$M$30)*C$8/1000</f>
        <v>87442.968652957177</v>
      </c>
      <c r="D4" s="32">
        <f>C4/60/60/24</f>
        <v>1.0120713964462638</v>
      </c>
      <c r="E4" s="26">
        <f>'Mig 2x'!$K$8</f>
        <v>127.1</v>
      </c>
      <c r="J4">
        <v>2</v>
      </c>
      <c r="K4" s="6">
        <f>('Query 2x'!$M$49-'Query 2x'!$U$49)*K8/1000</f>
        <v>4454.0022486726039</v>
      </c>
      <c r="L4" s="6">
        <f>('Query 2x'!$M$49-'Query 2x'!$U$49)*L8/1000</f>
        <v>1613858.7207817826</v>
      </c>
      <c r="M4" s="32">
        <f t="shared" ref="M4:M6" si="0">L4/60/60/24</f>
        <v>18.678920379418781</v>
      </c>
      <c r="N4" s="26">
        <f>'Mig 2x'!$K$13</f>
        <v>233.3</v>
      </c>
    </row>
    <row r="5" spans="1:16">
      <c r="A5">
        <v>5</v>
      </c>
      <c r="B5" s="33">
        <f>('Query 5x'!$E$30-'Query 5x'!$M$30)*B$8/1000</f>
        <v>607.54660815766022</v>
      </c>
      <c r="C5" s="33">
        <f>('Query 5x'!$E$30-'Query 5x'!$M$30)*C$8/1000</f>
        <v>90471.345041938388</v>
      </c>
      <c r="D5" s="32">
        <f>C5/60/60/24</f>
        <v>1.0471220490965092</v>
      </c>
      <c r="E5" s="26">
        <f>'Mig 5x'!$K$8</f>
        <v>319.2</v>
      </c>
      <c r="J5">
        <v>5</v>
      </c>
      <c r="K5" s="6">
        <f>('Query 5x'!$M$49-'Query 5x'!$U$49)*K8/1000</f>
        <v>10091.108275241428</v>
      </c>
      <c r="L5" s="6">
        <f>('Query 5x'!$M$49-'Query 5x'!$U$49)*L8/1000</f>
        <v>3656402.0813427037</v>
      </c>
      <c r="M5" s="32">
        <f t="shared" ref="M5" si="1">L5/60/60/24</f>
        <v>42.319468534059069</v>
      </c>
      <c r="N5" s="26">
        <f>'Mig 5x'!$K$13</f>
        <v>521.9</v>
      </c>
    </row>
    <row r="6" spans="1:16">
      <c r="A6">
        <v>10</v>
      </c>
      <c r="B6" s="6">
        <f>('Query 10x'!$E$30-'Query 10x'!$N$30)*B$8/1000</f>
        <v>616.57213768328518</v>
      </c>
      <c r="C6" s="6">
        <f>('Query 10x'!$E$30-'Query 10x'!$N$30)*C$8/1000</f>
        <v>91815.360109975984</v>
      </c>
      <c r="D6" s="32">
        <f>C6/60/60/24</f>
        <v>1.0626777790506479</v>
      </c>
      <c r="E6">
        <f>'Mig 10x'!$K$8</f>
        <v>675</v>
      </c>
      <c r="J6">
        <v>10</v>
      </c>
      <c r="K6" s="6">
        <f>('Query 10x'!$N$49-'Query 10x'!$W$49)*K8/1000</f>
        <v>20637.231937872129</v>
      </c>
      <c r="L6" s="6">
        <f>('Query 10x'!$N$49-'Query 10x'!$W$49)*L8/1000</f>
        <v>7477673.9831366492</v>
      </c>
      <c r="M6" s="32">
        <f t="shared" si="0"/>
        <v>86.547152582600106</v>
      </c>
      <c r="N6">
        <f>'Mig 10x'!$K$13</f>
        <v>922</v>
      </c>
    </row>
    <row r="8" spans="1:16">
      <c r="A8" t="s">
        <v>51</v>
      </c>
      <c r="B8">
        <v>10000</v>
      </c>
      <c r="C8">
        <v>1489126</v>
      </c>
      <c r="J8" t="s">
        <v>51</v>
      </c>
      <c r="K8">
        <v>10000</v>
      </c>
      <c r="L8">
        <v>3623390</v>
      </c>
    </row>
    <row r="10" spans="1:16">
      <c r="E10">
        <v>51.5</v>
      </c>
      <c r="F10">
        <f>1/E10</f>
        <v>1.9417475728155338E-2</v>
      </c>
    </row>
    <row r="11" spans="1:16">
      <c r="A11" s="75" t="s">
        <v>442</v>
      </c>
      <c r="B11" s="75"/>
      <c r="C11">
        <f>30*24*60*60</f>
        <v>2592000</v>
      </c>
      <c r="E11">
        <v>1.74</v>
      </c>
      <c r="F11">
        <f>1/E11</f>
        <v>0.57471264367816088</v>
      </c>
      <c r="J11" s="75" t="s">
        <v>442</v>
      </c>
      <c r="K11" s="75"/>
      <c r="L11">
        <f>30*24*60*60</f>
        <v>2592000</v>
      </c>
    </row>
    <row r="12" spans="1:16">
      <c r="A12" s="75" t="s">
        <v>443</v>
      </c>
      <c r="B12" s="75"/>
      <c r="C12" s="6">
        <f>C11/C8</f>
        <v>1.7406183224253691</v>
      </c>
      <c r="D12" s="6"/>
      <c r="E12">
        <v>0.72</v>
      </c>
      <c r="F12">
        <f>1/E12</f>
        <v>1.3888888888888888</v>
      </c>
      <c r="J12" s="75" t="s">
        <v>443</v>
      </c>
      <c r="K12" s="75"/>
      <c r="L12" s="6">
        <f>L11/L8</f>
        <v>0.71535219780371417</v>
      </c>
    </row>
    <row r="13" spans="1:16">
      <c r="A13" s="30"/>
      <c r="B13" s="30"/>
      <c r="C13" s="30"/>
      <c r="D13" s="30"/>
      <c r="J13" s="30"/>
      <c r="K13" s="30"/>
    </row>
    <row r="14" spans="1:16">
      <c r="A14" s="75" t="s">
        <v>46</v>
      </c>
      <c r="B14" s="75"/>
      <c r="C14" s="75"/>
      <c r="D14" s="75"/>
      <c r="E14" s="75"/>
      <c r="F14" s="75"/>
      <c r="J14" s="75" t="s">
        <v>46</v>
      </c>
      <c r="K14" s="75"/>
      <c r="L14" s="75"/>
      <c r="M14" s="75"/>
    </row>
    <row r="15" spans="1:16">
      <c r="A15" t="s">
        <v>52</v>
      </c>
      <c r="B15" t="s">
        <v>448</v>
      </c>
      <c r="C15" t="s">
        <v>454</v>
      </c>
      <c r="D15" t="s">
        <v>455</v>
      </c>
      <c r="E15" t="s">
        <v>449</v>
      </c>
      <c r="F15" t="s">
        <v>450</v>
      </c>
      <c r="G15" t="s">
        <v>451</v>
      </c>
      <c r="J15" t="s">
        <v>52</v>
      </c>
      <c r="K15" t="s">
        <v>448</v>
      </c>
      <c r="L15" t="s">
        <v>454</v>
      </c>
      <c r="M15" t="s">
        <v>455</v>
      </c>
      <c r="N15" t="s">
        <v>449</v>
      </c>
      <c r="O15" t="s">
        <v>450</v>
      </c>
      <c r="P15" t="s">
        <v>451</v>
      </c>
    </row>
    <row r="16" spans="1:16">
      <c r="A16">
        <v>1</v>
      </c>
      <c r="B16" s="48">
        <f>('Query 1x'!$E$30-'Query 1x'!$N$30)/1000</f>
        <v>6.2213331548120157E-2</v>
      </c>
      <c r="C16" s="6">
        <f>B16*C$8/60/60/24</f>
        <v>1.0722626105894211</v>
      </c>
      <c r="D16" s="32">
        <f>'Mig 1x'!$K$8</f>
        <v>55.1</v>
      </c>
      <c r="E16" s="26">
        <f>ROUNDUP(E3/B16,0)</f>
        <v>886</v>
      </c>
      <c r="F16" s="32">
        <f>E16*C$12/60</f>
        <v>25.703130561147947</v>
      </c>
      <c r="G16" s="49">
        <f>E16/C$8</f>
        <v>5.9497987410064694E-4</v>
      </c>
      <c r="I16" s="32"/>
      <c r="J16">
        <v>1</v>
      </c>
      <c r="K16" s="48">
        <f>('Query 1x'!$N$49-'Query 1x'!$W$49)/1000</f>
        <v>0.20298626701927594</v>
      </c>
      <c r="L16" s="6">
        <f>K16*L$8/60/60/24</f>
        <v>8.5127130793399797</v>
      </c>
      <c r="M16" s="32">
        <f>'Mig 1x'!$K$13</f>
        <v>93</v>
      </c>
      <c r="N16" s="26">
        <f>ROUNDUP(N3/K16,0)</f>
        <v>459</v>
      </c>
      <c r="O16" s="32">
        <f>N16*L$12/60</f>
        <v>5.4724443131984133</v>
      </c>
      <c r="P16" s="49">
        <f>N16/L$8</f>
        <v>1.2667695169440773E-4</v>
      </c>
    </row>
    <row r="17" spans="1:16">
      <c r="A17">
        <v>2</v>
      </c>
      <c r="B17" s="48">
        <f>('Query 2x'!$E$30-'Query 2x'!$M$30)/1000</f>
        <v>5.8721000541899861E-2</v>
      </c>
      <c r="C17" s="6">
        <f>B17*C$8/60/60/24</f>
        <v>1.0120713964462638</v>
      </c>
      <c r="D17" s="32">
        <f>'Mig 2x'!$K$8</f>
        <v>127.1</v>
      </c>
      <c r="E17" s="26">
        <f>ROUNDUP(E4/B17,0)</f>
        <v>2165</v>
      </c>
      <c r="F17" s="32">
        <f>E17*C$12/60</f>
        <v>62.807311134182072</v>
      </c>
      <c r="G17" s="49">
        <f>E17/C$8</f>
        <v>1.4538729429208811E-3</v>
      </c>
      <c r="I17" s="32"/>
      <c r="J17">
        <v>2</v>
      </c>
      <c r="K17" s="48">
        <f>('Query 2x'!$M$49-'Query 2x'!$U$49)/1000</f>
        <v>0.44540022486726039</v>
      </c>
      <c r="L17" s="6">
        <f t="shared" ref="L17" si="2">K17*L$8/60/60/24</f>
        <v>18.678920379418781</v>
      </c>
      <c r="M17" s="32">
        <f>'Mig 2x'!$K$13</f>
        <v>233.3</v>
      </c>
      <c r="N17" s="26">
        <f>ROUNDUP(N4/K17,0)</f>
        <v>524</v>
      </c>
      <c r="O17" s="32">
        <f>N17*L$12/60</f>
        <v>6.2474091941524375</v>
      </c>
      <c r="P17" s="49">
        <f>N17/L$8</f>
        <v>1.4461595356834347E-4</v>
      </c>
    </row>
    <row r="18" spans="1:16">
      <c r="A18">
        <v>5</v>
      </c>
      <c r="B18" s="48">
        <f>('Query 5x'!$E$30-'Query 5x'!$M$30)/1000</f>
        <v>6.0754660815766026E-2</v>
      </c>
      <c r="C18" s="6">
        <f>B18*C$8/60/60/24</f>
        <v>1.0471220490965094</v>
      </c>
      <c r="D18" s="32">
        <f>'Mig 5x'!$K$8</f>
        <v>319.2</v>
      </c>
      <c r="E18" s="26">
        <f>ROUNDUP(E5/B18,0)</f>
        <v>5254</v>
      </c>
      <c r="F18" s="32">
        <f>E18*C$12/60</f>
        <v>152.42014443371482</v>
      </c>
      <c r="G18" s="49">
        <f>E18/C$8</f>
        <v>3.5282440841137687E-3</v>
      </c>
      <c r="I18" s="32"/>
      <c r="J18">
        <v>5</v>
      </c>
      <c r="K18" s="48">
        <f>('Query 5x'!$M$49-'Query 5x'!$U$49)/1000</f>
        <v>1.0091108275241427</v>
      </c>
      <c r="L18" s="6">
        <f>K18*L$8/60/60/24</f>
        <v>42.319468534059069</v>
      </c>
      <c r="M18" s="32">
        <f>'Mig 5x'!$K$13</f>
        <v>521.9</v>
      </c>
      <c r="N18" s="26">
        <f>ROUNDUP(N5/K18,0)</f>
        <v>518</v>
      </c>
      <c r="O18" s="32">
        <f>N18*L$12/60</f>
        <v>6.1758739743720659</v>
      </c>
      <c r="P18" s="49">
        <f>N18/L$8</f>
        <v>1.4296004570305709E-4</v>
      </c>
    </row>
    <row r="19" spans="1:16">
      <c r="A19">
        <v>10</v>
      </c>
      <c r="B19" s="48">
        <f>('Query 10x'!$E$30-'Query 10x'!$N$30)/1000</f>
        <v>6.1657213768328514E-2</v>
      </c>
      <c r="C19" s="6">
        <f>B19*C$8/60/60/24</f>
        <v>1.0626777790506476</v>
      </c>
      <c r="D19" s="32">
        <f>'Mig 10x'!$K$8</f>
        <v>675</v>
      </c>
      <c r="E19" s="26">
        <f>ROUNDUP(E6/B19,0)</f>
        <v>10948</v>
      </c>
      <c r="F19" s="32">
        <f>E19*C$12/60</f>
        <v>317.60482323188234</v>
      </c>
      <c r="G19" s="49">
        <f>E19/C$8</f>
        <v>7.3519635007380166E-3</v>
      </c>
      <c r="I19" s="32"/>
      <c r="J19">
        <v>10</v>
      </c>
      <c r="K19" s="48">
        <f>('Query 10x'!$N$49-'Query 10x'!$W$49)/1000</f>
        <v>2.0637231937872129</v>
      </c>
      <c r="L19" s="6">
        <f>K19*L$8/60/60/24</f>
        <v>86.547152582600106</v>
      </c>
      <c r="M19" s="32">
        <f>'Mig 10x'!$K$13</f>
        <v>922</v>
      </c>
      <c r="N19" s="26">
        <f>ROUNDUP(N6/K19,0)</f>
        <v>447</v>
      </c>
      <c r="O19" s="32">
        <f>N19*L$12/60</f>
        <v>5.3293738736376701</v>
      </c>
      <c r="P19" s="49">
        <f>N19/L$8</f>
        <v>1.2336513596383498E-4</v>
      </c>
    </row>
    <row r="20" spans="1:16">
      <c r="J20">
        <v>12310</v>
      </c>
      <c r="K20">
        <f>K16*J20</f>
        <v>2498.7609470072866</v>
      </c>
      <c r="L20" s="6">
        <f>K20*L$8/60/60/24</f>
        <v>104791.49800667512</v>
      </c>
      <c r="M20" s="32">
        <f>M16*J20</f>
        <v>1144830</v>
      </c>
      <c r="N20" s="26">
        <f>ROUNDUP(M20/K20,0)</f>
        <v>459</v>
      </c>
      <c r="O20" s="32">
        <f>N20*L$12/60</f>
        <v>5.4724443131984133</v>
      </c>
      <c r="P20" s="49">
        <f>N20/L$8</f>
        <v>1.2667695169440773E-4</v>
      </c>
    </row>
    <row r="24" spans="1:16">
      <c r="A24" t="s">
        <v>49</v>
      </c>
      <c r="B24" s="50">
        <v>1000</v>
      </c>
      <c r="C24" s="50">
        <v>10000</v>
      </c>
      <c r="D24" s="50">
        <v>100000</v>
      </c>
      <c r="E24" s="50">
        <v>1000000</v>
      </c>
      <c r="F24" s="50">
        <v>10000000</v>
      </c>
      <c r="G24" t="s">
        <v>456</v>
      </c>
      <c r="J24" t="s">
        <v>49</v>
      </c>
      <c r="K24" s="50">
        <v>1000</v>
      </c>
      <c r="L24" s="50">
        <v>10000</v>
      </c>
      <c r="M24" s="50">
        <v>100000</v>
      </c>
      <c r="N24" s="50">
        <v>1000000</v>
      </c>
      <c r="O24" s="50">
        <v>10000000</v>
      </c>
      <c r="P24" t="s">
        <v>456</v>
      </c>
    </row>
    <row r="25" spans="1:16">
      <c r="A25">
        <v>1</v>
      </c>
      <c r="B25" s="26">
        <f>ROUNDUP($B16*B$24,0)</f>
        <v>63</v>
      </c>
      <c r="C25" s="26">
        <f>ROUNDUP($B16*C$24,0)</f>
        <v>623</v>
      </c>
      <c r="D25" s="26">
        <f>ROUNDUP($B16*D$24,0)</f>
        <v>6222</v>
      </c>
      <c r="E25" s="26">
        <f>ROUNDUP($B16*E$24,0)</f>
        <v>62214</v>
      </c>
      <c r="F25" s="26">
        <f>ROUNDUP($B16*F$24,0)</f>
        <v>622134</v>
      </c>
      <c r="G25" s="26">
        <f>E16</f>
        <v>886</v>
      </c>
      <c r="J25">
        <v>1</v>
      </c>
      <c r="K25" s="26">
        <f>ROUNDUP($K16*K$24,0)</f>
        <v>203</v>
      </c>
      <c r="L25" s="26">
        <f t="shared" ref="L25:O25" si="3">ROUNDUP($K16*L$24,0)</f>
        <v>2030</v>
      </c>
      <c r="M25" s="26">
        <f t="shared" si="3"/>
        <v>20299</v>
      </c>
      <c r="N25" s="26">
        <f t="shared" si="3"/>
        <v>202987</v>
      </c>
      <c r="O25" s="26">
        <f t="shared" si="3"/>
        <v>2029863</v>
      </c>
      <c r="P25" s="26">
        <f>N16</f>
        <v>459</v>
      </c>
    </row>
    <row r="26" spans="1:16">
      <c r="A26">
        <v>2</v>
      </c>
      <c r="B26" s="26">
        <f t="shared" ref="B26:B28" si="4">ROUNDUP($B17*B$24,0)</f>
        <v>59</v>
      </c>
      <c r="C26" s="26">
        <f t="shared" ref="C26:F28" si="5">ROUNDUP($B17*C$24,0)</f>
        <v>588</v>
      </c>
      <c r="D26" s="26">
        <f t="shared" si="5"/>
        <v>5873</v>
      </c>
      <c r="E26" s="26">
        <f t="shared" si="5"/>
        <v>58722</v>
      </c>
      <c r="F26" s="26">
        <f t="shared" si="5"/>
        <v>587211</v>
      </c>
      <c r="G26" s="26">
        <f t="shared" ref="G26:G28" si="6">E17</f>
        <v>2165</v>
      </c>
      <c r="J26">
        <v>2</v>
      </c>
      <c r="K26" s="26">
        <f>ROUNDUP($K17*K$24,0)</f>
        <v>446</v>
      </c>
      <c r="L26" s="26">
        <f t="shared" ref="K26:O28" si="7">ROUNDUP($K17*L$24,0)</f>
        <v>4455</v>
      </c>
      <c r="M26" s="26">
        <f t="shared" si="7"/>
        <v>44541</v>
      </c>
      <c r="N26" s="26">
        <f t="shared" si="7"/>
        <v>445401</v>
      </c>
      <c r="O26" s="26">
        <f t="shared" si="7"/>
        <v>4454003</v>
      </c>
      <c r="P26" s="26">
        <f t="shared" ref="P26:P27" si="8">N17</f>
        <v>524</v>
      </c>
    </row>
    <row r="27" spans="1:16">
      <c r="A27">
        <v>5</v>
      </c>
      <c r="B27" s="26">
        <f>ROUNDUP($B18*B$24,0)</f>
        <v>61</v>
      </c>
      <c r="C27" s="26">
        <f t="shared" si="5"/>
        <v>608</v>
      </c>
      <c r="D27" s="26">
        <f t="shared" si="5"/>
        <v>6076</v>
      </c>
      <c r="E27" s="26">
        <f t="shared" si="5"/>
        <v>60755</v>
      </c>
      <c r="F27" s="26">
        <f>ROUNDUP($B18*F$24,0)</f>
        <v>607547</v>
      </c>
      <c r="G27" s="26">
        <f t="shared" si="6"/>
        <v>5254</v>
      </c>
      <c r="J27">
        <v>5</v>
      </c>
      <c r="K27" s="26">
        <f>ROUNDUP($K18*K$24,0)</f>
        <v>1010</v>
      </c>
      <c r="L27" s="26">
        <f t="shared" si="7"/>
        <v>10092</v>
      </c>
      <c r="M27" s="26">
        <f t="shared" si="7"/>
        <v>100912</v>
      </c>
      <c r="N27" s="26">
        <f t="shared" si="7"/>
        <v>1009111</v>
      </c>
      <c r="O27" s="26">
        <f t="shared" si="7"/>
        <v>10091109</v>
      </c>
      <c r="P27" s="26">
        <f t="shared" si="8"/>
        <v>518</v>
      </c>
    </row>
    <row r="28" spans="1:16">
      <c r="A28">
        <v>10</v>
      </c>
      <c r="B28" s="26">
        <f t="shared" si="4"/>
        <v>62</v>
      </c>
      <c r="C28" s="26">
        <f t="shared" si="5"/>
        <v>617</v>
      </c>
      <c r="D28" s="26">
        <f t="shared" si="5"/>
        <v>6166</v>
      </c>
      <c r="E28" s="26">
        <f t="shared" si="5"/>
        <v>61658</v>
      </c>
      <c r="F28" s="26">
        <f>ROUNDUP($B19*F$24,0)</f>
        <v>616573</v>
      </c>
      <c r="G28" s="26">
        <f t="shared" si="6"/>
        <v>10948</v>
      </c>
      <c r="J28">
        <v>10</v>
      </c>
      <c r="K28" s="26">
        <f t="shared" si="7"/>
        <v>2064</v>
      </c>
      <c r="L28" s="26">
        <f t="shared" si="7"/>
        <v>20638</v>
      </c>
      <c r="M28" s="26">
        <f t="shared" si="7"/>
        <v>206373</v>
      </c>
      <c r="N28" s="26">
        <f t="shared" si="7"/>
        <v>2063724</v>
      </c>
      <c r="O28" s="26">
        <f t="shared" si="7"/>
        <v>20637232</v>
      </c>
      <c r="P28" s="26">
        <f>N19</f>
        <v>447</v>
      </c>
    </row>
    <row r="29" spans="1:16">
      <c r="J29">
        <v>12310</v>
      </c>
      <c r="K29" s="51">
        <f>K25*$J29</f>
        <v>2498930</v>
      </c>
      <c r="L29" s="51">
        <f t="shared" ref="L29:O29" si="9">L25*$J29</f>
        <v>24989300</v>
      </c>
      <c r="M29" s="51">
        <f t="shared" si="9"/>
        <v>249880690</v>
      </c>
      <c r="N29" s="51">
        <f t="shared" si="9"/>
        <v>2498769970</v>
      </c>
      <c r="O29" s="51">
        <f t="shared" si="9"/>
        <v>24987613530</v>
      </c>
    </row>
    <row r="31" spans="1:16">
      <c r="A31" t="s">
        <v>49</v>
      </c>
      <c r="J31" t="s">
        <v>49</v>
      </c>
    </row>
    <row r="32" spans="1:16">
      <c r="A32">
        <v>1</v>
      </c>
      <c r="B32" s="61">
        <f>B16*C$8</f>
        <v>92643.489554925982</v>
      </c>
      <c r="C32" t="s">
        <v>484</v>
      </c>
      <c r="J32">
        <v>1</v>
      </c>
      <c r="K32" s="61">
        <f>K16*L$8</f>
        <v>735498.41005497426</v>
      </c>
    </row>
    <row r="33" spans="1:16">
      <c r="A33">
        <v>2</v>
      </c>
      <c r="B33" s="61">
        <f t="shared" ref="B33:B35" si="10">B17*C$8</f>
        <v>87442.968652957177</v>
      </c>
      <c r="J33">
        <v>2</v>
      </c>
      <c r="K33" s="61">
        <f t="shared" ref="K33:K34" si="11">K17*L$8</f>
        <v>1613858.7207817826</v>
      </c>
    </row>
    <row r="34" spans="1:16">
      <c r="A34">
        <v>5</v>
      </c>
      <c r="B34" s="61">
        <f t="shared" si="10"/>
        <v>90471.345041938403</v>
      </c>
      <c r="J34">
        <v>5</v>
      </c>
      <c r="K34" s="61">
        <f t="shared" si="11"/>
        <v>3656402.0813427037</v>
      </c>
    </row>
    <row r="35" spans="1:16">
      <c r="A35">
        <v>10</v>
      </c>
      <c r="B35" s="61">
        <f t="shared" si="10"/>
        <v>91815.360109975969</v>
      </c>
      <c r="J35">
        <v>10</v>
      </c>
      <c r="K35" s="61">
        <f>K19*L$8</f>
        <v>7477673.9831366492</v>
      </c>
    </row>
    <row r="36" spans="1:16">
      <c r="J36">
        <v>12310</v>
      </c>
      <c r="K36" s="61">
        <f>K20*L$8</f>
        <v>9053985427.7767315</v>
      </c>
    </row>
    <row r="38" spans="1:16">
      <c r="A38" t="s">
        <v>49</v>
      </c>
      <c r="B38">
        <v>1</v>
      </c>
      <c r="C38">
        <v>10</v>
      </c>
      <c r="D38">
        <v>100</v>
      </c>
      <c r="E38">
        <v>1000</v>
      </c>
      <c r="F38">
        <v>10000</v>
      </c>
      <c r="G38">
        <v>100000</v>
      </c>
      <c r="J38" t="s">
        <v>49</v>
      </c>
      <c r="K38">
        <v>1</v>
      </c>
      <c r="L38">
        <v>10</v>
      </c>
      <c r="M38">
        <v>100</v>
      </c>
      <c r="N38">
        <v>1000</v>
      </c>
      <c r="O38">
        <v>10000</v>
      </c>
      <c r="P38">
        <v>100000</v>
      </c>
    </row>
    <row r="39" spans="1:16">
      <c r="A39">
        <v>1</v>
      </c>
      <c r="B39" s="48">
        <f t="shared" ref="B39:G42" si="12">B$38/$C$12*$B16</f>
        <v>3.5742087019647366E-2</v>
      </c>
      <c r="C39" s="48">
        <f t="shared" si="12"/>
        <v>0.35742087019647367</v>
      </c>
      <c r="D39" s="48">
        <f t="shared" si="12"/>
        <v>3.5742087019647366</v>
      </c>
      <c r="E39" s="48">
        <f t="shared" si="12"/>
        <v>35.742087019647364</v>
      </c>
      <c r="F39" s="48">
        <f t="shared" si="12"/>
        <v>357.42087019647363</v>
      </c>
      <c r="G39" s="48">
        <f t="shared" si="12"/>
        <v>3574.2087019647365</v>
      </c>
      <c r="J39">
        <v>1</v>
      </c>
      <c r="K39" s="48">
        <f t="shared" ref="K39:P42" si="13">K$38/$L$12*$K16</f>
        <v>0.28375710264466603</v>
      </c>
      <c r="L39" s="48">
        <f t="shared" si="13"/>
        <v>2.83757102644666</v>
      </c>
      <c r="M39" s="48">
        <f t="shared" si="13"/>
        <v>28.375710264466601</v>
      </c>
      <c r="N39" s="48">
        <f t="shared" si="13"/>
        <v>283.75710264466596</v>
      </c>
      <c r="O39" s="48">
        <f t="shared" si="13"/>
        <v>2837.5710264466602</v>
      </c>
      <c r="P39" s="48">
        <f t="shared" si="13"/>
        <v>28375.710264466597</v>
      </c>
    </row>
    <row r="40" spans="1:16">
      <c r="A40">
        <v>2</v>
      </c>
      <c r="B40" s="48">
        <f t="shared" si="12"/>
        <v>3.3735713214875451E-2</v>
      </c>
      <c r="C40" s="48">
        <f t="shared" si="12"/>
        <v>0.33735713214875451</v>
      </c>
      <c r="D40" s="48">
        <f t="shared" si="12"/>
        <v>3.3735713214875451</v>
      </c>
      <c r="E40" s="48">
        <f t="shared" si="12"/>
        <v>33.735713214875446</v>
      </c>
      <c r="F40" s="48">
        <f t="shared" si="12"/>
        <v>337.35713214875449</v>
      </c>
      <c r="G40" s="48">
        <f t="shared" si="12"/>
        <v>3373.571321487545</v>
      </c>
      <c r="J40">
        <v>2</v>
      </c>
      <c r="K40" s="48">
        <f t="shared" si="13"/>
        <v>0.62263067931395943</v>
      </c>
      <c r="L40" s="48">
        <f t="shared" si="13"/>
        <v>6.2263067931395941</v>
      </c>
      <c r="M40" s="48">
        <f t="shared" si="13"/>
        <v>62.263067931395938</v>
      </c>
      <c r="N40" s="48">
        <f t="shared" si="13"/>
        <v>622.63067931395938</v>
      </c>
      <c r="O40" s="48">
        <f t="shared" si="13"/>
        <v>6226.3067931395935</v>
      </c>
      <c r="P40" s="48">
        <f t="shared" si="13"/>
        <v>62263.067931395934</v>
      </c>
    </row>
    <row r="41" spans="1:16">
      <c r="A41">
        <v>5</v>
      </c>
      <c r="B41" s="48">
        <f t="shared" si="12"/>
        <v>3.4904068303216976E-2</v>
      </c>
      <c r="C41" s="48">
        <f t="shared" si="12"/>
        <v>0.34904068303216973</v>
      </c>
      <c r="D41" s="48">
        <f t="shared" si="12"/>
        <v>3.4904068303216973</v>
      </c>
      <c r="E41" s="48">
        <f t="shared" si="12"/>
        <v>34.904068303216967</v>
      </c>
      <c r="F41" s="48">
        <f t="shared" si="12"/>
        <v>349.04068303216974</v>
      </c>
      <c r="G41" s="48">
        <f t="shared" si="12"/>
        <v>3490.4068303216973</v>
      </c>
      <c r="J41">
        <v>5</v>
      </c>
      <c r="K41" s="48">
        <f t="shared" si="13"/>
        <v>1.4106489511353024</v>
      </c>
      <c r="L41" s="48">
        <f t="shared" si="13"/>
        <v>14.106489511353024</v>
      </c>
      <c r="M41" s="48">
        <f t="shared" si="13"/>
        <v>141.06489511353024</v>
      </c>
      <c r="N41" s="48">
        <f t="shared" si="13"/>
        <v>1410.6489511353022</v>
      </c>
      <c r="O41" s="48">
        <f t="shared" si="13"/>
        <v>14106.489511353024</v>
      </c>
      <c r="P41" s="48">
        <f t="shared" si="13"/>
        <v>141064.89511353022</v>
      </c>
    </row>
    <row r="42" spans="1:16">
      <c r="A42">
        <v>10</v>
      </c>
      <c r="B42" s="48">
        <f t="shared" si="12"/>
        <v>3.5422592635021587E-2</v>
      </c>
      <c r="C42" s="48">
        <f t="shared" si="12"/>
        <v>0.35422592635021594</v>
      </c>
      <c r="D42" s="48">
        <f t="shared" si="12"/>
        <v>3.5422592635021592</v>
      </c>
      <c r="E42" s="48">
        <f t="shared" si="12"/>
        <v>35.422592635021587</v>
      </c>
      <c r="F42" s="48">
        <f t="shared" si="12"/>
        <v>354.2259263502159</v>
      </c>
      <c r="G42" s="48">
        <f t="shared" si="12"/>
        <v>3542.2592635021588</v>
      </c>
      <c r="J42">
        <v>10</v>
      </c>
      <c r="K42" s="48">
        <f t="shared" si="13"/>
        <v>2.8849050860866705</v>
      </c>
      <c r="L42" s="48">
        <f t="shared" si="13"/>
        <v>28.849050860866704</v>
      </c>
      <c r="M42" s="48">
        <f t="shared" si="13"/>
        <v>288.49050860866708</v>
      </c>
      <c r="N42" s="48">
        <f t="shared" si="13"/>
        <v>2884.9050860866701</v>
      </c>
      <c r="O42" s="48">
        <f t="shared" si="13"/>
        <v>28849.050860866704</v>
      </c>
      <c r="P42" s="48">
        <f t="shared" si="13"/>
        <v>288490.50860866701</v>
      </c>
    </row>
  </sheetData>
  <mergeCells count="8">
    <mergeCell ref="J12:K12"/>
    <mergeCell ref="J14:M14"/>
    <mergeCell ref="A1:F1"/>
    <mergeCell ref="J1:M1"/>
    <mergeCell ref="A14:F14"/>
    <mergeCell ref="A11:B11"/>
    <mergeCell ref="A12:B12"/>
    <mergeCell ref="J11:K1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8AA2B-7FBB-4F90-9EA1-EB71121F74BF}">
  <dimension ref="A1:D8"/>
  <sheetViews>
    <sheetView workbookViewId="0">
      <selection activeCell="F39" sqref="F39"/>
    </sheetView>
  </sheetViews>
  <sheetFormatPr defaultRowHeight="14"/>
  <cols>
    <col min="1" max="1" width="13.08203125" bestFit="1" customWidth="1"/>
    <col min="2" max="2" width="14.5" bestFit="1" customWidth="1"/>
    <col min="3" max="3" width="17.58203125" bestFit="1" customWidth="1"/>
    <col min="4" max="4" width="16.58203125" bestFit="1" customWidth="1"/>
  </cols>
  <sheetData>
    <row r="1" spans="1:4">
      <c r="A1" t="s">
        <v>444</v>
      </c>
      <c r="B1" t="s">
        <v>445</v>
      </c>
      <c r="C1" t="s">
        <v>446</v>
      </c>
      <c r="D1" t="s">
        <v>447</v>
      </c>
    </row>
    <row r="2" spans="1:4">
      <c r="A2" t="s">
        <v>63</v>
      </c>
      <c r="B2">
        <v>5</v>
      </c>
      <c r="C2" s="12">
        <v>50333</v>
      </c>
      <c r="D2" s="6">
        <f>C$8/C2</f>
        <v>51.497029781654184</v>
      </c>
    </row>
    <row r="3" spans="1:4">
      <c r="A3" t="s">
        <v>64</v>
      </c>
      <c r="B3">
        <v>19</v>
      </c>
      <c r="C3" s="12">
        <v>1489126</v>
      </c>
      <c r="D3" s="6">
        <f t="shared" ref="D3:D4" si="0">C$8/C3</f>
        <v>1.7406183224253691</v>
      </c>
    </row>
    <row r="4" spans="1:4">
      <c r="A4" t="s">
        <v>65</v>
      </c>
      <c r="B4">
        <v>21</v>
      </c>
      <c r="C4" s="12">
        <v>3623390</v>
      </c>
      <c r="D4" s="6">
        <f t="shared" si="0"/>
        <v>0.71535219780371417</v>
      </c>
    </row>
    <row r="8" spans="1:4">
      <c r="A8" s="75" t="s">
        <v>442</v>
      </c>
      <c r="B8" s="75"/>
      <c r="C8">
        <f>30*24*60*60</f>
        <v>2592000</v>
      </c>
    </row>
  </sheetData>
  <mergeCells count="1"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Query 1x</vt:lpstr>
      <vt:lpstr>Mig 1x</vt:lpstr>
      <vt:lpstr>Query 2x</vt:lpstr>
      <vt:lpstr>Mig 2x</vt:lpstr>
      <vt:lpstr>Query 5x</vt:lpstr>
      <vt:lpstr>Mig 5x</vt:lpstr>
      <vt:lpstr>Query 10x</vt:lpstr>
      <vt:lpstr>Mig 10x</vt:lpstr>
      <vt:lpstr>Storage</vt:lpstr>
      <vt:lpstr>Optimization</vt:lpstr>
      <vt:lpstr>Migration</vt:lpstr>
      <vt:lpstr>Workload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Gallinucci</dc:creator>
  <cp:lastModifiedBy>Enrico Gallinucci</cp:lastModifiedBy>
  <dcterms:created xsi:type="dcterms:W3CDTF">2024-11-19T20:35:28Z</dcterms:created>
  <dcterms:modified xsi:type="dcterms:W3CDTF">2025-01-13T11:53:15Z</dcterms:modified>
</cp:coreProperties>
</file>