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Git\nosql-refactoring\results\"/>
    </mc:Choice>
  </mc:AlternateContent>
  <xr:revisionPtr revIDLastSave="0" documentId="13_ncr:1_{B74DA454-CADA-435E-90DE-CFC1D4C44DE2}" xr6:coauthVersionLast="47" xr6:coauthVersionMax="47" xr10:uidLastSave="{00000000-0000-0000-0000-000000000000}"/>
  <bookViews>
    <workbookView xWindow="-28920" yWindow="-120" windowWidth="29040" windowHeight="15720" activeTab="8" xr2:uid="{9DCFC8E8-6974-4295-BC43-7328B70AD737}"/>
  </bookViews>
  <sheets>
    <sheet name="Query 1x" sheetId="1" r:id="rId1"/>
    <sheet name="Mig 1x" sheetId="2" r:id="rId2"/>
    <sheet name="Query 2x" sheetId="4" r:id="rId3"/>
    <sheet name="Mig 2x" sheetId="6" r:id="rId4"/>
    <sheet name="Query 5x" sheetId="13" r:id="rId5"/>
    <sheet name="Mig 5x" sheetId="14" r:id="rId6"/>
    <sheet name="Query 10x" sheetId="7" r:id="rId7"/>
    <sheet name="Mig 10x" sheetId="8" r:id="rId8"/>
    <sheet name="Storage" sheetId="12" r:id="rId9"/>
    <sheet name="Optimization" sheetId="11" r:id="rId10"/>
    <sheet name="Migration" sheetId="9" r:id="rId11"/>
  </sheets>
  <definedNames>
    <definedName name="_xlnm._FilterDatabase" localSheetId="8" hidden="1">Storage!$J$1:$P$265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12" l="1"/>
  <c r="H12" i="12" s="1"/>
  <c r="G5" i="12"/>
  <c r="G12" i="12" s="1"/>
  <c r="F5" i="12"/>
  <c r="F12" i="12" s="1"/>
  <c r="E5" i="12"/>
  <c r="E12" i="12" s="1"/>
  <c r="D5" i="12"/>
  <c r="D12" i="12" s="1"/>
  <c r="C5" i="12"/>
  <c r="C12" i="12" s="1"/>
  <c r="B5" i="12"/>
  <c r="B12" i="12" s="1"/>
  <c r="X50" i="12"/>
  <c r="Y50" i="12"/>
  <c r="Z50" i="12"/>
  <c r="AA50" i="12"/>
  <c r="AB50" i="12"/>
  <c r="AC50" i="12"/>
  <c r="AD50" i="12"/>
  <c r="X51" i="12"/>
  <c r="Y51" i="12"/>
  <c r="Z51" i="12"/>
  <c r="AA51" i="12"/>
  <c r="AB51" i="12"/>
  <c r="AC51" i="12"/>
  <c r="AD51" i="12"/>
  <c r="X52" i="12"/>
  <c r="Y52" i="12"/>
  <c r="Z52" i="12"/>
  <c r="AA52" i="12"/>
  <c r="AB52" i="12"/>
  <c r="AC52" i="12"/>
  <c r="AD52" i="12"/>
  <c r="X53" i="12"/>
  <c r="Y53" i="12"/>
  <c r="Z53" i="12"/>
  <c r="AA53" i="12"/>
  <c r="AB53" i="12"/>
  <c r="AC53" i="12"/>
  <c r="AD53" i="12"/>
  <c r="X54" i="12"/>
  <c r="Y54" i="12"/>
  <c r="Z54" i="12"/>
  <c r="AA54" i="12"/>
  <c r="AB54" i="12"/>
  <c r="AC54" i="12"/>
  <c r="AD54" i="12"/>
  <c r="X55" i="12"/>
  <c r="Y55" i="12"/>
  <c r="Z55" i="12"/>
  <c r="AA55" i="12"/>
  <c r="AB55" i="12"/>
  <c r="AC55" i="12"/>
  <c r="AD55" i="12"/>
  <c r="X56" i="12"/>
  <c r="Y56" i="12"/>
  <c r="Z56" i="12"/>
  <c r="AA56" i="12"/>
  <c r="AB56" i="12"/>
  <c r="AC56" i="12"/>
  <c r="AD56" i="12"/>
  <c r="X57" i="12"/>
  <c r="Y57" i="12"/>
  <c r="Z57" i="12"/>
  <c r="AA57" i="12"/>
  <c r="AB57" i="12"/>
  <c r="AC57" i="12"/>
  <c r="AD57" i="12"/>
  <c r="X58" i="12"/>
  <c r="Y58" i="12"/>
  <c r="Z58" i="12"/>
  <c r="AA58" i="12"/>
  <c r="AB58" i="12"/>
  <c r="AC58" i="12"/>
  <c r="AD58" i="12"/>
  <c r="X59" i="12"/>
  <c r="Y59" i="12"/>
  <c r="Z59" i="12"/>
  <c r="AA59" i="12"/>
  <c r="AB59" i="12"/>
  <c r="AC59" i="12"/>
  <c r="AD59" i="12"/>
  <c r="X60" i="12"/>
  <c r="Y60" i="12"/>
  <c r="Z60" i="12"/>
  <c r="AA60" i="12"/>
  <c r="AB60" i="12"/>
  <c r="AC60" i="12"/>
  <c r="AD60" i="12"/>
  <c r="X61" i="12"/>
  <c r="Y61" i="12"/>
  <c r="Z61" i="12"/>
  <c r="AA61" i="12"/>
  <c r="AB61" i="12"/>
  <c r="AC61" i="12"/>
  <c r="AD61" i="12"/>
  <c r="X62" i="12"/>
  <c r="Y62" i="12"/>
  <c r="Z62" i="12"/>
  <c r="AA62" i="12"/>
  <c r="AB62" i="12"/>
  <c r="AC62" i="12"/>
  <c r="AD62" i="12"/>
  <c r="X63" i="12"/>
  <c r="Y63" i="12"/>
  <c r="Z63" i="12"/>
  <c r="AA63" i="12"/>
  <c r="AB63" i="12"/>
  <c r="AC63" i="12"/>
  <c r="AD63" i="12"/>
  <c r="X64" i="12"/>
  <c r="Y64" i="12"/>
  <c r="Z64" i="12"/>
  <c r="AA64" i="12"/>
  <c r="AB64" i="12"/>
  <c r="AC64" i="12"/>
  <c r="AD64" i="12"/>
  <c r="X65" i="12"/>
  <c r="Y65" i="12"/>
  <c r="Z65" i="12"/>
  <c r="AA65" i="12"/>
  <c r="AB65" i="12"/>
  <c r="AC65" i="12"/>
  <c r="AD65" i="12"/>
  <c r="X66" i="12"/>
  <c r="Y66" i="12"/>
  <c r="Z66" i="12"/>
  <c r="AA66" i="12"/>
  <c r="AB66" i="12"/>
  <c r="AC66" i="12"/>
  <c r="AD66" i="12"/>
  <c r="X67" i="12"/>
  <c r="Y67" i="12"/>
  <c r="Z67" i="12"/>
  <c r="AA67" i="12"/>
  <c r="AB67" i="12"/>
  <c r="AC67" i="12"/>
  <c r="AD67" i="12"/>
  <c r="X68" i="12"/>
  <c r="Y68" i="12"/>
  <c r="Z68" i="12"/>
  <c r="AA68" i="12"/>
  <c r="AB68" i="12"/>
  <c r="AC68" i="12"/>
  <c r="AD68" i="12"/>
  <c r="X69" i="12"/>
  <c r="Y69" i="12"/>
  <c r="Z69" i="12"/>
  <c r="AA69" i="12"/>
  <c r="AB69" i="12"/>
  <c r="AC69" i="12"/>
  <c r="AD69" i="12"/>
  <c r="X70" i="12"/>
  <c r="Y70" i="12"/>
  <c r="Z70" i="12"/>
  <c r="AA70" i="12"/>
  <c r="AB70" i="12"/>
  <c r="AC70" i="12"/>
  <c r="AD70" i="12"/>
  <c r="X71" i="12"/>
  <c r="Y71" i="12"/>
  <c r="Z71" i="12"/>
  <c r="AA71" i="12"/>
  <c r="AB71" i="12"/>
  <c r="AC71" i="12"/>
  <c r="AD71" i="12"/>
  <c r="X72" i="12"/>
  <c r="Y72" i="12"/>
  <c r="Z72" i="12"/>
  <c r="AA72" i="12"/>
  <c r="AB72" i="12"/>
  <c r="AC72" i="12"/>
  <c r="AD72" i="12"/>
  <c r="X73" i="12"/>
  <c r="Y73" i="12"/>
  <c r="Z73" i="12"/>
  <c r="AA73" i="12"/>
  <c r="AB73" i="12"/>
  <c r="AC73" i="12"/>
  <c r="AD73" i="12"/>
  <c r="X74" i="12"/>
  <c r="Y74" i="12"/>
  <c r="Z74" i="12"/>
  <c r="AA74" i="12"/>
  <c r="AB74" i="12"/>
  <c r="AC74" i="12"/>
  <c r="AD74" i="12"/>
  <c r="X75" i="12"/>
  <c r="Y75" i="12"/>
  <c r="Z75" i="12"/>
  <c r="AA75" i="12"/>
  <c r="AB75" i="12"/>
  <c r="AC75" i="12"/>
  <c r="AD75" i="12"/>
  <c r="X76" i="12"/>
  <c r="Y76" i="12"/>
  <c r="Z76" i="12"/>
  <c r="AA76" i="12"/>
  <c r="AB76" i="12"/>
  <c r="AC76" i="12"/>
  <c r="AD76" i="12"/>
  <c r="X77" i="12"/>
  <c r="Y77" i="12"/>
  <c r="Z77" i="12"/>
  <c r="AA77" i="12"/>
  <c r="AB77" i="12"/>
  <c r="AC77" i="12"/>
  <c r="AD77" i="12"/>
  <c r="X78" i="12"/>
  <c r="Y78" i="12"/>
  <c r="Z78" i="12"/>
  <c r="AA78" i="12"/>
  <c r="AB78" i="12"/>
  <c r="AC78" i="12"/>
  <c r="AD78" i="12"/>
  <c r="X79" i="12"/>
  <c r="Y79" i="12"/>
  <c r="Z79" i="12"/>
  <c r="AA79" i="12"/>
  <c r="AB79" i="12"/>
  <c r="AC79" i="12"/>
  <c r="AD79" i="12"/>
  <c r="X80" i="12"/>
  <c r="Y80" i="12"/>
  <c r="Z80" i="12"/>
  <c r="AA80" i="12"/>
  <c r="AB80" i="12"/>
  <c r="AC80" i="12"/>
  <c r="AD80" i="12"/>
  <c r="X81" i="12"/>
  <c r="Y81" i="12"/>
  <c r="Z81" i="12"/>
  <c r="AA81" i="12"/>
  <c r="AB81" i="12"/>
  <c r="AC81" i="12"/>
  <c r="AD81" i="12"/>
  <c r="X82" i="12"/>
  <c r="Y82" i="12"/>
  <c r="Z82" i="12"/>
  <c r="AA82" i="12"/>
  <c r="AB82" i="12"/>
  <c r="AC82" i="12"/>
  <c r="AD82" i="12"/>
  <c r="X83" i="12"/>
  <c r="Y83" i="12"/>
  <c r="Z83" i="12"/>
  <c r="AA83" i="12"/>
  <c r="AB83" i="12"/>
  <c r="AC83" i="12"/>
  <c r="AD83" i="12"/>
  <c r="X84" i="12"/>
  <c r="Y84" i="12"/>
  <c r="Z84" i="12"/>
  <c r="AA84" i="12"/>
  <c r="AB84" i="12"/>
  <c r="AC84" i="12"/>
  <c r="AD84" i="12"/>
  <c r="X85" i="12"/>
  <c r="Y85" i="12"/>
  <c r="Z85" i="12"/>
  <c r="AA85" i="12"/>
  <c r="AB85" i="12"/>
  <c r="AC85" i="12"/>
  <c r="AD85" i="12"/>
  <c r="X86" i="12"/>
  <c r="Y86" i="12"/>
  <c r="Z86" i="12"/>
  <c r="AA86" i="12"/>
  <c r="AB86" i="12"/>
  <c r="AC86" i="12"/>
  <c r="AD86" i="12"/>
  <c r="X87" i="12"/>
  <c r="Y87" i="12"/>
  <c r="Z87" i="12"/>
  <c r="AA87" i="12"/>
  <c r="AB87" i="12"/>
  <c r="AC87" i="12"/>
  <c r="AD87" i="12"/>
  <c r="X88" i="12"/>
  <c r="Y88" i="12"/>
  <c r="Z88" i="12"/>
  <c r="AA88" i="12"/>
  <c r="AB88" i="12"/>
  <c r="AC88" i="12"/>
  <c r="AD88" i="12"/>
  <c r="X89" i="12"/>
  <c r="Y89" i="12"/>
  <c r="Z89" i="12"/>
  <c r="AA89" i="12"/>
  <c r="AB89" i="12"/>
  <c r="AC89" i="12"/>
  <c r="AD89" i="12"/>
  <c r="X90" i="12"/>
  <c r="Y90" i="12"/>
  <c r="Z90" i="12"/>
  <c r="AA90" i="12"/>
  <c r="AB90" i="12"/>
  <c r="AC90" i="12"/>
  <c r="AD90" i="12"/>
  <c r="X91" i="12"/>
  <c r="Y91" i="12"/>
  <c r="Z91" i="12"/>
  <c r="AA91" i="12"/>
  <c r="AB91" i="12"/>
  <c r="AC91" i="12"/>
  <c r="AD91" i="12"/>
  <c r="X92" i="12"/>
  <c r="Y92" i="12"/>
  <c r="Z92" i="12"/>
  <c r="AA92" i="12"/>
  <c r="AB92" i="12"/>
  <c r="AC92" i="12"/>
  <c r="AD92" i="12"/>
  <c r="X93" i="12"/>
  <c r="Y93" i="12"/>
  <c r="Z93" i="12"/>
  <c r="AA93" i="12"/>
  <c r="AB93" i="12"/>
  <c r="AC93" i="12"/>
  <c r="AD93" i="12"/>
  <c r="X94" i="12"/>
  <c r="Y94" i="12"/>
  <c r="Z94" i="12"/>
  <c r="AA94" i="12"/>
  <c r="AB94" i="12"/>
  <c r="AC94" i="12"/>
  <c r="AD94" i="12"/>
  <c r="X95" i="12"/>
  <c r="Y95" i="12"/>
  <c r="Z95" i="12"/>
  <c r="AA95" i="12"/>
  <c r="AB95" i="12"/>
  <c r="AC95" i="12"/>
  <c r="AD95" i="12"/>
  <c r="X96" i="12"/>
  <c r="Y96" i="12"/>
  <c r="Z96" i="12"/>
  <c r="AA96" i="12"/>
  <c r="AB96" i="12"/>
  <c r="AC96" i="12"/>
  <c r="AD96" i="12"/>
  <c r="X97" i="12"/>
  <c r="Y97" i="12"/>
  <c r="Z97" i="12"/>
  <c r="AA97" i="12"/>
  <c r="AB97" i="12"/>
  <c r="AC97" i="12"/>
  <c r="AD97" i="12"/>
  <c r="X98" i="12"/>
  <c r="Y98" i="12"/>
  <c r="Z98" i="12"/>
  <c r="AA98" i="12"/>
  <c r="AB98" i="12"/>
  <c r="AC98" i="12"/>
  <c r="AD98" i="12"/>
  <c r="X99" i="12"/>
  <c r="Y99" i="12"/>
  <c r="Z99" i="12"/>
  <c r="AA99" i="12"/>
  <c r="AB99" i="12"/>
  <c r="AC99" i="12"/>
  <c r="AD99" i="12"/>
  <c r="X100" i="12"/>
  <c r="Y100" i="12"/>
  <c r="Z100" i="12"/>
  <c r="AA100" i="12"/>
  <c r="AB100" i="12"/>
  <c r="AC100" i="12"/>
  <c r="AD100" i="12"/>
  <c r="X101" i="12"/>
  <c r="Y101" i="12"/>
  <c r="Z101" i="12"/>
  <c r="AA101" i="12"/>
  <c r="AB101" i="12"/>
  <c r="AC101" i="12"/>
  <c r="AD101" i="12"/>
  <c r="X102" i="12"/>
  <c r="Y102" i="12"/>
  <c r="Z102" i="12"/>
  <c r="AA102" i="12"/>
  <c r="AB102" i="12"/>
  <c r="AC102" i="12"/>
  <c r="AD102" i="12"/>
  <c r="X103" i="12"/>
  <c r="Y103" i="12"/>
  <c r="Z103" i="12"/>
  <c r="AA103" i="12"/>
  <c r="AB103" i="12"/>
  <c r="AC103" i="12"/>
  <c r="AD103" i="12"/>
  <c r="X104" i="12"/>
  <c r="Y104" i="12"/>
  <c r="Z104" i="12"/>
  <c r="AA104" i="12"/>
  <c r="AB104" i="12"/>
  <c r="AC104" i="12"/>
  <c r="AD104" i="12"/>
  <c r="X105" i="12"/>
  <c r="Y105" i="12"/>
  <c r="Z105" i="12"/>
  <c r="AA105" i="12"/>
  <c r="AB105" i="12"/>
  <c r="AC105" i="12"/>
  <c r="AD105" i="12"/>
  <c r="X106" i="12"/>
  <c r="Y106" i="12"/>
  <c r="Z106" i="12"/>
  <c r="AA106" i="12"/>
  <c r="AB106" i="12"/>
  <c r="AC106" i="12"/>
  <c r="AD106" i="12"/>
  <c r="X107" i="12"/>
  <c r="Y107" i="12"/>
  <c r="Z107" i="12"/>
  <c r="AA107" i="12"/>
  <c r="AB107" i="12"/>
  <c r="AC107" i="12"/>
  <c r="AD107" i="12"/>
  <c r="X108" i="12"/>
  <c r="Y108" i="12"/>
  <c r="Z108" i="12"/>
  <c r="AA108" i="12"/>
  <c r="AB108" i="12"/>
  <c r="AC108" i="12"/>
  <c r="AD108" i="12"/>
  <c r="X109" i="12"/>
  <c r="Y109" i="12"/>
  <c r="Z109" i="12"/>
  <c r="AA109" i="12"/>
  <c r="AB109" i="12"/>
  <c r="AC109" i="12"/>
  <c r="AD109" i="12"/>
  <c r="X110" i="12"/>
  <c r="Y110" i="12"/>
  <c r="Z110" i="12"/>
  <c r="AA110" i="12"/>
  <c r="AB110" i="12"/>
  <c r="AC110" i="12"/>
  <c r="AD110" i="12"/>
  <c r="X111" i="12"/>
  <c r="Y111" i="12"/>
  <c r="Z111" i="12"/>
  <c r="AA111" i="12"/>
  <c r="AB111" i="12"/>
  <c r="AC111" i="12"/>
  <c r="AD111" i="12"/>
  <c r="X112" i="12"/>
  <c r="Y112" i="12"/>
  <c r="Z112" i="12"/>
  <c r="AA112" i="12"/>
  <c r="AB112" i="12"/>
  <c r="AC112" i="12"/>
  <c r="AD112" i="12"/>
  <c r="X113" i="12"/>
  <c r="Y113" i="12"/>
  <c r="Z113" i="12"/>
  <c r="AA113" i="12"/>
  <c r="AB113" i="12"/>
  <c r="AC113" i="12"/>
  <c r="AD113" i="12"/>
  <c r="X114" i="12"/>
  <c r="Y114" i="12"/>
  <c r="Z114" i="12"/>
  <c r="AA114" i="12"/>
  <c r="AB114" i="12"/>
  <c r="AC114" i="12"/>
  <c r="AD114" i="12"/>
  <c r="X115" i="12"/>
  <c r="Y115" i="12"/>
  <c r="Z115" i="12"/>
  <c r="AA115" i="12"/>
  <c r="AB115" i="12"/>
  <c r="AC115" i="12"/>
  <c r="AD115" i="12"/>
  <c r="X116" i="12"/>
  <c r="Y116" i="12"/>
  <c r="Z116" i="12"/>
  <c r="AA116" i="12"/>
  <c r="AB116" i="12"/>
  <c r="AC116" i="12"/>
  <c r="AD116" i="12"/>
  <c r="X117" i="12"/>
  <c r="Y117" i="12"/>
  <c r="Z117" i="12"/>
  <c r="AA117" i="12"/>
  <c r="AB117" i="12"/>
  <c r="AC117" i="12"/>
  <c r="AD117" i="12"/>
  <c r="X118" i="12"/>
  <c r="Y118" i="12"/>
  <c r="Z118" i="12"/>
  <c r="AA118" i="12"/>
  <c r="AB118" i="12"/>
  <c r="AC118" i="12"/>
  <c r="AD118" i="12"/>
  <c r="X119" i="12"/>
  <c r="Y119" i="12"/>
  <c r="Z119" i="12"/>
  <c r="AA119" i="12"/>
  <c r="AB119" i="12"/>
  <c r="AC119" i="12"/>
  <c r="AD119" i="12"/>
  <c r="X120" i="12"/>
  <c r="Y120" i="12"/>
  <c r="Z120" i="12"/>
  <c r="AA120" i="12"/>
  <c r="AB120" i="12"/>
  <c r="AC120" i="12"/>
  <c r="AD120" i="12"/>
  <c r="X121" i="12"/>
  <c r="Y121" i="12"/>
  <c r="Z121" i="12"/>
  <c r="AA121" i="12"/>
  <c r="AB121" i="12"/>
  <c r="AC121" i="12"/>
  <c r="AD121" i="12"/>
  <c r="X122" i="12"/>
  <c r="Y122" i="12"/>
  <c r="Z122" i="12"/>
  <c r="AA122" i="12"/>
  <c r="AB122" i="12"/>
  <c r="AC122" i="12"/>
  <c r="AD122" i="12"/>
  <c r="X123" i="12"/>
  <c r="Y123" i="12"/>
  <c r="Z123" i="12"/>
  <c r="AA123" i="12"/>
  <c r="AB123" i="12"/>
  <c r="AC123" i="12"/>
  <c r="AD123" i="12"/>
  <c r="X124" i="12"/>
  <c r="Y124" i="12"/>
  <c r="Z124" i="12"/>
  <c r="AA124" i="12"/>
  <c r="AB124" i="12"/>
  <c r="AC124" i="12"/>
  <c r="AD124" i="12"/>
  <c r="X125" i="12"/>
  <c r="Y125" i="12"/>
  <c r="Z125" i="12"/>
  <c r="AA125" i="12"/>
  <c r="AB125" i="12"/>
  <c r="AC125" i="12"/>
  <c r="AD125" i="12"/>
  <c r="X126" i="12"/>
  <c r="Y126" i="12"/>
  <c r="Z126" i="12"/>
  <c r="AA126" i="12"/>
  <c r="AB126" i="12"/>
  <c r="AC126" i="12"/>
  <c r="AD126" i="12"/>
  <c r="X127" i="12"/>
  <c r="Y127" i="12"/>
  <c r="Z127" i="12"/>
  <c r="AA127" i="12"/>
  <c r="AB127" i="12"/>
  <c r="AC127" i="12"/>
  <c r="AD127" i="12"/>
  <c r="X128" i="12"/>
  <c r="Y128" i="12"/>
  <c r="Z128" i="12"/>
  <c r="AA128" i="12"/>
  <c r="AB128" i="12"/>
  <c r="AC128" i="12"/>
  <c r="AD128" i="12"/>
  <c r="X129" i="12"/>
  <c r="Y129" i="12"/>
  <c r="Z129" i="12"/>
  <c r="AA129" i="12"/>
  <c r="AB129" i="12"/>
  <c r="AC129" i="12"/>
  <c r="AD129" i="12"/>
  <c r="X130" i="12"/>
  <c r="Y130" i="12"/>
  <c r="Z130" i="12"/>
  <c r="AA130" i="12"/>
  <c r="AB130" i="12"/>
  <c r="AC130" i="12"/>
  <c r="AD130" i="12"/>
  <c r="X131" i="12"/>
  <c r="Y131" i="12"/>
  <c r="Z131" i="12"/>
  <c r="AA131" i="12"/>
  <c r="AB131" i="12"/>
  <c r="AC131" i="12"/>
  <c r="AD131" i="12"/>
  <c r="X132" i="12"/>
  <c r="Y132" i="12"/>
  <c r="Z132" i="12"/>
  <c r="AA132" i="12"/>
  <c r="AB132" i="12"/>
  <c r="AC132" i="12"/>
  <c r="AD132" i="12"/>
  <c r="X133" i="12"/>
  <c r="Y133" i="12"/>
  <c r="Z133" i="12"/>
  <c r="AA133" i="12"/>
  <c r="AB133" i="12"/>
  <c r="AC133" i="12"/>
  <c r="AD133" i="12"/>
  <c r="X134" i="12"/>
  <c r="Y134" i="12"/>
  <c r="Z134" i="12"/>
  <c r="AA134" i="12"/>
  <c r="AB134" i="12"/>
  <c r="AC134" i="12"/>
  <c r="AD134" i="12"/>
  <c r="X135" i="12"/>
  <c r="Y135" i="12"/>
  <c r="Z135" i="12"/>
  <c r="AA135" i="12"/>
  <c r="AB135" i="12"/>
  <c r="AC135" i="12"/>
  <c r="AD135" i="12"/>
  <c r="X136" i="12"/>
  <c r="Y136" i="12"/>
  <c r="Z136" i="12"/>
  <c r="AA136" i="12"/>
  <c r="AB136" i="12"/>
  <c r="AC136" i="12"/>
  <c r="AD136" i="12"/>
  <c r="X137" i="12"/>
  <c r="Y137" i="12"/>
  <c r="Z137" i="12"/>
  <c r="AA137" i="12"/>
  <c r="AB137" i="12"/>
  <c r="AC137" i="12"/>
  <c r="AD137" i="12"/>
  <c r="X138" i="12"/>
  <c r="Y138" i="12"/>
  <c r="Z138" i="12"/>
  <c r="AA138" i="12"/>
  <c r="AB138" i="12"/>
  <c r="AC138" i="12"/>
  <c r="AD138" i="12"/>
  <c r="X139" i="12"/>
  <c r="Y139" i="12"/>
  <c r="Z139" i="12"/>
  <c r="AA139" i="12"/>
  <c r="AB139" i="12"/>
  <c r="AC139" i="12"/>
  <c r="AD139" i="12"/>
  <c r="X140" i="12"/>
  <c r="Y140" i="12"/>
  <c r="Z140" i="12"/>
  <c r="AA140" i="12"/>
  <c r="AB140" i="12"/>
  <c r="AC140" i="12"/>
  <c r="AD140" i="12"/>
  <c r="X141" i="12"/>
  <c r="Y141" i="12"/>
  <c r="Z141" i="12"/>
  <c r="AA141" i="12"/>
  <c r="AB141" i="12"/>
  <c r="AC141" i="12"/>
  <c r="AD141" i="12"/>
  <c r="X142" i="12"/>
  <c r="Y142" i="12"/>
  <c r="Z142" i="12"/>
  <c r="AA142" i="12"/>
  <c r="AB142" i="12"/>
  <c r="AC142" i="12"/>
  <c r="AD142" i="12"/>
  <c r="X143" i="12"/>
  <c r="Y143" i="12"/>
  <c r="Z143" i="12"/>
  <c r="AA143" i="12"/>
  <c r="AB143" i="12"/>
  <c r="AC143" i="12"/>
  <c r="AD143" i="12"/>
  <c r="X144" i="12"/>
  <c r="Y144" i="12"/>
  <c r="Z144" i="12"/>
  <c r="AA144" i="12"/>
  <c r="AB144" i="12"/>
  <c r="AC144" i="12"/>
  <c r="AD144" i="12"/>
  <c r="X145" i="12"/>
  <c r="Y145" i="12"/>
  <c r="Z145" i="12"/>
  <c r="AA145" i="12"/>
  <c r="AB145" i="12"/>
  <c r="AC145" i="12"/>
  <c r="AD145" i="12"/>
  <c r="X146" i="12"/>
  <c r="Y146" i="12"/>
  <c r="Z146" i="12"/>
  <c r="AA146" i="12"/>
  <c r="AB146" i="12"/>
  <c r="AC146" i="12"/>
  <c r="AD146" i="12"/>
  <c r="X147" i="12"/>
  <c r="Y147" i="12"/>
  <c r="Z147" i="12"/>
  <c r="AA147" i="12"/>
  <c r="AB147" i="12"/>
  <c r="AC147" i="12"/>
  <c r="AD147" i="12"/>
  <c r="X148" i="12"/>
  <c r="Y148" i="12"/>
  <c r="Z148" i="12"/>
  <c r="AA148" i="12"/>
  <c r="AB148" i="12"/>
  <c r="AC148" i="12"/>
  <c r="AD148" i="12"/>
  <c r="X149" i="12"/>
  <c r="Y149" i="12"/>
  <c r="Z149" i="12"/>
  <c r="AA149" i="12"/>
  <c r="AB149" i="12"/>
  <c r="AC149" i="12"/>
  <c r="AD149" i="12"/>
  <c r="X150" i="12"/>
  <c r="Y150" i="12"/>
  <c r="Z150" i="12"/>
  <c r="AA150" i="12"/>
  <c r="AB150" i="12"/>
  <c r="AC150" i="12"/>
  <c r="AD150" i="12"/>
  <c r="X151" i="12"/>
  <c r="Y151" i="12"/>
  <c r="Z151" i="12"/>
  <c r="AA151" i="12"/>
  <c r="AB151" i="12"/>
  <c r="AC151" i="12"/>
  <c r="AD151" i="12"/>
  <c r="X152" i="12"/>
  <c r="Y152" i="12"/>
  <c r="Z152" i="12"/>
  <c r="AA152" i="12"/>
  <c r="AB152" i="12"/>
  <c r="AC152" i="12"/>
  <c r="AD152" i="12"/>
  <c r="X153" i="12"/>
  <c r="Y153" i="12"/>
  <c r="Z153" i="12"/>
  <c r="AA153" i="12"/>
  <c r="AB153" i="12"/>
  <c r="AC153" i="12"/>
  <c r="AD153" i="12"/>
  <c r="X154" i="12"/>
  <c r="Y154" i="12"/>
  <c r="Z154" i="12"/>
  <c r="AA154" i="12"/>
  <c r="AB154" i="12"/>
  <c r="AC154" i="12"/>
  <c r="AD154" i="12"/>
  <c r="X155" i="12"/>
  <c r="Y155" i="12"/>
  <c r="Z155" i="12"/>
  <c r="AA155" i="12"/>
  <c r="AB155" i="12"/>
  <c r="AC155" i="12"/>
  <c r="AD155" i="12"/>
  <c r="X156" i="12"/>
  <c r="Y156" i="12"/>
  <c r="Z156" i="12"/>
  <c r="AA156" i="12"/>
  <c r="AB156" i="12"/>
  <c r="AC156" i="12"/>
  <c r="AD156" i="12"/>
  <c r="X157" i="12"/>
  <c r="Y157" i="12"/>
  <c r="Z157" i="12"/>
  <c r="AA157" i="12"/>
  <c r="AB157" i="12"/>
  <c r="AC157" i="12"/>
  <c r="AD157" i="12"/>
  <c r="X158" i="12"/>
  <c r="Y158" i="12"/>
  <c r="Z158" i="12"/>
  <c r="AA158" i="12"/>
  <c r="AB158" i="12"/>
  <c r="AC158" i="12"/>
  <c r="AD158" i="12"/>
  <c r="X159" i="12"/>
  <c r="Y159" i="12"/>
  <c r="Z159" i="12"/>
  <c r="AA159" i="12"/>
  <c r="AB159" i="12"/>
  <c r="AC159" i="12"/>
  <c r="AD159" i="12"/>
  <c r="X160" i="12"/>
  <c r="Y160" i="12"/>
  <c r="Z160" i="12"/>
  <c r="AA160" i="12"/>
  <c r="AB160" i="12"/>
  <c r="AC160" i="12"/>
  <c r="AD160" i="12"/>
  <c r="X161" i="12"/>
  <c r="Y161" i="12"/>
  <c r="Z161" i="12"/>
  <c r="AA161" i="12"/>
  <c r="AB161" i="12"/>
  <c r="AC161" i="12"/>
  <c r="AD161" i="12"/>
  <c r="X162" i="12"/>
  <c r="Y162" i="12"/>
  <c r="Z162" i="12"/>
  <c r="AA162" i="12"/>
  <c r="AB162" i="12"/>
  <c r="AC162" i="12"/>
  <c r="AD162" i="12"/>
  <c r="X163" i="12"/>
  <c r="Y163" i="12"/>
  <c r="Z163" i="12"/>
  <c r="AA163" i="12"/>
  <c r="AB163" i="12"/>
  <c r="AC163" i="12"/>
  <c r="AD163" i="12"/>
  <c r="X164" i="12"/>
  <c r="Y164" i="12"/>
  <c r="Z164" i="12"/>
  <c r="AA164" i="12"/>
  <c r="AB164" i="12"/>
  <c r="AC164" i="12"/>
  <c r="AD164" i="12"/>
  <c r="X165" i="12"/>
  <c r="Y165" i="12"/>
  <c r="Z165" i="12"/>
  <c r="AA165" i="12"/>
  <c r="AB165" i="12"/>
  <c r="AC165" i="12"/>
  <c r="AD165" i="12"/>
  <c r="X166" i="12"/>
  <c r="Y166" i="12"/>
  <c r="Z166" i="12"/>
  <c r="AA166" i="12"/>
  <c r="AB166" i="12"/>
  <c r="AC166" i="12"/>
  <c r="AD166" i="12"/>
  <c r="X167" i="12"/>
  <c r="Y167" i="12"/>
  <c r="Z167" i="12"/>
  <c r="AA167" i="12"/>
  <c r="AB167" i="12"/>
  <c r="AC167" i="12"/>
  <c r="AD167" i="12"/>
  <c r="X168" i="12"/>
  <c r="Y168" i="12"/>
  <c r="Z168" i="12"/>
  <c r="AA168" i="12"/>
  <c r="AB168" i="12"/>
  <c r="AC168" i="12"/>
  <c r="AD168" i="12"/>
  <c r="X169" i="12"/>
  <c r="Y169" i="12"/>
  <c r="Z169" i="12"/>
  <c r="AA169" i="12"/>
  <c r="AB169" i="12"/>
  <c r="AC169" i="12"/>
  <c r="AD169" i="12"/>
  <c r="X170" i="12"/>
  <c r="Y170" i="12"/>
  <c r="Z170" i="12"/>
  <c r="AA170" i="12"/>
  <c r="AB170" i="12"/>
  <c r="AC170" i="12"/>
  <c r="AD170" i="12"/>
  <c r="X171" i="12"/>
  <c r="Y171" i="12"/>
  <c r="Z171" i="12"/>
  <c r="AA171" i="12"/>
  <c r="AB171" i="12"/>
  <c r="AC171" i="12"/>
  <c r="AD171" i="12"/>
  <c r="X172" i="12"/>
  <c r="Y172" i="12"/>
  <c r="Z172" i="12"/>
  <c r="AA172" i="12"/>
  <c r="AB172" i="12"/>
  <c r="AC172" i="12"/>
  <c r="AD172" i="12"/>
  <c r="X173" i="12"/>
  <c r="Y173" i="12"/>
  <c r="Z173" i="12"/>
  <c r="AA173" i="12"/>
  <c r="AB173" i="12"/>
  <c r="AC173" i="12"/>
  <c r="AD173" i="12"/>
  <c r="X174" i="12"/>
  <c r="Y174" i="12"/>
  <c r="Z174" i="12"/>
  <c r="AA174" i="12"/>
  <c r="AB174" i="12"/>
  <c r="AC174" i="12"/>
  <c r="AD174" i="12"/>
  <c r="X175" i="12"/>
  <c r="Y175" i="12"/>
  <c r="Z175" i="12"/>
  <c r="AA175" i="12"/>
  <c r="AB175" i="12"/>
  <c r="AC175" i="12"/>
  <c r="AD175" i="12"/>
  <c r="X176" i="12"/>
  <c r="Y176" i="12"/>
  <c r="Z176" i="12"/>
  <c r="AA176" i="12"/>
  <c r="AB176" i="12"/>
  <c r="AC176" i="12"/>
  <c r="AD176" i="12"/>
  <c r="X177" i="12"/>
  <c r="Y177" i="12"/>
  <c r="Z177" i="12"/>
  <c r="AA177" i="12"/>
  <c r="AB177" i="12"/>
  <c r="AC177" i="12"/>
  <c r="AD177" i="12"/>
  <c r="X178" i="12"/>
  <c r="Y178" i="12"/>
  <c r="Z178" i="12"/>
  <c r="AA178" i="12"/>
  <c r="AB178" i="12"/>
  <c r="AC178" i="12"/>
  <c r="AD178" i="12"/>
  <c r="X179" i="12"/>
  <c r="Y179" i="12"/>
  <c r="Z179" i="12"/>
  <c r="AA179" i="12"/>
  <c r="AB179" i="12"/>
  <c r="AC179" i="12"/>
  <c r="AD179" i="12"/>
  <c r="X180" i="12"/>
  <c r="Y180" i="12"/>
  <c r="Z180" i="12"/>
  <c r="AA180" i="12"/>
  <c r="AB180" i="12"/>
  <c r="AC180" i="12"/>
  <c r="AD180" i="12"/>
  <c r="X181" i="12"/>
  <c r="Y181" i="12"/>
  <c r="Z181" i="12"/>
  <c r="AA181" i="12"/>
  <c r="AB181" i="12"/>
  <c r="AC181" i="12"/>
  <c r="AD181" i="12"/>
  <c r="X182" i="12"/>
  <c r="Y182" i="12"/>
  <c r="Z182" i="12"/>
  <c r="AA182" i="12"/>
  <c r="AB182" i="12"/>
  <c r="AC182" i="12"/>
  <c r="AD182" i="12"/>
  <c r="X183" i="12"/>
  <c r="Y183" i="12"/>
  <c r="Z183" i="12"/>
  <c r="AA183" i="12"/>
  <c r="AB183" i="12"/>
  <c r="AC183" i="12"/>
  <c r="AD183" i="12"/>
  <c r="X184" i="12"/>
  <c r="Y184" i="12"/>
  <c r="Z184" i="12"/>
  <c r="AA184" i="12"/>
  <c r="AB184" i="12"/>
  <c r="AC184" i="12"/>
  <c r="AD184" i="12"/>
  <c r="X185" i="12"/>
  <c r="Y185" i="12"/>
  <c r="Z185" i="12"/>
  <c r="AA185" i="12"/>
  <c r="AB185" i="12"/>
  <c r="AC185" i="12"/>
  <c r="AD185" i="12"/>
  <c r="B3" i="12"/>
  <c r="X186" i="12"/>
  <c r="Y186" i="12"/>
  <c r="Z186" i="12"/>
  <c r="AA186" i="12"/>
  <c r="AB186" i="12"/>
  <c r="AC186" i="12"/>
  <c r="AD186" i="12"/>
  <c r="X187" i="12"/>
  <c r="Y187" i="12"/>
  <c r="Z187" i="12"/>
  <c r="AA187" i="12"/>
  <c r="AB187" i="12"/>
  <c r="AC187" i="12"/>
  <c r="AD187" i="12"/>
  <c r="X188" i="12"/>
  <c r="Y188" i="12"/>
  <c r="Z188" i="12"/>
  <c r="AA188" i="12"/>
  <c r="AB188" i="12"/>
  <c r="AC188" i="12"/>
  <c r="AD188" i="12"/>
  <c r="X189" i="12"/>
  <c r="Y189" i="12"/>
  <c r="Z189" i="12"/>
  <c r="AA189" i="12"/>
  <c r="AB189" i="12"/>
  <c r="AC189" i="12"/>
  <c r="AD189" i="12"/>
  <c r="X190" i="12"/>
  <c r="Y190" i="12"/>
  <c r="Z190" i="12"/>
  <c r="AA190" i="12"/>
  <c r="AB190" i="12"/>
  <c r="AC190" i="12"/>
  <c r="AD190" i="12"/>
  <c r="X191" i="12"/>
  <c r="Y191" i="12"/>
  <c r="Z191" i="12"/>
  <c r="AA191" i="12"/>
  <c r="AB191" i="12"/>
  <c r="AC191" i="12"/>
  <c r="AD191" i="12"/>
  <c r="X192" i="12"/>
  <c r="Y192" i="12"/>
  <c r="Z192" i="12"/>
  <c r="AA192" i="12"/>
  <c r="AB192" i="12"/>
  <c r="AC192" i="12"/>
  <c r="AD192" i="12"/>
  <c r="X193" i="12"/>
  <c r="Y193" i="12"/>
  <c r="Z193" i="12"/>
  <c r="AA193" i="12"/>
  <c r="AB193" i="12"/>
  <c r="AC193" i="12"/>
  <c r="AD193" i="12"/>
  <c r="P265" i="12"/>
  <c r="P264" i="12"/>
  <c r="P263" i="12"/>
  <c r="P262" i="12"/>
  <c r="P261" i="12"/>
  <c r="P260" i="12"/>
  <c r="P259" i="12"/>
  <c r="P258" i="12"/>
  <c r="P257" i="12"/>
  <c r="P256" i="12"/>
  <c r="P255" i="12"/>
  <c r="P254" i="12"/>
  <c r="P253" i="12"/>
  <c r="P252" i="12"/>
  <c r="P251" i="12"/>
  <c r="P250" i="12"/>
  <c r="P249" i="12"/>
  <c r="P248" i="12"/>
  <c r="P247" i="12"/>
  <c r="P246" i="12"/>
  <c r="P245" i="12"/>
  <c r="P244" i="12"/>
  <c r="P243" i="12"/>
  <c r="P242" i="12"/>
  <c r="P241" i="12"/>
  <c r="P240" i="12"/>
  <c r="P239" i="12"/>
  <c r="P238" i="12"/>
  <c r="P237" i="12"/>
  <c r="P236" i="12"/>
  <c r="P235" i="12"/>
  <c r="P234" i="12"/>
  <c r="P233" i="12"/>
  <c r="P232" i="12"/>
  <c r="P231" i="12"/>
  <c r="P230" i="12"/>
  <c r="P229" i="12"/>
  <c r="P228" i="12"/>
  <c r="P227" i="12"/>
  <c r="P226" i="12"/>
  <c r="P225" i="12"/>
  <c r="P224" i="12"/>
  <c r="P223" i="12"/>
  <c r="P222" i="12"/>
  <c r="P221" i="12"/>
  <c r="P220" i="12"/>
  <c r="P219" i="12"/>
  <c r="P218" i="12"/>
  <c r="P217" i="12"/>
  <c r="P216" i="12"/>
  <c r="P215" i="12"/>
  <c r="P214" i="12"/>
  <c r="P213" i="12"/>
  <c r="P212" i="12"/>
  <c r="P211" i="12"/>
  <c r="P210" i="12"/>
  <c r="P209" i="12"/>
  <c r="P208" i="12"/>
  <c r="P207" i="12"/>
  <c r="P195" i="12"/>
  <c r="H6" i="11"/>
  <c r="G6" i="11"/>
  <c r="F6" i="11"/>
  <c r="E6" i="11"/>
  <c r="D6" i="11"/>
  <c r="C6" i="11"/>
  <c r="B6" i="11"/>
  <c r="D24" i="14"/>
  <c r="L13" i="14"/>
  <c r="M13" i="14" s="1"/>
  <c r="N13" i="14" s="1"/>
  <c r="O13" i="14" s="1"/>
  <c r="L8" i="14"/>
  <c r="M8" i="14" s="1"/>
  <c r="N8" i="14" s="1"/>
  <c r="O8" i="14" s="1"/>
  <c r="U49" i="13"/>
  <c r="B13" i="14" s="1"/>
  <c r="M49" i="13"/>
  <c r="B12" i="14" s="1"/>
  <c r="E49" i="13"/>
  <c r="B11" i="14" s="1"/>
  <c r="M30" i="13"/>
  <c r="B8" i="14" s="1"/>
  <c r="E30" i="13"/>
  <c r="B7" i="14" s="1"/>
  <c r="E17" i="13"/>
  <c r="E8" i="13"/>
  <c r="AD195" i="12"/>
  <c r="AC195" i="12"/>
  <c r="AB195" i="12"/>
  <c r="AA195" i="12"/>
  <c r="Z195" i="12"/>
  <c r="Y195" i="12"/>
  <c r="X195" i="12"/>
  <c r="AD194" i="12"/>
  <c r="AC194" i="12"/>
  <c r="AB194" i="12"/>
  <c r="AA194" i="12"/>
  <c r="Z194" i="12"/>
  <c r="Y194" i="12"/>
  <c r="X194" i="12"/>
  <c r="AD49" i="12"/>
  <c r="AC49" i="12"/>
  <c r="AB49" i="12"/>
  <c r="AA49" i="12"/>
  <c r="Z49" i="12"/>
  <c r="Y49" i="12"/>
  <c r="X49" i="12"/>
  <c r="AD48" i="12"/>
  <c r="AC48" i="12"/>
  <c r="AB48" i="12"/>
  <c r="AA48" i="12"/>
  <c r="Z48" i="12"/>
  <c r="Y48" i="12"/>
  <c r="X48" i="12"/>
  <c r="AD47" i="12"/>
  <c r="AC47" i="12"/>
  <c r="AB47" i="12"/>
  <c r="AA47" i="12"/>
  <c r="Z47" i="12"/>
  <c r="Y47" i="12"/>
  <c r="X47" i="12"/>
  <c r="AD46" i="12"/>
  <c r="AC46" i="12"/>
  <c r="AB46" i="12"/>
  <c r="AA46" i="12"/>
  <c r="Z46" i="12"/>
  <c r="Y46" i="12"/>
  <c r="X46" i="12"/>
  <c r="AD45" i="12"/>
  <c r="AC45" i="12"/>
  <c r="AB45" i="12"/>
  <c r="AA45" i="12"/>
  <c r="Z45" i="12"/>
  <c r="Y45" i="12"/>
  <c r="X45" i="12"/>
  <c r="AD44" i="12"/>
  <c r="AC44" i="12"/>
  <c r="AB44" i="12"/>
  <c r="AA44" i="12"/>
  <c r="Z44" i="12"/>
  <c r="Y44" i="12"/>
  <c r="X44" i="12"/>
  <c r="AD43" i="12"/>
  <c r="AC43" i="12"/>
  <c r="AB43" i="12"/>
  <c r="AA43" i="12"/>
  <c r="Z43" i="12"/>
  <c r="Y43" i="12"/>
  <c r="X43" i="12"/>
  <c r="AD42" i="12"/>
  <c r="AC42" i="12"/>
  <c r="AB42" i="12"/>
  <c r="AA42" i="12"/>
  <c r="Z42" i="12"/>
  <c r="Y42" i="12"/>
  <c r="X42" i="12"/>
  <c r="AD41" i="12"/>
  <c r="AC41" i="12"/>
  <c r="AB41" i="12"/>
  <c r="AA41" i="12"/>
  <c r="Z41" i="12"/>
  <c r="Y41" i="12"/>
  <c r="X41" i="12"/>
  <c r="AD40" i="12"/>
  <c r="AC40" i="12"/>
  <c r="AB40" i="12"/>
  <c r="AA40" i="12"/>
  <c r="Z40" i="12"/>
  <c r="Y40" i="12"/>
  <c r="X40" i="12"/>
  <c r="AD39" i="12"/>
  <c r="AC39" i="12"/>
  <c r="AB39" i="12"/>
  <c r="AA39" i="12"/>
  <c r="Z39" i="12"/>
  <c r="Y39" i="12"/>
  <c r="X39" i="12"/>
  <c r="AD38" i="12"/>
  <c r="AC38" i="12"/>
  <c r="AB38" i="12"/>
  <c r="AA38" i="12"/>
  <c r="Z38" i="12"/>
  <c r="Y38" i="12"/>
  <c r="X38" i="12"/>
  <c r="AD37" i="12"/>
  <c r="AC37" i="12"/>
  <c r="AB37" i="12"/>
  <c r="AA37" i="12"/>
  <c r="Z37" i="12"/>
  <c r="Y37" i="12"/>
  <c r="X37" i="12"/>
  <c r="AD36" i="12"/>
  <c r="AC36" i="12"/>
  <c r="AB36" i="12"/>
  <c r="AA36" i="12"/>
  <c r="Z36" i="12"/>
  <c r="Y36" i="12"/>
  <c r="X36" i="12"/>
  <c r="AD35" i="12"/>
  <c r="AC35" i="12"/>
  <c r="AB35" i="12"/>
  <c r="AA35" i="12"/>
  <c r="Z35" i="12"/>
  <c r="Y35" i="12"/>
  <c r="X35" i="12"/>
  <c r="AD34" i="12"/>
  <c r="AC34" i="12"/>
  <c r="AB34" i="12"/>
  <c r="AA34" i="12"/>
  <c r="Z34" i="12"/>
  <c r="Y34" i="12"/>
  <c r="X34" i="12"/>
  <c r="AD33" i="12"/>
  <c r="AC33" i="12"/>
  <c r="AB33" i="12"/>
  <c r="AA33" i="12"/>
  <c r="Z33" i="12"/>
  <c r="Y33" i="12"/>
  <c r="X33" i="12"/>
  <c r="AD32" i="12"/>
  <c r="AC32" i="12"/>
  <c r="AB32" i="12"/>
  <c r="AA32" i="12"/>
  <c r="Z32" i="12"/>
  <c r="Y32" i="12"/>
  <c r="X32" i="12"/>
  <c r="AD31" i="12"/>
  <c r="AC31" i="12"/>
  <c r="AB31" i="12"/>
  <c r="AA31" i="12"/>
  <c r="Z31" i="12"/>
  <c r="Y31" i="12"/>
  <c r="X31" i="12"/>
  <c r="AD30" i="12"/>
  <c r="AC30" i="12"/>
  <c r="AB30" i="12"/>
  <c r="AA30" i="12"/>
  <c r="Z30" i="12"/>
  <c r="Y30" i="12"/>
  <c r="X30" i="12"/>
  <c r="AD29" i="12"/>
  <c r="AC29" i="12"/>
  <c r="AB29" i="12"/>
  <c r="AA29" i="12"/>
  <c r="Z29" i="12"/>
  <c r="Y29" i="12"/>
  <c r="X29" i="12"/>
  <c r="AD28" i="12"/>
  <c r="AC28" i="12"/>
  <c r="AB28" i="12"/>
  <c r="AA28" i="12"/>
  <c r="Z28" i="12"/>
  <c r="Y28" i="12"/>
  <c r="X28" i="12"/>
  <c r="AD27" i="12"/>
  <c r="AC27" i="12"/>
  <c r="AB27" i="12"/>
  <c r="AA27" i="12"/>
  <c r="Z27" i="12"/>
  <c r="Y27" i="12"/>
  <c r="X27" i="12"/>
  <c r="AD26" i="12"/>
  <c r="AC26" i="12"/>
  <c r="AB26" i="12"/>
  <c r="AA26" i="12"/>
  <c r="Z26" i="12"/>
  <c r="Y26" i="12"/>
  <c r="X26" i="12"/>
  <c r="AD25" i="12"/>
  <c r="AC25" i="12"/>
  <c r="AB25" i="12"/>
  <c r="AA25" i="12"/>
  <c r="Z25" i="12"/>
  <c r="Y25" i="12"/>
  <c r="X25" i="12"/>
  <c r="AD24" i="12"/>
  <c r="AC24" i="12"/>
  <c r="AB24" i="12"/>
  <c r="AA24" i="12"/>
  <c r="Z24" i="12"/>
  <c r="Y24" i="12"/>
  <c r="X24" i="12"/>
  <c r="AD23" i="12"/>
  <c r="AC23" i="12"/>
  <c r="AB23" i="12"/>
  <c r="AA23" i="12"/>
  <c r="Z23" i="12"/>
  <c r="Y23" i="12"/>
  <c r="X23" i="12"/>
  <c r="AD22" i="12"/>
  <c r="AC22" i="12"/>
  <c r="AB22" i="12"/>
  <c r="AA22" i="12"/>
  <c r="Z22" i="12"/>
  <c r="Y22" i="12"/>
  <c r="X22" i="12"/>
  <c r="AD21" i="12"/>
  <c r="AC21" i="12"/>
  <c r="AB21" i="12"/>
  <c r="AA21" i="12"/>
  <c r="Z21" i="12"/>
  <c r="Y21" i="12"/>
  <c r="X21" i="12"/>
  <c r="AD20" i="12"/>
  <c r="AC20" i="12"/>
  <c r="AB20" i="12"/>
  <c r="AA20" i="12"/>
  <c r="Z20" i="12"/>
  <c r="Y20" i="12"/>
  <c r="X20" i="12"/>
  <c r="AD19" i="12"/>
  <c r="AC19" i="12"/>
  <c r="AB19" i="12"/>
  <c r="AA19" i="12"/>
  <c r="Z19" i="12"/>
  <c r="Y19" i="12"/>
  <c r="X19" i="12"/>
  <c r="AD18" i="12"/>
  <c r="AC18" i="12"/>
  <c r="AB18" i="12"/>
  <c r="AA18" i="12"/>
  <c r="Z18" i="12"/>
  <c r="Y18" i="12"/>
  <c r="X18" i="12"/>
  <c r="AD17" i="12"/>
  <c r="AC17" i="12"/>
  <c r="AB17" i="12"/>
  <c r="AA17" i="12"/>
  <c r="Z17" i="12"/>
  <c r="Y17" i="12"/>
  <c r="X17" i="12"/>
  <c r="AD16" i="12"/>
  <c r="AC16" i="12"/>
  <c r="AB16" i="12"/>
  <c r="AA16" i="12"/>
  <c r="Z16" i="12"/>
  <c r="Y16" i="12"/>
  <c r="X16" i="12"/>
  <c r="AD15" i="12"/>
  <c r="AC15" i="12"/>
  <c r="AB15" i="12"/>
  <c r="AA15" i="12"/>
  <c r="Z15" i="12"/>
  <c r="Y15" i="12"/>
  <c r="X15" i="12"/>
  <c r="AD14" i="12"/>
  <c r="AC14" i="12"/>
  <c r="AB14" i="12"/>
  <c r="AA14" i="12"/>
  <c r="Z14" i="12"/>
  <c r="Y14" i="12"/>
  <c r="X14" i="12"/>
  <c r="AD13" i="12"/>
  <c r="AC13" i="12"/>
  <c r="AB13" i="12"/>
  <c r="AA13" i="12"/>
  <c r="Z13" i="12"/>
  <c r="Y13" i="12"/>
  <c r="X13" i="12"/>
  <c r="AD12" i="12"/>
  <c r="AC12" i="12"/>
  <c r="AB12" i="12"/>
  <c r="AA12" i="12"/>
  <c r="Z12" i="12"/>
  <c r="Y12" i="12"/>
  <c r="X12" i="12"/>
  <c r="AD11" i="12"/>
  <c r="AC11" i="12"/>
  <c r="AB11" i="12"/>
  <c r="AA11" i="12"/>
  <c r="Z11" i="12"/>
  <c r="Y11" i="12"/>
  <c r="X11" i="12"/>
  <c r="AD10" i="12"/>
  <c r="AC10" i="12"/>
  <c r="AB10" i="12"/>
  <c r="AA10" i="12"/>
  <c r="Z10" i="12"/>
  <c r="Y10" i="12"/>
  <c r="X10" i="12"/>
  <c r="AD9" i="12"/>
  <c r="AC9" i="12"/>
  <c r="AB9" i="12"/>
  <c r="AA9" i="12"/>
  <c r="Z9" i="12"/>
  <c r="Y9" i="12"/>
  <c r="X9" i="12"/>
  <c r="AD8" i="12"/>
  <c r="AC8" i="12"/>
  <c r="AB8" i="12"/>
  <c r="AA8" i="12"/>
  <c r="Z8" i="12"/>
  <c r="Y8" i="12"/>
  <c r="X8" i="12"/>
  <c r="AD7" i="12"/>
  <c r="AC7" i="12"/>
  <c r="AB7" i="12"/>
  <c r="AA7" i="12"/>
  <c r="Z7" i="12"/>
  <c r="Y7" i="12"/>
  <c r="X7" i="12"/>
  <c r="AD6" i="12"/>
  <c r="AC6" i="12"/>
  <c r="AB6" i="12"/>
  <c r="AA6" i="12"/>
  <c r="Z6" i="12"/>
  <c r="Y6" i="12"/>
  <c r="X6" i="12"/>
  <c r="AD5" i="12"/>
  <c r="AC5" i="12"/>
  <c r="AB5" i="12"/>
  <c r="AA5" i="12"/>
  <c r="Z5" i="12"/>
  <c r="Y5" i="12"/>
  <c r="X5" i="12"/>
  <c r="AD4" i="12"/>
  <c r="AC4" i="12"/>
  <c r="AB4" i="12"/>
  <c r="AA4" i="12"/>
  <c r="Z4" i="12"/>
  <c r="Y4" i="12"/>
  <c r="X4" i="12"/>
  <c r="AD3" i="12"/>
  <c r="AC3" i="12"/>
  <c r="AB3" i="12"/>
  <c r="AA3" i="12"/>
  <c r="Z3" i="12"/>
  <c r="Y3" i="12"/>
  <c r="X3" i="12"/>
  <c r="Y2" i="12"/>
  <c r="Z2" i="12"/>
  <c r="AA2" i="12"/>
  <c r="AB2" i="12"/>
  <c r="AC2" i="12"/>
  <c r="AD2" i="12"/>
  <c r="X2" i="12"/>
  <c r="D7" i="14" l="1"/>
  <c r="G7" i="14" s="1"/>
  <c r="C7" i="14"/>
  <c r="F7" i="14" s="1"/>
  <c r="D8" i="14"/>
  <c r="G8" i="14" s="1"/>
  <c r="C8" i="14"/>
  <c r="F8" i="14" s="1"/>
  <c r="C11" i="14"/>
  <c r="F11" i="14" s="1"/>
  <c r="D11" i="14"/>
  <c r="G11" i="14" s="1"/>
  <c r="H11" i="14" s="1"/>
  <c r="I11" i="14" s="1"/>
  <c r="D12" i="14"/>
  <c r="G12" i="14" s="1"/>
  <c r="H12" i="14" s="1"/>
  <c r="I12" i="14" s="1"/>
  <c r="C12" i="14"/>
  <c r="F12" i="14" s="1"/>
  <c r="D13" i="14"/>
  <c r="G13" i="14" s="1"/>
  <c r="H13" i="14" s="1"/>
  <c r="I13" i="14" s="1"/>
  <c r="C13" i="14"/>
  <c r="F13" i="14" s="1"/>
  <c r="P3" i="12"/>
  <c r="P4" i="12"/>
  <c r="P193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131" i="12"/>
  <c r="P132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116" i="12"/>
  <c r="P117" i="12"/>
  <c r="P118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35" i="12"/>
  <c r="P36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20" i="12"/>
  <c r="P21" i="12"/>
  <c r="P22" i="12"/>
  <c r="P161" i="12"/>
  <c r="P162" i="12"/>
  <c r="P163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194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179" i="12"/>
  <c r="P180" i="12"/>
  <c r="P181" i="12"/>
  <c r="P62" i="12"/>
  <c r="P63" i="12"/>
  <c r="P64" i="12"/>
  <c r="P65" i="12"/>
  <c r="P66" i="12"/>
  <c r="P67" i="12"/>
  <c r="P98" i="12"/>
  <c r="P99" i="12"/>
  <c r="P100" i="12"/>
  <c r="P101" i="12"/>
  <c r="P102" i="12"/>
  <c r="P103" i="12"/>
  <c r="P104" i="12"/>
  <c r="P105" i="12"/>
  <c r="P106" i="12"/>
  <c r="P169" i="12"/>
  <c r="P170" i="12"/>
  <c r="P171" i="12"/>
  <c r="P172" i="12"/>
  <c r="P173" i="12"/>
  <c r="P174" i="12"/>
  <c r="P175" i="12"/>
  <c r="P176" i="12"/>
  <c r="P177" i="12"/>
  <c r="P178" i="12"/>
  <c r="P107" i="12"/>
  <c r="P108" i="12"/>
  <c r="P109" i="12"/>
  <c r="P110" i="12"/>
  <c r="P111" i="12"/>
  <c r="P112" i="12"/>
  <c r="P113" i="12"/>
  <c r="P114" i="12"/>
  <c r="P115" i="12"/>
  <c r="P5" i="12"/>
  <c r="P14" i="12"/>
  <c r="P15" i="12"/>
  <c r="P16" i="12"/>
  <c r="P17" i="12"/>
  <c r="P18" i="12"/>
  <c r="P19" i="12"/>
  <c r="P164" i="12"/>
  <c r="P165" i="12"/>
  <c r="P166" i="12"/>
  <c r="P167" i="12"/>
  <c r="P168" i="12"/>
  <c r="P196" i="12"/>
  <c r="P197" i="12"/>
  <c r="P198" i="12"/>
  <c r="P199" i="12"/>
  <c r="P200" i="12"/>
  <c r="P201" i="12"/>
  <c r="P202" i="12"/>
  <c r="P203" i="12"/>
  <c r="P204" i="12"/>
  <c r="P205" i="12"/>
  <c r="P206" i="12"/>
  <c r="P182" i="12"/>
  <c r="P183" i="12"/>
  <c r="P184" i="12"/>
  <c r="P185" i="12"/>
  <c r="P186" i="12"/>
  <c r="P187" i="12"/>
  <c r="P188" i="12"/>
  <c r="P189" i="12"/>
  <c r="P190" i="12"/>
  <c r="P191" i="12"/>
  <c r="P192" i="12"/>
  <c r="P6" i="12"/>
  <c r="P7" i="12"/>
  <c r="P8" i="12"/>
  <c r="P9" i="12"/>
  <c r="P10" i="12"/>
  <c r="P11" i="12"/>
  <c r="P12" i="12"/>
  <c r="P13" i="12"/>
  <c r="P2" i="12"/>
  <c r="G4" i="9"/>
  <c r="H7" i="11"/>
  <c r="H5" i="11"/>
  <c r="G7" i="11"/>
  <c r="G5" i="11"/>
  <c r="F7" i="11"/>
  <c r="F5" i="11"/>
  <c r="E7" i="11"/>
  <c r="D7" i="11"/>
  <c r="C7" i="11"/>
  <c r="C5" i="11"/>
  <c r="B7" i="11"/>
  <c r="B5" i="11"/>
  <c r="H4" i="11"/>
  <c r="G4" i="11"/>
  <c r="F4" i="11"/>
  <c r="C4" i="11"/>
  <c r="B4" i="11"/>
  <c r="H6" i="9"/>
  <c r="H4" i="9"/>
  <c r="H3" i="9"/>
  <c r="C6" i="9"/>
  <c r="D3" i="9"/>
  <c r="I6" i="9"/>
  <c r="I4" i="9"/>
  <c r="I3" i="9"/>
  <c r="D6" i="9"/>
  <c r="D4" i="9"/>
  <c r="D24" i="8"/>
  <c r="L13" i="8"/>
  <c r="M13" i="8" s="1"/>
  <c r="N13" i="8" s="1"/>
  <c r="O13" i="8" s="1"/>
  <c r="L8" i="8"/>
  <c r="M8" i="8" s="1"/>
  <c r="N8" i="8" s="1"/>
  <c r="O8" i="8" s="1"/>
  <c r="U49" i="7"/>
  <c r="B13" i="8" s="1"/>
  <c r="M49" i="7"/>
  <c r="B12" i="8" s="1"/>
  <c r="E49" i="7"/>
  <c r="B11" i="8" s="1"/>
  <c r="M30" i="7"/>
  <c r="B8" i="8" s="1"/>
  <c r="E30" i="7"/>
  <c r="B7" i="8" s="1"/>
  <c r="E17" i="7"/>
  <c r="E8" i="7"/>
  <c r="E49" i="4"/>
  <c r="B11" i="6" s="1"/>
  <c r="B13" i="6"/>
  <c r="B12" i="6"/>
  <c r="D24" i="6"/>
  <c r="L13" i="6" s="1"/>
  <c r="M13" i="6" s="1"/>
  <c r="N13" i="6" s="1"/>
  <c r="O13" i="6" s="1"/>
  <c r="D13" i="6"/>
  <c r="G13" i="6" s="1"/>
  <c r="H13" i="6" s="1"/>
  <c r="I13" i="6" s="1"/>
  <c r="D12" i="6"/>
  <c r="G12" i="6" s="1"/>
  <c r="H12" i="6" s="1"/>
  <c r="I12" i="6" s="1"/>
  <c r="C12" i="6"/>
  <c r="F12" i="6" s="1"/>
  <c r="I11" i="2"/>
  <c r="H12" i="2"/>
  <c r="H13" i="2"/>
  <c r="H11" i="2"/>
  <c r="G11" i="2"/>
  <c r="B6" i="12" l="1"/>
  <c r="B13" i="12" s="1"/>
  <c r="E4" i="12"/>
  <c r="E11" i="12" s="1"/>
  <c r="H4" i="12"/>
  <c r="H11" i="12" s="1"/>
  <c r="D3" i="12"/>
  <c r="D10" i="12" s="1"/>
  <c r="H3" i="12"/>
  <c r="H10" i="12" s="1"/>
  <c r="E3" i="12"/>
  <c r="E10" i="12" s="1"/>
  <c r="F3" i="12"/>
  <c r="F10" i="12" s="1"/>
  <c r="G3" i="12"/>
  <c r="G10" i="12" s="1"/>
  <c r="B10" i="12"/>
  <c r="F4" i="12"/>
  <c r="F11" i="12" s="1"/>
  <c r="G4" i="12"/>
  <c r="G11" i="12" s="1"/>
  <c r="G6" i="12"/>
  <c r="G13" i="12" s="1"/>
  <c r="E6" i="12"/>
  <c r="E13" i="12" s="1"/>
  <c r="C6" i="12"/>
  <c r="C13" i="12" s="1"/>
  <c r="C3" i="12"/>
  <c r="C10" i="12" s="1"/>
  <c r="C4" i="12"/>
  <c r="C11" i="12" s="1"/>
  <c r="D4" i="12"/>
  <c r="D11" i="12" s="1"/>
  <c r="H6" i="12"/>
  <c r="H13" i="12" s="1"/>
  <c r="F6" i="12"/>
  <c r="F13" i="12" s="1"/>
  <c r="B4" i="12"/>
  <c r="B11" i="12" s="1"/>
  <c r="D6" i="12"/>
  <c r="D13" i="12" s="1"/>
  <c r="G6" i="9"/>
  <c r="G3" i="9"/>
  <c r="D7" i="8"/>
  <c r="G7" i="8" s="1"/>
  <c r="C7" i="8"/>
  <c r="F7" i="8" s="1"/>
  <c r="C8" i="8"/>
  <c r="F8" i="8" s="1"/>
  <c r="D8" i="8"/>
  <c r="G8" i="8" s="1"/>
  <c r="C12" i="8"/>
  <c r="F12" i="8" s="1"/>
  <c r="D12" i="8"/>
  <c r="G12" i="8" s="1"/>
  <c r="H12" i="8" s="1"/>
  <c r="I12" i="8" s="1"/>
  <c r="D13" i="8"/>
  <c r="G13" i="8" s="1"/>
  <c r="H13" i="8" s="1"/>
  <c r="I13" i="8" s="1"/>
  <c r="C13" i="8"/>
  <c r="F13" i="8" s="1"/>
  <c r="C11" i="8"/>
  <c r="F11" i="8" s="1"/>
  <c r="D11" i="8"/>
  <c r="G11" i="8" s="1"/>
  <c r="H11" i="8" s="1"/>
  <c r="I11" i="8" s="1"/>
  <c r="D11" i="6"/>
  <c r="G11" i="6" s="1"/>
  <c r="H11" i="6" s="1"/>
  <c r="I11" i="6" s="1"/>
  <c r="C11" i="6"/>
  <c r="F11" i="6" s="1"/>
  <c r="L8" i="6"/>
  <c r="M8" i="6" s="1"/>
  <c r="N8" i="6" s="1"/>
  <c r="O8" i="6" s="1"/>
  <c r="C13" i="6"/>
  <c r="F13" i="6" s="1"/>
  <c r="U49" i="4"/>
  <c r="M49" i="4"/>
  <c r="M30" i="4"/>
  <c r="E30" i="4"/>
  <c r="E17" i="4"/>
  <c r="E8" i="4"/>
  <c r="D24" i="2"/>
  <c r="L13" i="2" s="1"/>
  <c r="M13" i="2" s="1"/>
  <c r="N13" i="2" s="1"/>
  <c r="O13" i="2" s="1"/>
  <c r="B12" i="2"/>
  <c r="B11" i="2"/>
  <c r="E8" i="1"/>
  <c r="U49" i="1"/>
  <c r="B13" i="2" s="1"/>
  <c r="M49" i="1"/>
  <c r="M30" i="1"/>
  <c r="E4" i="11" s="1"/>
  <c r="E49" i="1"/>
  <c r="E30" i="1"/>
  <c r="E17" i="1"/>
  <c r="B8" i="2" l="1"/>
  <c r="D4" i="11"/>
  <c r="B3" i="9"/>
  <c r="C3" i="9"/>
  <c r="B7" i="2"/>
  <c r="D7" i="2" s="1"/>
  <c r="G7" i="2" s="1"/>
  <c r="E5" i="11"/>
  <c r="B8" i="6"/>
  <c r="D5" i="11"/>
  <c r="B7" i="6"/>
  <c r="C4" i="9"/>
  <c r="C8" i="2"/>
  <c r="F8" i="2" s="1"/>
  <c r="D8" i="2"/>
  <c r="G8" i="2" s="1"/>
  <c r="C12" i="2"/>
  <c r="F12" i="2" s="1"/>
  <c r="I12" i="2" s="1"/>
  <c r="D12" i="2"/>
  <c r="G12" i="2" s="1"/>
  <c r="D13" i="2"/>
  <c r="G13" i="2" s="1"/>
  <c r="C13" i="2"/>
  <c r="F13" i="2" s="1"/>
  <c r="I13" i="2" s="1"/>
  <c r="D11" i="2"/>
  <c r="C11" i="2"/>
  <c r="F11" i="2" s="1"/>
  <c r="L8" i="2"/>
  <c r="M8" i="2" s="1"/>
  <c r="N8" i="2" s="1"/>
  <c r="O8" i="2" s="1"/>
  <c r="C7" i="2" l="1"/>
  <c r="F7" i="2" s="1"/>
  <c r="D8" i="6"/>
  <c r="G8" i="6" s="1"/>
  <c r="C8" i="6"/>
  <c r="F8" i="6" s="1"/>
  <c r="D7" i="6"/>
  <c r="G7" i="6" s="1"/>
  <c r="C7" i="6"/>
  <c r="F7" i="6" s="1"/>
  <c r="B6" i="9"/>
  <c r="B4" i="9"/>
</calcChain>
</file>

<file path=xl/sharedStrings.xml><?xml version="1.0" encoding="utf-8"?>
<sst xmlns="http://schemas.openxmlformats.org/spreadsheetml/2006/main" count="1854" uniqueCount="441">
  <si>
    <t>Total_Execution_Time</t>
  </si>
  <si>
    <t>Execution_Count</t>
  </si>
  <si>
    <t>Mean_Execution_Time</t>
  </si>
  <si>
    <t>Std_Dev_Execution_Time</t>
  </si>
  <si>
    <t>Total_Execution_Percentage</t>
  </si>
  <si>
    <t>QueryType</t>
  </si>
  <si>
    <t>2003 opt</t>
  </si>
  <si>
    <t>2013 over03opt</t>
  </si>
  <si>
    <t>2013 opt</t>
  </si>
  <si>
    <t>Weight</t>
  </si>
  <si>
    <t>2023 over03opt</t>
  </si>
  <si>
    <t>2023 over13opt</t>
  </si>
  <si>
    <t>2023 opt</t>
  </si>
  <si>
    <t>Query volume</t>
  </si>
  <si>
    <t>D2_alpha</t>
  </si>
  <si>
    <t>D2_beta</t>
  </si>
  <si>
    <t>Avg q time</t>
  </si>
  <si>
    <t>D3_alpha</t>
  </si>
  <si>
    <t>D3_beta</t>
  </si>
  <si>
    <t>D3_gamma</t>
  </si>
  <si>
    <t>Mig time (sec) from alpha</t>
  </si>
  <si>
    <t>Mig time (sec) from beta</t>
  </si>
  <si>
    <t>W</t>
  </si>
  <si>
    <t>alpha</t>
  </si>
  <si>
    <t>beta</t>
  </si>
  <si>
    <t>gamma</t>
  </si>
  <si>
    <t>Table</t>
  </si>
  <si>
    <t>Original card</t>
  </si>
  <si>
    <t>Sample card</t>
  </si>
  <si>
    <t>Rate</t>
  </si>
  <si>
    <t>PhotoObjAll</t>
  </si>
  <si>
    <t>Scaled (sec)</t>
  </si>
  <si>
    <t>Scaled (min)</t>
  </si>
  <si>
    <t>Scaled (h)</t>
  </si>
  <si>
    <t>Scaled (d)</t>
  </si>
  <si>
    <t>Original query volume</t>
  </si>
  <si>
    <t>W beta (2013)</t>
  </si>
  <si>
    <t>W gamma (2023)</t>
  </si>
  <si>
    <t>Total time (sec) on original query volume</t>
  </si>
  <si>
    <t>Total time (sec) on query volume</t>
  </si>
  <si>
    <t>Total time (min) on query volume</t>
  </si>
  <si>
    <t>Total time (min) on original query volume</t>
  </si>
  <si>
    <t>Total time (h) on original query volume</t>
  </si>
  <si>
    <t>Total time (d) on original query volume</t>
  </si>
  <si>
    <t>Mig time (sec) from D1_alpha</t>
  </si>
  <si>
    <t>Mig time (sec) from D2_beta</t>
  </si>
  <si>
    <t>alpha to beta</t>
  </si>
  <si>
    <t>beta to gamma</t>
  </si>
  <si>
    <t>migration time</t>
  </si>
  <si>
    <t>scale</t>
  </si>
  <si>
    <t>time saving in sec</t>
  </si>
  <si>
    <t>|W|</t>
  </si>
  <si>
    <t>Scale</t>
  </si>
  <si>
    <t>100K</t>
  </si>
  <si>
    <t>200K</t>
  </si>
  <si>
    <t>1M</t>
  </si>
  <si>
    <t>$D_1$</t>
  </si>
  <si>
    <t>$D_1^{\alpha}$</t>
  </si>
  <si>
    <t>$D_2^{\alpha}$</t>
  </si>
  <si>
    <t>$D_3^{\alpha}$</t>
  </si>
  <si>
    <t>$D_2^{\beta}$</t>
  </si>
  <si>
    <t>$D_3^{\beta}$</t>
  </si>
  <si>
    <t>$D_3^{\gamma}$</t>
  </si>
  <si>
    <t>$W^{\alpha}$</t>
  </si>
  <si>
    <t>$W^{\beta}$</t>
  </si>
  <si>
    <t>$W^{\gamma}$</t>
  </si>
  <si>
    <t>Average query time (ms)</t>
  </si>
  <si>
    <t>Total size (MB)</t>
  </si>
  <si>
    <t>aa_sdss2003</t>
  </si>
  <si>
    <t>photoobjall</t>
  </si>
  <si>
    <t>596 MB</t>
  </si>
  <si>
    <t>5888 kB</t>
  </si>
  <si>
    <t>5312 kB</t>
  </si>
  <si>
    <t>photoz</t>
  </si>
  <si>
    <t>17 MB</t>
  </si>
  <si>
    <t>784 kB</t>
  </si>
  <si>
    <t>specobjall</t>
  </si>
  <si>
    <t>69 MB</t>
  </si>
  <si>
    <t>1488 kB</t>
  </si>
  <si>
    <t>1856 kB</t>
  </si>
  <si>
    <t>aa_sdss2003_10x</t>
  </si>
  <si>
    <t>5964 MB</t>
  </si>
  <si>
    <t>57 MB</t>
  </si>
  <si>
    <t>52 MB</t>
  </si>
  <si>
    <t>173 MB</t>
  </si>
  <si>
    <t>165 MB</t>
  </si>
  <si>
    <t>7480 kB</t>
  </si>
  <si>
    <t>687 MB</t>
  </si>
  <si>
    <t>15 MB</t>
  </si>
  <si>
    <t>18 MB</t>
  </si>
  <si>
    <t>aa_sdss2003_10x_optimized</t>
  </si>
  <si>
    <t>field</t>
  </si>
  <si>
    <t>67 MB</t>
  </si>
  <si>
    <t>664 kB</t>
  </si>
  <si>
    <t>264 kB</t>
  </si>
  <si>
    <t>frame</t>
  </si>
  <si>
    <t>30 MB</t>
  </si>
  <si>
    <t>29 MB</t>
  </si>
  <si>
    <t>1392 kB</t>
  </si>
  <si>
    <t>galspecextra</t>
  </si>
  <si>
    <t>300 MB</t>
  </si>
  <si>
    <t>296 MB</t>
  </si>
  <si>
    <t>4824 kB</t>
  </si>
  <si>
    <t>galspecindx</t>
  </si>
  <si>
    <t>13 MB</t>
  </si>
  <si>
    <t>photoobjall_galaxy</t>
  </si>
  <si>
    <t>72 kB</t>
  </si>
  <si>
    <t>32 kB</t>
  </si>
  <si>
    <t>photoobjall_galaxycomplementary</t>
  </si>
  <si>
    <t>344 kB</t>
  </si>
  <si>
    <t>8192 bytes</t>
  </si>
  <si>
    <t>16 kB</t>
  </si>
  <si>
    <t>photoobjall_other</t>
  </si>
  <si>
    <t>3665 MB</t>
  </si>
  <si>
    <t>36 MB</t>
  </si>
  <si>
    <t>32 MB</t>
  </si>
  <si>
    <t>photoobjall_primary</t>
  </si>
  <si>
    <t>218 MB</t>
  </si>
  <si>
    <t>198 MB</t>
  </si>
  <si>
    <t>20 MB</t>
  </si>
  <si>
    <t>photoobjall_primarycomplementary</t>
  </si>
  <si>
    <t>2295 MB</t>
  </si>
  <si>
    <t>22 MB</t>
  </si>
  <si>
    <t>16 MB</t>
  </si>
  <si>
    <t>photoz_complementary</t>
  </si>
  <si>
    <t>48 kB</t>
  </si>
  <si>
    <t>photozrf</t>
  </si>
  <si>
    <t>136 MB</t>
  </si>
  <si>
    <t>132 MB</t>
  </si>
  <si>
    <t>3736 kB</t>
  </si>
  <si>
    <t>platex</t>
  </si>
  <si>
    <t>728 kB</t>
  </si>
  <si>
    <t>704 kB</t>
  </si>
  <si>
    <t>specobjall_complementary</t>
  </si>
  <si>
    <t>0 bytes</t>
  </si>
  <si>
    <t>aa_sdss2003_2x</t>
  </si>
  <si>
    <t>1193 MB</t>
  </si>
  <si>
    <t>11 MB</t>
  </si>
  <si>
    <t>10 MB</t>
  </si>
  <si>
    <t>35 MB</t>
  </si>
  <si>
    <t>33 MB</t>
  </si>
  <si>
    <t>1520 kB</t>
  </si>
  <si>
    <t>137 MB</t>
  </si>
  <si>
    <t>2968 kB</t>
  </si>
  <si>
    <t>3672 kB</t>
  </si>
  <si>
    <t>aa_sdss2003_2x_optimized</t>
  </si>
  <si>
    <t>59 MB</t>
  </si>
  <si>
    <t>58 MB</t>
  </si>
  <si>
    <t>976 kB</t>
  </si>
  <si>
    <t>119 MB</t>
  </si>
  <si>
    <t>2600 kB</t>
  </si>
  <si>
    <t>104 kB</t>
  </si>
  <si>
    <t>733 MB</t>
  </si>
  <si>
    <t>7288 kB</t>
  </si>
  <si>
    <t>6584 kB</t>
  </si>
  <si>
    <t>44 MB</t>
  </si>
  <si>
    <t>40 MB</t>
  </si>
  <si>
    <t>4056 kB</t>
  </si>
  <si>
    <t>459 MB</t>
  </si>
  <si>
    <t>4488 kB</t>
  </si>
  <si>
    <t>3376 kB</t>
  </si>
  <si>
    <t>40 kB</t>
  </si>
  <si>
    <t>27 MB</t>
  </si>
  <si>
    <t>26 MB</t>
  </si>
  <si>
    <t>760 kB</t>
  </si>
  <si>
    <t>aa_sdss2003_optimized</t>
  </si>
  <si>
    <t>496 kB</t>
  </si>
  <si>
    <t>60 MB</t>
  </si>
  <si>
    <t>1304 kB</t>
  </si>
  <si>
    <t>367 MB</t>
  </si>
  <si>
    <t>3648 kB</t>
  </si>
  <si>
    <t>3296 kB</t>
  </si>
  <si>
    <t>2040 kB</t>
  </si>
  <si>
    <t>230 MB</t>
  </si>
  <si>
    <t>2248 kB</t>
  </si>
  <si>
    <t>1712 kB</t>
  </si>
  <si>
    <t>14 MB</t>
  </si>
  <si>
    <t>392 kB</t>
  </si>
  <si>
    <t>aa_sdss2013_10x_optimized</t>
  </si>
  <si>
    <t>65 MB</t>
  </si>
  <si>
    <t>1003 MB</t>
  </si>
  <si>
    <t>9800 kB</t>
  </si>
  <si>
    <t>7352 kB</t>
  </si>
  <si>
    <t>3647 MB</t>
  </si>
  <si>
    <t>84 MB</t>
  </si>
  <si>
    <t>80 MB</t>
  </si>
  <si>
    <t>4728 kB</t>
  </si>
  <si>
    <t>1292 MB</t>
  </si>
  <si>
    <t>12 MB</t>
  </si>
  <si>
    <t>9456 kB</t>
  </si>
  <si>
    <t>2984 kB</t>
  </si>
  <si>
    <t>2784 kB</t>
  </si>
  <si>
    <t>160 kB</t>
  </si>
  <si>
    <t>148 MB</t>
  </si>
  <si>
    <t>145 MB</t>
  </si>
  <si>
    <t>2344 kB</t>
  </si>
  <si>
    <t>2224 kB</t>
  </si>
  <si>
    <t>80 kB</t>
  </si>
  <si>
    <t>photozrf_complementary</t>
  </si>
  <si>
    <t>122 MB</t>
  </si>
  <si>
    <t>118 MB</t>
  </si>
  <si>
    <t>700 MB</t>
  </si>
  <si>
    <t>aa_sdss2013_2x_optimized</t>
  </si>
  <si>
    <t>744 kB</t>
  </si>
  <si>
    <t>201 MB</t>
  </si>
  <si>
    <t>1960 kB</t>
  </si>
  <si>
    <t>730 MB</t>
  </si>
  <si>
    <t>2744 kB</t>
  </si>
  <si>
    <t>960 kB</t>
  </si>
  <si>
    <t>258 MB</t>
  </si>
  <si>
    <t>2528 kB</t>
  </si>
  <si>
    <t>1920 kB</t>
  </si>
  <si>
    <t>632 kB</t>
  </si>
  <si>
    <t>560 kB</t>
  </si>
  <si>
    <t>64 kB</t>
  </si>
  <si>
    <t>488 kB</t>
  </si>
  <si>
    <t>448 kB</t>
  </si>
  <si>
    <t>24 MB</t>
  </si>
  <si>
    <t>140 MB</t>
  </si>
  <si>
    <t>6328 kB</t>
  </si>
  <si>
    <t>aa_sdss2013_optimized</t>
  </si>
  <si>
    <t>7088 kB</t>
  </si>
  <si>
    <t>6664 kB</t>
  </si>
  <si>
    <t>384 kB</t>
  </si>
  <si>
    <t>100 MB</t>
  </si>
  <si>
    <t>984 kB</t>
  </si>
  <si>
    <t>768 kB</t>
  </si>
  <si>
    <t>365 MB</t>
  </si>
  <si>
    <t>1376 kB</t>
  </si>
  <si>
    <t>8736 kB</t>
  </si>
  <si>
    <t>8208 kB</t>
  </si>
  <si>
    <t>129 MB</t>
  </si>
  <si>
    <t>1264 kB</t>
  </si>
  <si>
    <t>320 kB</t>
  </si>
  <si>
    <t>280 kB</t>
  </si>
  <si>
    <t>248 kB</t>
  </si>
  <si>
    <t>224 kB</t>
  </si>
  <si>
    <t>70 MB</t>
  </si>
  <si>
    <t>3192 kB</t>
  </si>
  <si>
    <t>aa_sdss2023_10x_optimized</t>
  </si>
  <si>
    <t>field_other</t>
  </si>
  <si>
    <t>frame_0</t>
  </si>
  <si>
    <t>752 kB</t>
  </si>
  <si>
    <t>360 kB</t>
  </si>
  <si>
    <t>frame_other</t>
  </si>
  <si>
    <t>23 MB</t>
  </si>
  <si>
    <t>1048 kB</t>
  </si>
  <si>
    <t>185 MB</t>
  </si>
  <si>
    <t>176 MB</t>
  </si>
  <si>
    <t>8920 kB</t>
  </si>
  <si>
    <t>2435 MB</t>
  </si>
  <si>
    <t>2239 MB</t>
  </si>
  <si>
    <t>87 MB</t>
  </si>
  <si>
    <t>83 MB</t>
  </si>
  <si>
    <t>4672 kB</t>
  </si>
  <si>
    <t>1271 MB</t>
  </si>
  <si>
    <t>288 kB</t>
  </si>
  <si>
    <t>168 kB</t>
  </si>
  <si>
    <t>photozcomplementary</t>
  </si>
  <si>
    <t>2480 kB</t>
  </si>
  <si>
    <t>61 MB</t>
  </si>
  <si>
    <t>specobjallcomplementary</t>
  </si>
  <si>
    <t>675 MB</t>
  </si>
  <si>
    <t>5448 kB</t>
  </si>
  <si>
    <t>aa_sdss2023_2x_optimized</t>
  </si>
  <si>
    <t>37 MB</t>
  </si>
  <si>
    <t>1792 kB</t>
  </si>
  <si>
    <t>487 MB</t>
  </si>
  <si>
    <t>4776 kB</t>
  </si>
  <si>
    <t>448 MB</t>
  </si>
  <si>
    <t>4504 kB</t>
  </si>
  <si>
    <t>4072 kB</t>
  </si>
  <si>
    <t>944 kB</t>
  </si>
  <si>
    <t>254 MB</t>
  </si>
  <si>
    <t>2496 kB</t>
  </si>
  <si>
    <t>536 kB</t>
  </si>
  <si>
    <t>135 MB</t>
  </si>
  <si>
    <t>1104 kB</t>
  </si>
  <si>
    <t>aa_sdss2023_optimized</t>
  </si>
  <si>
    <t>19 MB</t>
  </si>
  <si>
    <t>904 kB</t>
  </si>
  <si>
    <t>244 MB</t>
  </si>
  <si>
    <t>2392 kB</t>
  </si>
  <si>
    <t>224 MB</t>
  </si>
  <si>
    <t>2256 kB</t>
  </si>
  <si>
    <t>2048 kB</t>
  </si>
  <si>
    <t>8992 kB</t>
  </si>
  <si>
    <t>8472 kB</t>
  </si>
  <si>
    <t>480 kB</t>
  </si>
  <si>
    <t>127 MB</t>
  </si>
  <si>
    <t>1248 kB</t>
  </si>
  <si>
    <t>24 kB</t>
  </si>
  <si>
    <t>272 kB</t>
  </si>
  <si>
    <t>8864 kB</t>
  </si>
  <si>
    <t>6408 kB</t>
  </si>
  <si>
    <t>2416 kB</t>
  </si>
  <si>
    <t>68 MB</t>
  </si>
  <si>
    <t>sdss2003_optimized</t>
  </si>
  <si>
    <t>39 MB</t>
  </si>
  <si>
    <t>2208 kB</t>
  </si>
  <si>
    <t>601 MB</t>
  </si>
  <si>
    <t>290 MB</t>
  </si>
  <si>
    <t>278 MB</t>
  </si>
  <si>
    <t>313 MB</t>
  </si>
  <si>
    <t>6792 kB</t>
  </si>
  <si>
    <t>2544 kB</t>
  </si>
  <si>
    <t>sdss_relational</t>
  </si>
  <si>
    <t>632 MB</t>
  </si>
  <si>
    <t>631 MB</t>
  </si>
  <si>
    <t>211 MB</t>
  </si>
  <si>
    <t>107 MB</t>
  </si>
  <si>
    <t>589 MB</t>
  </si>
  <si>
    <t>588 MB</t>
  </si>
  <si>
    <t>781 MB</t>
  </si>
  <si>
    <t>6288 kB</t>
  </si>
  <si>
    <t>6248 kB</t>
  </si>
  <si>
    <t>179 MB</t>
  </si>
  <si>
    <t>zoospec</t>
  </si>
  <si>
    <t>sdss_relational2</t>
  </si>
  <si>
    <t>7984 kB</t>
  </si>
  <si>
    <t>7952 kB</t>
  </si>
  <si>
    <t>43 MB</t>
  </si>
  <si>
    <t>5240 kB</t>
  </si>
  <si>
    <t>5208 kB</t>
  </si>
  <si>
    <t>4264 kB</t>
  </si>
  <si>
    <t>4232 kB</t>
  </si>
  <si>
    <t>936 kB</t>
  </si>
  <si>
    <t>896 kB</t>
  </si>
  <si>
    <t>samplesizes</t>
  </si>
  <si>
    <t>3344 kB</t>
  </si>
  <si>
    <t>3304 kB</t>
  </si>
  <si>
    <t>sdss_relational_10x</t>
  </si>
  <si>
    <t>78 MB</t>
  </si>
  <si>
    <t>427 MB</t>
  </si>
  <si>
    <t>mapping</t>
  </si>
  <si>
    <t>42 MB</t>
  </si>
  <si>
    <t>7813 MB</t>
  </si>
  <si>
    <t>7811 MB</t>
  </si>
  <si>
    <t>51 MB</t>
  </si>
  <si>
    <t>41 MB</t>
  </si>
  <si>
    <t>424 kB</t>
  </si>
  <si>
    <t>416 kB</t>
  </si>
  <si>
    <t>387 MB</t>
  </si>
  <si>
    <t>sdss_relational_2x</t>
  </si>
  <si>
    <t>85 MB</t>
  </si>
  <si>
    <t>8680 kB</t>
  </si>
  <si>
    <t>8648 kB</t>
  </si>
  <si>
    <t>1563 MB</t>
  </si>
  <si>
    <t>1562 MB</t>
  </si>
  <si>
    <t>8496 kB</t>
  </si>
  <si>
    <t>8464 kB</t>
  </si>
  <si>
    <t>77 MB</t>
  </si>
  <si>
    <t>6648 kB</t>
  </si>
  <si>
    <t>6608 kB</t>
  </si>
  <si>
    <t>sdss_relational_3x</t>
  </si>
  <si>
    <t>38 MB</t>
  </si>
  <si>
    <t>207 MB</t>
  </si>
  <si>
    <t>2344 MB</t>
  </si>
  <si>
    <t>2343 MB</t>
  </si>
  <si>
    <t>116 MB</t>
  </si>
  <si>
    <t>9952 kB</t>
  </si>
  <si>
    <t>9912 kB</t>
  </si>
  <si>
    <t>Schema</t>
  </si>
  <si>
    <t>Total</t>
  </si>
  <si>
    <t>Data</t>
  </si>
  <si>
    <t>Indexes</t>
  </si>
  <si>
    <t>Total H</t>
  </si>
  <si>
    <t>1x</t>
  </si>
  <si>
    <t>2x</t>
  </si>
  <si>
    <t>10x</t>
  </si>
  <si>
    <t>Set of involved tables</t>
  </si>
  <si>
    <t>5x</t>
  </si>
  <si>
    <t>500K</t>
  </si>
  <si>
    <t>aa_sdss2003_5x</t>
  </si>
  <si>
    <t>2982 MB</t>
  </si>
  <si>
    <t>86 MB</t>
  </si>
  <si>
    <t>3760 kB</t>
  </si>
  <si>
    <t>344 MB</t>
  </si>
  <si>
    <t>7432 kB</t>
  </si>
  <si>
    <t>9088 kB</t>
  </si>
  <si>
    <t>aa_sdss2003_5x_optimized</t>
  </si>
  <si>
    <t>149 MB</t>
  </si>
  <si>
    <t>147 MB</t>
  </si>
  <si>
    <t>2424 kB</t>
  </si>
  <si>
    <t>298 MB</t>
  </si>
  <si>
    <t>6488 kB</t>
  </si>
  <si>
    <t>56 kB</t>
  </si>
  <si>
    <t>192 kB</t>
  </si>
  <si>
    <t>1833 MB</t>
  </si>
  <si>
    <t>109 MB</t>
  </si>
  <si>
    <t>99 MB</t>
  </si>
  <si>
    <t>10096 kB</t>
  </si>
  <si>
    <t>1148 MB</t>
  </si>
  <si>
    <t>8408 kB</t>
  </si>
  <si>
    <t>66 MB</t>
  </si>
  <si>
    <t>1872 kB</t>
  </si>
  <si>
    <t>aa_sdss2013_5x_optimized</t>
  </si>
  <si>
    <t>34 MB</t>
  </si>
  <si>
    <t>1840 kB</t>
  </si>
  <si>
    <t>502 MB</t>
  </si>
  <si>
    <t>4904 kB</t>
  </si>
  <si>
    <t>3696 kB</t>
  </si>
  <si>
    <t>1824 MB</t>
  </si>
  <si>
    <t>6808 kB</t>
  </si>
  <si>
    <t>2376 kB</t>
  </si>
  <si>
    <t>646 MB</t>
  </si>
  <si>
    <t>6312 kB</t>
  </si>
  <si>
    <t>4752 kB</t>
  </si>
  <si>
    <t>1528 kB</t>
  </si>
  <si>
    <t>96 kB</t>
  </si>
  <si>
    <t>74 MB</t>
  </si>
  <si>
    <t>72 MB</t>
  </si>
  <si>
    <t>1200 kB</t>
  </si>
  <si>
    <t>1112 kB</t>
  </si>
  <si>
    <t>350 MB</t>
  </si>
  <si>
    <t>aa_sdss2023_5x_optimized</t>
  </si>
  <si>
    <t>92 MB</t>
  </si>
  <si>
    <t>88 MB</t>
  </si>
  <si>
    <t>4472 kB</t>
  </si>
  <si>
    <t>1217 MB</t>
  </si>
  <si>
    <t>1120 MB</t>
  </si>
  <si>
    <t>10136 kB</t>
  </si>
  <si>
    <t>2352 kB</t>
  </si>
  <si>
    <t>636 MB</t>
  </si>
  <si>
    <t>6232 kB</t>
  </si>
  <si>
    <t>176 kB</t>
  </si>
  <si>
    <t>88 kB</t>
  </si>
  <si>
    <t>1328 kB</t>
  </si>
  <si>
    <t>1240 kB</t>
  </si>
  <si>
    <t>337 MB</t>
  </si>
  <si>
    <t>7416 kB</t>
  </si>
  <si>
    <t>2736 kB</t>
  </si>
  <si>
    <t>sdss_relational_5x</t>
  </si>
  <si>
    <t>214 MB</t>
  </si>
  <si>
    <t>213 MB</t>
  </si>
  <si>
    <t>21 MB</t>
  </si>
  <si>
    <t>3907 MB</t>
  </si>
  <si>
    <t>3905 MB</t>
  </si>
  <si>
    <t>25 MB</t>
  </si>
  <si>
    <t>193 MB</t>
  </si>
  <si>
    <t>Total size (bytes)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</si>
</sst>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"/>
  </numFmts>
  <fonts count="7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4" fontId="2" fillId="2" borderId="1" xfId="0" applyNumberFormat="1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2" fontId="0" fillId="0" borderId="0" xfId="0" applyNumberFormat="1"/>
    <xf numFmtId="10" fontId="3" fillId="0" borderId="1" xfId="0" applyNumberFormat="1" applyFont="1" applyBorder="1" applyAlignment="1">
      <alignment horizontal="center" vertical="center" wrapText="1"/>
    </xf>
    <xf numFmtId="0" fontId="4" fillId="0" borderId="0" xfId="0" applyFont="1"/>
    <xf numFmtId="0" fontId="3" fillId="0" borderId="1" xfId="0" applyFont="1" applyBorder="1" applyAlignment="1">
      <alignment horizontal="center" vertical="center" wrapText="1"/>
    </xf>
    <xf numFmtId="2" fontId="0" fillId="3" borderId="0" xfId="0" applyNumberFormat="1" applyFill="1"/>
    <xf numFmtId="4" fontId="2" fillId="4" borderId="1" xfId="0" applyNumberFormat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2" fontId="0" fillId="5" borderId="0" xfId="0" applyNumberFormat="1" applyFill="1" applyAlignment="1">
      <alignment wrapText="1"/>
    </xf>
    <xf numFmtId="165" fontId="0" fillId="5" borderId="0" xfId="0" applyNumberFormat="1" applyFill="1" applyAlignment="1">
      <alignment wrapText="1"/>
    </xf>
    <xf numFmtId="165" fontId="0" fillId="0" borderId="0" xfId="0" applyNumberFormat="1" applyAlignment="1">
      <alignment wrapText="1"/>
    </xf>
    <xf numFmtId="0" fontId="0" fillId="5" borderId="0" xfId="0" applyFill="1" applyAlignment="1">
      <alignment wrapText="1"/>
    </xf>
    <xf numFmtId="0" fontId="0" fillId="0" borderId="0" xfId="0" applyAlignment="1">
      <alignment horizontal="right" wrapText="1"/>
    </xf>
    <xf numFmtId="0" fontId="5" fillId="6" borderId="0" xfId="0" applyFont="1" applyFill="1" applyAlignment="1">
      <alignment wrapText="1"/>
    </xf>
    <xf numFmtId="1" fontId="0" fillId="6" borderId="0" xfId="0" applyNumberFormat="1" applyFill="1" applyAlignment="1">
      <alignment wrapText="1"/>
    </xf>
    <xf numFmtId="165" fontId="0" fillId="6" borderId="0" xfId="0" applyNumberFormat="1" applyFill="1" applyAlignment="1">
      <alignment wrapText="1"/>
    </xf>
    <xf numFmtId="1" fontId="0" fillId="7" borderId="0" xfId="0" applyNumberFormat="1" applyFill="1" applyAlignment="1">
      <alignment wrapText="1"/>
    </xf>
    <xf numFmtId="0" fontId="5" fillId="7" borderId="0" xfId="0" applyFont="1" applyFill="1" applyAlignment="1">
      <alignment wrapText="1"/>
    </xf>
    <xf numFmtId="165" fontId="0" fillId="7" borderId="0" xfId="0" applyNumberFormat="1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0" fontId="6" fillId="0" borderId="8" xfId="0" applyFont="1" applyBorder="1"/>
    <xf numFmtId="0" fontId="6" fillId="0" borderId="9" xfId="0" applyFont="1" applyBorder="1"/>
    <xf numFmtId="0" fontId="6" fillId="0" borderId="4" xfId="0" applyFont="1" applyBorder="1"/>
    <xf numFmtId="0" fontId="6" fillId="0" borderId="5" xfId="0" applyFont="1" applyBorder="1"/>
    <xf numFmtId="0" fontId="6" fillId="0" borderId="6" xfId="0" applyFont="1" applyBorder="1"/>
    <xf numFmtId="0" fontId="0" fillId="0" borderId="0" xfId="0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5" fillId="0" borderId="0" xfId="0" applyFont="1"/>
    <xf numFmtId="165" fontId="0" fillId="0" borderId="0" xfId="0" applyNumberFormat="1"/>
    <xf numFmtId="2" fontId="0" fillId="0" borderId="0" xfId="0" applyNumberFormat="1" applyFill="1"/>
    <xf numFmtId="0" fontId="6" fillId="0" borderId="0" xfId="0" applyFont="1" applyFill="1" applyBorder="1"/>
    <xf numFmtId="0" fontId="0" fillId="0" borderId="0" xfId="0" applyBorder="1"/>
    <xf numFmtId="0" fontId="0" fillId="0" borderId="0" xfId="0" applyBorder="1" applyAlignment="1">
      <alignment horizontal="center"/>
    </xf>
    <xf numFmtId="0" fontId="6" fillId="0" borderId="0" xfId="0" applyFont="1" applyBorder="1"/>
    <xf numFmtId="0" fontId="5" fillId="0" borderId="0" xfId="0" applyFont="1" applyBorder="1" applyAlignment="1">
      <alignment horizontal="center"/>
    </xf>
    <xf numFmtId="0" fontId="5" fillId="0" borderId="0" xfId="0" applyFont="1" applyBorder="1"/>
    <xf numFmtId="165" fontId="0" fillId="0" borderId="2" xfId="0" applyNumberFormat="1" applyBorder="1"/>
    <xf numFmtId="165" fontId="0" fillId="0" borderId="3" xfId="0" applyNumberFormat="1" applyBorder="1"/>
    <xf numFmtId="165" fontId="0" fillId="0" borderId="2" xfId="0" applyNumberFormat="1" applyFill="1" applyBorder="1"/>
    <xf numFmtId="165" fontId="0" fillId="0" borderId="3" xfId="0" applyNumberFormat="1" applyFill="1" applyBorder="1"/>
    <xf numFmtId="165" fontId="0" fillId="0" borderId="4" xfId="0" applyNumberFormat="1" applyBorder="1"/>
    <xf numFmtId="165" fontId="0" fillId="0" borderId="5" xfId="0" applyNumberFormat="1" applyBorder="1"/>
    <xf numFmtId="165" fontId="0" fillId="0" borderId="6" xfId="0" applyNumberFormat="1" applyBorder="1"/>
    <xf numFmtId="165" fontId="0" fillId="8" borderId="2" xfId="0" applyNumberFormat="1" applyFill="1" applyBorder="1"/>
    <xf numFmtId="165" fontId="0" fillId="8" borderId="3" xfId="0" applyNumberFormat="1" applyFill="1" applyBorder="1"/>
    <xf numFmtId="165" fontId="0" fillId="8" borderId="0" xfId="0" applyNumberFormat="1" applyFill="1"/>
    <xf numFmtId="0" fontId="0" fillId="2" borderId="0" xfId="0" applyFill="1" applyBorder="1"/>
    <xf numFmtId="0" fontId="0" fillId="2" borderId="0" xfId="0" applyFill="1" applyBorder="1" applyAlignment="1">
      <alignment horizontal="center"/>
    </xf>
    <xf numFmtId="0" fontId="6" fillId="2" borderId="0" xfId="0" applyFont="1" applyFill="1" applyBorder="1"/>
    <xf numFmtId="1" fontId="0" fillId="2" borderId="0" xfId="0" applyNumberFormat="1" applyFill="1" applyBorder="1"/>
  </cellXfs>
  <cellStyles count="1">
    <cellStyle name="Normale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E1D44-AC13-4E05-B908-0B5C89C2B65C}">
  <dimension ref="A1:W49"/>
  <sheetViews>
    <sheetView zoomScaleNormal="100" workbookViewId="0">
      <selection activeCell="T26" sqref="T26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827.58900000000006</v>
      </c>
      <c r="D3" s="2">
        <v>569</v>
      </c>
      <c r="E3" s="4">
        <v>1.4544619999999999</v>
      </c>
      <c r="F3" s="2">
        <v>2.3388460000000002</v>
      </c>
      <c r="G3" s="2">
        <v>1.0448409999999999</v>
      </c>
    </row>
    <row r="4" spans="1:7">
      <c r="A4" s="1">
        <v>2</v>
      </c>
      <c r="B4" s="7">
        <v>0.22459999999999999</v>
      </c>
      <c r="C4" s="2">
        <v>45250.428999999996</v>
      </c>
      <c r="D4" s="2">
        <v>235</v>
      </c>
      <c r="E4" s="4">
        <v>192.55501699999999</v>
      </c>
      <c r="F4" s="2">
        <v>120.07904000000001</v>
      </c>
      <c r="G4" s="2">
        <v>57.129185</v>
      </c>
    </row>
    <row r="5" spans="1:7">
      <c r="A5" s="1">
        <v>3</v>
      </c>
      <c r="B5" s="7">
        <v>4.7500000000000001E-2</v>
      </c>
      <c r="C5" s="2">
        <v>8857.1110000000008</v>
      </c>
      <c r="D5" s="2">
        <v>45</v>
      </c>
      <c r="E5" s="4">
        <v>196.82468900000001</v>
      </c>
      <c r="F5" s="2">
        <v>157.26190800000001</v>
      </c>
      <c r="G5" s="2">
        <v>11.182204</v>
      </c>
    </row>
    <row r="6" spans="1:7">
      <c r="A6" s="1">
        <v>4</v>
      </c>
      <c r="B6" s="7">
        <v>0.114</v>
      </c>
      <c r="C6" s="2">
        <v>24271.597000000002</v>
      </c>
      <c r="D6" s="2">
        <v>136</v>
      </c>
      <c r="E6" s="4">
        <v>178.467625</v>
      </c>
      <c r="F6" s="2">
        <v>143.379818</v>
      </c>
      <c r="G6" s="2">
        <v>30.643169</v>
      </c>
    </row>
    <row r="7" spans="1:7">
      <c r="A7" s="1">
        <v>5</v>
      </c>
      <c r="B7" s="7">
        <v>1.09E-2</v>
      </c>
      <c r="C7" s="2">
        <v>0.47599999999999998</v>
      </c>
      <c r="D7" s="2">
        <v>15</v>
      </c>
      <c r="E7" s="4">
        <v>3.1732999999999997E-2</v>
      </c>
      <c r="F7" s="2">
        <v>2.5003999999999998E-2</v>
      </c>
      <c r="G7" s="2">
        <v>6.0099999999999997E-4</v>
      </c>
    </row>
    <row r="8" spans="1:7">
      <c r="B8" s="8"/>
      <c r="E8" s="10">
        <f>SUMPRODUCT(B3:B7,E3:E7)</f>
        <v>73.819725271400003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915.39800000000002</v>
      </c>
      <c r="D12" s="3">
        <v>586</v>
      </c>
      <c r="E12" s="5">
        <v>1.5621130000000001</v>
      </c>
      <c r="F12" s="3">
        <v>1.3263879999999999</v>
      </c>
      <c r="G12" s="3">
        <v>12.084562999999999</v>
      </c>
    </row>
    <row r="13" spans="1:7">
      <c r="A13" s="1">
        <v>2</v>
      </c>
      <c r="B13" s="7">
        <v>0.22459999999999999</v>
      </c>
      <c r="C13" s="2">
        <v>2855.54</v>
      </c>
      <c r="D13" s="3">
        <v>248</v>
      </c>
      <c r="E13" s="5">
        <v>11.514274</v>
      </c>
      <c r="F13" s="3">
        <v>7.6724079999999999</v>
      </c>
      <c r="G13" s="3">
        <v>37.697211000000003</v>
      </c>
    </row>
    <row r="14" spans="1:7">
      <c r="A14" s="1">
        <v>3</v>
      </c>
      <c r="B14" s="7">
        <v>4.7500000000000001E-2</v>
      </c>
      <c r="C14" s="2">
        <v>1130.3620000000001</v>
      </c>
      <c r="D14" s="3">
        <v>42</v>
      </c>
      <c r="E14" s="5">
        <v>26.913381000000001</v>
      </c>
      <c r="F14" s="3">
        <v>20.521536999999999</v>
      </c>
      <c r="G14" s="3">
        <v>14.922395</v>
      </c>
    </row>
    <row r="15" spans="1:7">
      <c r="A15" s="1">
        <v>4</v>
      </c>
      <c r="B15" s="7">
        <v>0.114</v>
      </c>
      <c r="C15" s="2">
        <v>2672.6379999999999</v>
      </c>
      <c r="D15" s="3">
        <v>110</v>
      </c>
      <c r="E15" s="5">
        <v>24.296709</v>
      </c>
      <c r="F15" s="3">
        <v>19.526899</v>
      </c>
      <c r="G15" s="3">
        <v>35.282643</v>
      </c>
    </row>
    <row r="16" spans="1:7">
      <c r="A16" s="1">
        <v>5</v>
      </c>
      <c r="B16" s="7">
        <v>1.09E-2</v>
      </c>
      <c r="C16" s="2">
        <v>0.999</v>
      </c>
      <c r="D16" s="3">
        <v>14</v>
      </c>
      <c r="E16" s="5">
        <v>7.1357000000000004E-2</v>
      </c>
      <c r="F16" s="3">
        <v>3.7962999999999997E-2</v>
      </c>
      <c r="G16" s="3">
        <v>1.3188E-2</v>
      </c>
    </row>
    <row r="17" spans="1:23">
      <c r="B17" s="8"/>
      <c r="E17" s="10">
        <f>SUMPRODUCT(B12:B16,E12:E16)</f>
        <v>7.5770482941999999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1715.498</v>
      </c>
      <c r="D21" s="2">
        <v>1901</v>
      </c>
      <c r="E21" s="2">
        <v>9.0241899999999992E-7</v>
      </c>
      <c r="F21" s="2">
        <v>1.0240130000000001</v>
      </c>
      <c r="G21" s="2">
        <v>1.5064100000000001E-7</v>
      </c>
      <c r="I21" s="1">
        <v>1</v>
      </c>
      <c r="J21" s="7">
        <v>0.1066</v>
      </c>
      <c r="K21" s="2">
        <v>4060.7649999999999</v>
      </c>
      <c r="L21" s="2">
        <v>1935</v>
      </c>
      <c r="M21" s="2">
        <v>2.0985870000000002</v>
      </c>
      <c r="N21" s="2">
        <v>1.3372850000000001</v>
      </c>
      <c r="O21" s="2">
        <v>11.015605000000001</v>
      </c>
    </row>
    <row r="22" spans="1:23">
      <c r="A22" s="1">
        <v>2</v>
      </c>
      <c r="B22" s="7">
        <v>1.3299999999999999E-2</v>
      </c>
      <c r="C22" s="2">
        <v>2220.5770000000002</v>
      </c>
      <c r="D22" s="2">
        <v>251</v>
      </c>
      <c r="E22" s="2">
        <v>8.8469200000000008</v>
      </c>
      <c r="F22" s="2">
        <v>6.5103419999999996</v>
      </c>
      <c r="G22" s="2">
        <v>1.94993E-7</v>
      </c>
      <c r="I22" s="1">
        <v>2</v>
      </c>
      <c r="J22" s="7">
        <v>1.3299999999999999E-2</v>
      </c>
      <c r="K22" s="2">
        <v>3572.9229999999998</v>
      </c>
      <c r="L22" s="2">
        <v>262</v>
      </c>
      <c r="M22" s="2">
        <v>13.637111000000001</v>
      </c>
      <c r="N22" s="2">
        <v>7.656898</v>
      </c>
      <c r="O22" s="2">
        <v>9.69224</v>
      </c>
    </row>
    <row r="23" spans="1:23">
      <c r="A23" s="1">
        <v>3</v>
      </c>
      <c r="B23" s="7">
        <v>0.14130000000000001</v>
      </c>
      <c r="C23" s="2">
        <v>1132941.7520000001</v>
      </c>
      <c r="D23" s="2">
        <v>2521</v>
      </c>
      <c r="E23" s="2">
        <v>449.401726</v>
      </c>
      <c r="F23" s="2">
        <v>250.91588200000001</v>
      </c>
      <c r="G23" s="2">
        <v>99.485776000000001</v>
      </c>
      <c r="I23" s="1">
        <v>3</v>
      </c>
      <c r="J23" s="7">
        <v>0.14130000000000001</v>
      </c>
      <c r="K23" s="2">
        <v>18876.531999999999</v>
      </c>
      <c r="L23" s="2">
        <v>2574</v>
      </c>
      <c r="M23" s="2">
        <v>7.3335400000000002</v>
      </c>
      <c r="N23" s="2">
        <v>3.696383</v>
      </c>
      <c r="O23" s="2">
        <v>51.206220000000002</v>
      </c>
    </row>
    <row r="24" spans="1:23">
      <c r="A24" s="1">
        <v>4</v>
      </c>
      <c r="B24" s="7">
        <v>5.4699999999999999E-2</v>
      </c>
      <c r="C24" s="2">
        <v>41.125</v>
      </c>
      <c r="D24" s="2">
        <v>982</v>
      </c>
      <c r="E24" s="2">
        <v>4.1879000000000001E-8</v>
      </c>
      <c r="F24" s="2">
        <v>2.9314E-8</v>
      </c>
      <c r="G24" s="2">
        <v>3.611E-9</v>
      </c>
      <c r="I24" s="1">
        <v>4</v>
      </c>
      <c r="J24" s="7">
        <v>5.4699999999999999E-2</v>
      </c>
      <c r="K24" s="2">
        <v>62.694000000000003</v>
      </c>
      <c r="L24" s="2">
        <v>970</v>
      </c>
      <c r="M24" s="2">
        <v>6.4632999999999994E-8</v>
      </c>
      <c r="N24" s="2">
        <v>5.6754299999999999E-7</v>
      </c>
      <c r="O24" s="2">
        <v>1.7006999999999999E-7</v>
      </c>
    </row>
    <row r="25" spans="1:23">
      <c r="A25" s="1">
        <v>5</v>
      </c>
      <c r="B25" s="7">
        <v>4.6800000000000001E-2</v>
      </c>
      <c r="C25" s="2">
        <v>23</v>
      </c>
      <c r="D25" s="2">
        <v>861</v>
      </c>
      <c r="E25" s="2">
        <v>2.6712999999999999E-8</v>
      </c>
      <c r="F25" s="2">
        <v>2.0211999999999999E-8</v>
      </c>
      <c r="G25" s="2">
        <v>2.0200000000000001E-9</v>
      </c>
      <c r="I25" s="1">
        <v>5</v>
      </c>
      <c r="J25" s="7">
        <v>4.6800000000000001E-2</v>
      </c>
      <c r="K25" s="2">
        <v>589.89200000000005</v>
      </c>
      <c r="L25" s="2">
        <v>774</v>
      </c>
      <c r="M25" s="2">
        <v>7.6213399999999996E-7</v>
      </c>
      <c r="N25" s="2">
        <v>5.5340480000000003</v>
      </c>
      <c r="O25" s="2">
        <v>1.600195</v>
      </c>
    </row>
    <row r="26" spans="1:23">
      <c r="A26" s="1">
        <v>6</v>
      </c>
      <c r="B26" s="7">
        <v>0.10780000000000001</v>
      </c>
      <c r="C26" s="2">
        <v>227.59</v>
      </c>
      <c r="D26" s="2">
        <v>1873</v>
      </c>
      <c r="E26" s="2">
        <v>1.2151099999999998E-7</v>
      </c>
      <c r="F26" s="2">
        <v>1.5622700000000001E-7</v>
      </c>
      <c r="G26" s="2">
        <v>1.9985E-8</v>
      </c>
      <c r="I26" s="1">
        <v>6</v>
      </c>
      <c r="J26" s="7">
        <v>0.10780000000000001</v>
      </c>
      <c r="K26" s="2">
        <v>3366.0360000000001</v>
      </c>
      <c r="L26" s="2">
        <v>1923</v>
      </c>
      <c r="M26" s="2">
        <v>1.7504090000000001</v>
      </c>
      <c r="N26" s="2">
        <v>13.801484</v>
      </c>
      <c r="O26" s="2">
        <v>9.1310190000000002</v>
      </c>
    </row>
    <row r="27" spans="1:23">
      <c r="A27" s="1">
        <v>7</v>
      </c>
      <c r="B27" s="7">
        <v>3.49E-2</v>
      </c>
      <c r="C27" s="2">
        <v>17.433</v>
      </c>
      <c r="D27" s="2">
        <v>617</v>
      </c>
      <c r="E27" s="2">
        <v>2.8254000000000003E-8</v>
      </c>
      <c r="F27" s="2">
        <v>2.1226999999999999E-8</v>
      </c>
      <c r="G27" s="2">
        <v>1.531E-9</v>
      </c>
      <c r="I27" s="1">
        <v>7</v>
      </c>
      <c r="J27" s="7">
        <v>3.49E-2</v>
      </c>
      <c r="K27" s="2">
        <v>2997.01</v>
      </c>
      <c r="L27" s="2">
        <v>601</v>
      </c>
      <c r="M27" s="2">
        <v>4.9867049999999997</v>
      </c>
      <c r="N27" s="2">
        <v>44.382409000000003</v>
      </c>
      <c r="O27" s="2">
        <v>8.1299659999999996</v>
      </c>
    </row>
    <row r="28" spans="1:23">
      <c r="A28" s="1">
        <v>8</v>
      </c>
      <c r="B28" s="7">
        <v>2.63E-2</v>
      </c>
      <c r="C28" s="2">
        <v>12.48</v>
      </c>
      <c r="D28" s="2">
        <v>498</v>
      </c>
      <c r="E28" s="2">
        <v>2.5059999999999997E-8</v>
      </c>
      <c r="F28" s="2">
        <v>1.7746000000000002E-8</v>
      </c>
      <c r="G28" s="2">
        <v>1.0959999999999999E-9</v>
      </c>
      <c r="I28" s="1">
        <v>8</v>
      </c>
      <c r="J28" s="7">
        <v>2.63E-2</v>
      </c>
      <c r="K28" s="2">
        <v>41.177</v>
      </c>
      <c r="L28" s="2">
        <v>464</v>
      </c>
      <c r="M28" s="2">
        <v>8.8744000000000004E-8</v>
      </c>
      <c r="N28" s="2">
        <v>5.5640799999999999E-7</v>
      </c>
      <c r="O28" s="2">
        <v>1.1170099999999999E-7</v>
      </c>
    </row>
    <row r="29" spans="1:23">
      <c r="A29" s="1">
        <v>9</v>
      </c>
      <c r="B29" s="7">
        <v>2.7300000000000001E-2</v>
      </c>
      <c r="C29" s="2">
        <v>1598.268</v>
      </c>
      <c r="D29" s="2">
        <v>496</v>
      </c>
      <c r="E29" s="2">
        <v>3.222315</v>
      </c>
      <c r="F29" s="2">
        <v>2.479346</v>
      </c>
      <c r="G29" s="2">
        <v>1.4034700000000001E-7</v>
      </c>
      <c r="I29" s="1">
        <v>9</v>
      </c>
      <c r="J29" s="7">
        <v>2.7300000000000001E-2</v>
      </c>
      <c r="K29" s="2">
        <v>3296.7190000000001</v>
      </c>
      <c r="L29" s="2">
        <v>497</v>
      </c>
      <c r="M29" s="2">
        <v>6.6332370000000003</v>
      </c>
      <c r="N29" s="2">
        <v>2.8590840000000002</v>
      </c>
      <c r="O29" s="2">
        <v>8.9429839999999992</v>
      </c>
    </row>
    <row r="30" spans="1:23">
      <c r="B30" s="8"/>
      <c r="E30" s="10">
        <f>SUMPRODUCT(B21:B29,E21:E29)</f>
        <v>63.706097233782849</v>
      </c>
      <c r="M30" s="10">
        <f>SUMPRODUCT(J21:J29,M21:M29)</f>
        <v>1.9851296588372636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7086.8249999999998</v>
      </c>
      <c r="D34" s="2">
        <v>794</v>
      </c>
      <c r="E34" s="2">
        <v>8.9254719999999992</v>
      </c>
      <c r="F34" s="2">
        <v>7.0637569999999998</v>
      </c>
      <c r="G34" s="2">
        <v>1.13449E-7</v>
      </c>
      <c r="I34" s="1">
        <v>1</v>
      </c>
      <c r="J34" s="7">
        <v>7.9299999999999995E-2</v>
      </c>
      <c r="K34" s="2">
        <v>292597.20199999999</v>
      </c>
      <c r="L34" s="2">
        <v>846</v>
      </c>
      <c r="M34" s="2">
        <v>345.859577</v>
      </c>
      <c r="N34" s="2">
        <v>48.309655999999997</v>
      </c>
      <c r="O34" s="2">
        <v>10.109639</v>
      </c>
      <c r="Q34" s="1">
        <v>1</v>
      </c>
      <c r="R34" s="7">
        <v>7.9299999999999995E-2</v>
      </c>
      <c r="S34">
        <v>10102.714</v>
      </c>
      <c r="T34">
        <v>822</v>
      </c>
      <c r="U34">
        <v>12.290406000000001</v>
      </c>
      <c r="V34">
        <v>8.4700290000000003</v>
      </c>
      <c r="W34">
        <v>1.364325</v>
      </c>
    </row>
    <row r="35" spans="1:23">
      <c r="A35" s="1">
        <v>2</v>
      </c>
      <c r="B35" s="7">
        <v>6.1600000000000002E-2</v>
      </c>
      <c r="C35" s="2">
        <v>535.41700000000003</v>
      </c>
      <c r="D35" s="2">
        <v>616</v>
      </c>
      <c r="E35" s="2">
        <v>8.6918300000000003E-7</v>
      </c>
      <c r="F35" s="2">
        <v>9.3168600000000005E-7</v>
      </c>
      <c r="G35" s="2">
        <v>8.5710000000000011E-9</v>
      </c>
      <c r="I35" s="1">
        <v>2</v>
      </c>
      <c r="J35" s="7">
        <v>6.1600000000000002E-2</v>
      </c>
      <c r="K35" s="2">
        <v>254.613</v>
      </c>
      <c r="L35" s="2">
        <v>607</v>
      </c>
      <c r="M35" s="2">
        <v>4.1946099999999995E-7</v>
      </c>
      <c r="N35" s="2">
        <v>4.5815200000000001E-7</v>
      </c>
      <c r="O35" s="2">
        <v>8.7969999999999993E-9</v>
      </c>
      <c r="Q35" s="1">
        <v>2</v>
      </c>
      <c r="R35" s="7">
        <v>6.1600000000000002E-2</v>
      </c>
      <c r="S35">
        <v>733.52099999999996</v>
      </c>
      <c r="T35">
        <v>608</v>
      </c>
      <c r="U35">
        <v>1.2064490000000001</v>
      </c>
      <c r="V35">
        <v>1.443203</v>
      </c>
      <c r="W35">
        <v>9.9059E-8</v>
      </c>
    </row>
    <row r="36" spans="1:23">
      <c r="A36" s="1">
        <v>3</v>
      </c>
      <c r="B36" s="7">
        <v>9.0300000000000005E-2</v>
      </c>
      <c r="C36" s="2">
        <v>112051.011</v>
      </c>
      <c r="D36" s="2">
        <v>956</v>
      </c>
      <c r="E36" s="2">
        <v>117.20817099999999</v>
      </c>
      <c r="F36" s="2">
        <v>163.155598</v>
      </c>
      <c r="G36" s="2">
        <v>1.7937620000000001</v>
      </c>
      <c r="I36" s="1">
        <v>3</v>
      </c>
      <c r="J36" s="7">
        <v>9.0300000000000005E-2</v>
      </c>
      <c r="K36" s="2">
        <v>6078.9939999999997</v>
      </c>
      <c r="L36" s="2">
        <v>954</v>
      </c>
      <c r="M36" s="2">
        <v>6.3721110000000003</v>
      </c>
      <c r="N36" s="2">
        <v>6.0734680000000001</v>
      </c>
      <c r="O36" s="2">
        <v>2.1003799999999999E-7</v>
      </c>
      <c r="Q36" s="1">
        <v>3</v>
      </c>
      <c r="R36" s="7">
        <v>9.0300000000000005E-2</v>
      </c>
      <c r="S36">
        <v>46837.082999999999</v>
      </c>
      <c r="T36">
        <v>863</v>
      </c>
      <c r="U36">
        <v>54.272402</v>
      </c>
      <c r="V36">
        <v>69.290690999999995</v>
      </c>
      <c r="W36">
        <v>6.325132</v>
      </c>
    </row>
    <row r="37" spans="1:23">
      <c r="A37" s="1">
        <v>4</v>
      </c>
      <c r="B37" s="7">
        <v>7.6700000000000004E-2</v>
      </c>
      <c r="C37" s="2">
        <v>426870.788</v>
      </c>
      <c r="D37" s="2">
        <v>803</v>
      </c>
      <c r="E37" s="2">
        <v>531.59500400000002</v>
      </c>
      <c r="F37" s="2">
        <v>213.16259099999999</v>
      </c>
      <c r="G37" s="2">
        <v>6.8335359999999996</v>
      </c>
      <c r="I37" s="1">
        <v>4</v>
      </c>
      <c r="J37" s="7">
        <v>7.6700000000000004E-2</v>
      </c>
      <c r="K37" s="2">
        <v>99561.641000000003</v>
      </c>
      <c r="L37" s="2">
        <v>807</v>
      </c>
      <c r="M37" s="2">
        <v>123.372542</v>
      </c>
      <c r="N37" s="2">
        <v>296.18137200000001</v>
      </c>
      <c r="O37" s="2">
        <v>3.4399929999999999</v>
      </c>
      <c r="Q37" s="1">
        <v>4</v>
      </c>
      <c r="R37" s="7">
        <v>7.6700000000000004E-2</v>
      </c>
      <c r="S37">
        <v>3620.0160000000001</v>
      </c>
      <c r="T37">
        <v>829</v>
      </c>
      <c r="U37">
        <v>4.3667259999999999</v>
      </c>
      <c r="V37">
        <v>9.7993369999999995</v>
      </c>
      <c r="W37">
        <v>4.88866E-7</v>
      </c>
    </row>
    <row r="38" spans="1:23">
      <c r="A38" s="1">
        <v>5</v>
      </c>
      <c r="B38" s="7">
        <v>1.4200000000000001E-2</v>
      </c>
      <c r="C38" s="2">
        <v>4.931</v>
      </c>
      <c r="D38" s="2">
        <v>139</v>
      </c>
      <c r="E38" s="2">
        <v>3.5474999999999998E-8</v>
      </c>
      <c r="F38" s="2">
        <v>2.7178E-8</v>
      </c>
      <c r="G38" s="2">
        <v>7.8999999999999999E-11</v>
      </c>
      <c r="I38" s="1">
        <v>5</v>
      </c>
      <c r="J38" s="7">
        <v>1.4200000000000001E-2</v>
      </c>
      <c r="K38" s="2">
        <v>5.3159999999999998</v>
      </c>
      <c r="L38" s="2">
        <v>142</v>
      </c>
      <c r="M38" s="2">
        <v>3.7437E-8</v>
      </c>
      <c r="N38" s="2">
        <v>2.3383999999999999E-8</v>
      </c>
      <c r="O38" s="2">
        <v>1.8400000000000001E-10</v>
      </c>
      <c r="Q38" s="1">
        <v>5</v>
      </c>
      <c r="R38" s="7">
        <v>1.4200000000000001E-2</v>
      </c>
      <c r="S38">
        <v>3.4289999999999998</v>
      </c>
      <c r="T38">
        <v>148</v>
      </c>
      <c r="U38">
        <v>2.3168999999999997E-8</v>
      </c>
      <c r="V38">
        <v>1.6193999999999999E-8</v>
      </c>
      <c r="W38">
        <v>4.63E-10</v>
      </c>
    </row>
    <row r="39" spans="1:23">
      <c r="A39" s="1">
        <v>6</v>
      </c>
      <c r="B39" s="7">
        <v>0.38009999999999999</v>
      </c>
      <c r="C39" s="2">
        <v>636.73699999999997</v>
      </c>
      <c r="D39" s="2">
        <v>3886</v>
      </c>
      <c r="E39" s="2">
        <v>1.6385400000000001E-7</v>
      </c>
      <c r="F39" s="2">
        <v>1.6594600000000002E-7</v>
      </c>
      <c r="G39" s="2">
        <v>1.0193000000000001E-8</v>
      </c>
      <c r="I39" s="1">
        <v>6</v>
      </c>
      <c r="J39" s="7">
        <v>0.38009999999999999</v>
      </c>
      <c r="K39" s="2">
        <v>757.43399999999997</v>
      </c>
      <c r="L39" s="2">
        <v>3964</v>
      </c>
      <c r="M39" s="2">
        <v>1.9107799999999999E-7</v>
      </c>
      <c r="N39" s="2">
        <v>1.6928299999999999E-7</v>
      </c>
      <c r="O39" s="2">
        <v>2.6169999999999999E-8</v>
      </c>
      <c r="Q39" s="1">
        <v>6</v>
      </c>
      <c r="R39" s="7">
        <v>0.38009999999999999</v>
      </c>
      <c r="S39">
        <v>938.97500000000002</v>
      </c>
      <c r="T39">
        <v>4079</v>
      </c>
      <c r="U39">
        <v>2.3019700000000001E-7</v>
      </c>
      <c r="V39">
        <v>1.7263400000000001E-7</v>
      </c>
      <c r="W39">
        <v>1.26804E-7</v>
      </c>
    </row>
    <row r="40" spans="1:23">
      <c r="A40" s="1">
        <v>7</v>
      </c>
      <c r="B40" s="7">
        <v>4.53E-2</v>
      </c>
      <c r="C40" s="2">
        <v>4786249.92</v>
      </c>
      <c r="D40" s="2">
        <v>483</v>
      </c>
      <c r="E40" s="2">
        <v>9909.4201240000002</v>
      </c>
      <c r="F40" s="2">
        <v>4050.822917</v>
      </c>
      <c r="G40" s="2">
        <v>76.620407</v>
      </c>
      <c r="I40" s="1">
        <v>7</v>
      </c>
      <c r="J40" s="7">
        <v>4.53E-2</v>
      </c>
      <c r="K40" s="2">
        <v>1812630.284</v>
      </c>
      <c r="L40" s="2">
        <v>496</v>
      </c>
      <c r="M40" s="2">
        <v>3654.4965400000001</v>
      </c>
      <c r="N40" s="2">
        <v>1364.9548030000001</v>
      </c>
      <c r="O40" s="2">
        <v>62.628891000000003</v>
      </c>
      <c r="Q40" s="1">
        <v>7</v>
      </c>
      <c r="R40" s="7">
        <v>4.53E-2</v>
      </c>
      <c r="S40">
        <v>254725.171</v>
      </c>
      <c r="T40">
        <v>463</v>
      </c>
      <c r="U40">
        <v>550.16235600000005</v>
      </c>
      <c r="V40">
        <v>983.88583200000005</v>
      </c>
      <c r="W40">
        <v>34.399461000000002</v>
      </c>
    </row>
    <row r="41" spans="1:23">
      <c r="A41" s="1">
        <v>8</v>
      </c>
      <c r="B41" s="7">
        <v>8.2000000000000003E-2</v>
      </c>
      <c r="C41" s="2">
        <v>173.809</v>
      </c>
      <c r="D41" s="2">
        <v>895</v>
      </c>
      <c r="E41" s="2">
        <v>1.9420000000000001E-7</v>
      </c>
      <c r="F41" s="2">
        <v>2.08083E-7</v>
      </c>
      <c r="G41" s="2">
        <v>2.7820000000000001E-9</v>
      </c>
      <c r="I41" s="1">
        <v>8</v>
      </c>
      <c r="J41" s="7">
        <v>8.2000000000000003E-2</v>
      </c>
      <c r="K41" s="2">
        <v>153.70699999999999</v>
      </c>
      <c r="L41" s="2">
        <v>902</v>
      </c>
      <c r="M41" s="2">
        <v>1.70407E-7</v>
      </c>
      <c r="N41" s="2">
        <v>1.5755E-7</v>
      </c>
      <c r="O41" s="2">
        <v>5.3109999999999995E-9</v>
      </c>
      <c r="Q41" s="1">
        <v>8</v>
      </c>
      <c r="R41" s="7">
        <v>8.2000000000000003E-2</v>
      </c>
      <c r="S41">
        <v>183.233</v>
      </c>
      <c r="T41">
        <v>858</v>
      </c>
      <c r="U41">
        <v>2.1355799999999999E-7</v>
      </c>
      <c r="V41">
        <v>1.8099199999999998E-7</v>
      </c>
      <c r="W41">
        <v>2.4745000000000001E-8</v>
      </c>
    </row>
    <row r="42" spans="1:23">
      <c r="A42" s="1">
        <v>9</v>
      </c>
      <c r="B42" s="7">
        <v>6.1000000000000004E-3</v>
      </c>
      <c r="C42" s="2">
        <v>118452.363</v>
      </c>
      <c r="D42" s="2">
        <v>72</v>
      </c>
      <c r="E42" s="2">
        <v>1645.1717080000001</v>
      </c>
      <c r="F42" s="2">
        <v>498.36442199999999</v>
      </c>
      <c r="G42" s="2">
        <v>1.8962380000000001</v>
      </c>
      <c r="I42" s="1">
        <v>9</v>
      </c>
      <c r="J42" s="7">
        <v>6.1000000000000004E-3</v>
      </c>
      <c r="K42" s="2">
        <v>178472.39</v>
      </c>
      <c r="L42" s="2">
        <v>66</v>
      </c>
      <c r="M42" s="2">
        <v>2704.127121</v>
      </c>
      <c r="N42" s="2">
        <v>1089.722935</v>
      </c>
      <c r="O42" s="2">
        <v>6.1664690000000002</v>
      </c>
      <c r="Q42" s="1">
        <v>9</v>
      </c>
      <c r="R42" s="7">
        <v>6.1000000000000004E-3</v>
      </c>
      <c r="S42">
        <v>3393.6550000000002</v>
      </c>
      <c r="T42">
        <v>62</v>
      </c>
      <c r="U42" s="2">
        <v>54.736370999999998</v>
      </c>
      <c r="V42">
        <v>99.199455</v>
      </c>
      <c r="W42">
        <v>4.5829699999999999E-7</v>
      </c>
    </row>
    <row r="43" spans="1:23">
      <c r="A43" s="1">
        <v>10</v>
      </c>
      <c r="B43" s="7">
        <v>5.4999999999999997E-3</v>
      </c>
      <c r="C43" s="2">
        <v>116362.038</v>
      </c>
      <c r="D43" s="2">
        <v>70</v>
      </c>
      <c r="E43" s="2">
        <v>1662.3148289999999</v>
      </c>
      <c r="F43" s="2">
        <v>480.93154500000003</v>
      </c>
      <c r="G43" s="2">
        <v>1.8627750000000001</v>
      </c>
      <c r="I43" s="1">
        <v>10</v>
      </c>
      <c r="J43" s="7">
        <v>5.4999999999999997E-3</v>
      </c>
      <c r="K43" s="2">
        <v>151989.21299999999</v>
      </c>
      <c r="L43" s="2">
        <v>56</v>
      </c>
      <c r="M43" s="2">
        <v>2714.093089</v>
      </c>
      <c r="N43" s="2">
        <v>864.30380500000001</v>
      </c>
      <c r="O43" s="2">
        <v>5.2514380000000003</v>
      </c>
      <c r="Q43" s="1">
        <v>10</v>
      </c>
      <c r="R43" s="7">
        <v>5.4999999999999997E-3</v>
      </c>
      <c r="S43">
        <v>2795.0509999999999</v>
      </c>
      <c r="T43">
        <v>65</v>
      </c>
      <c r="U43">
        <v>43.000785</v>
      </c>
      <c r="V43">
        <v>19.369022999999999</v>
      </c>
      <c r="W43">
        <v>3.7745899999999997E-7</v>
      </c>
    </row>
    <row r="44" spans="1:23">
      <c r="A44" s="1">
        <v>11</v>
      </c>
      <c r="B44" s="7">
        <v>9.7000000000000003E-3</v>
      </c>
      <c r="C44" s="2">
        <v>83629.521999999997</v>
      </c>
      <c r="D44" s="2">
        <v>102</v>
      </c>
      <c r="E44" s="2">
        <v>819.89727500000004</v>
      </c>
      <c r="F44" s="2">
        <v>14.50006</v>
      </c>
      <c r="G44" s="2">
        <v>1.338778</v>
      </c>
      <c r="I44" s="1">
        <v>11</v>
      </c>
      <c r="J44" s="7">
        <v>9.7000000000000003E-3</v>
      </c>
      <c r="K44" s="2">
        <v>28401.687000000002</v>
      </c>
      <c r="L44" s="2">
        <v>86</v>
      </c>
      <c r="M44" s="2">
        <v>330.25217400000002</v>
      </c>
      <c r="N44" s="2">
        <v>12.928972</v>
      </c>
      <c r="O44" s="2">
        <v>9.8131800000000011E-7</v>
      </c>
      <c r="Q44" s="1">
        <v>11</v>
      </c>
      <c r="R44" s="7">
        <v>9.7000000000000003E-3</v>
      </c>
      <c r="S44">
        <v>672.20699999999999</v>
      </c>
      <c r="T44">
        <v>101</v>
      </c>
      <c r="U44">
        <v>6.6555150000000003</v>
      </c>
      <c r="V44">
        <v>4.3190879999999998</v>
      </c>
      <c r="W44">
        <v>9.0777999999999994E-8</v>
      </c>
    </row>
    <row r="45" spans="1:23">
      <c r="A45" s="1">
        <v>12</v>
      </c>
      <c r="B45" s="7">
        <v>6.1999999999999998E-3</v>
      </c>
      <c r="C45" s="2">
        <v>101664.01300000001</v>
      </c>
      <c r="D45" s="2">
        <v>64</v>
      </c>
      <c r="E45" s="2">
        <v>1588.5002030000001</v>
      </c>
      <c r="F45" s="2">
        <v>517.03240700000003</v>
      </c>
      <c r="G45" s="2">
        <v>1.627483</v>
      </c>
      <c r="I45" s="1">
        <v>12</v>
      </c>
      <c r="J45" s="7">
        <v>6.1999999999999998E-3</v>
      </c>
      <c r="K45" s="2">
        <v>171736.848</v>
      </c>
      <c r="L45" s="2">
        <v>68</v>
      </c>
      <c r="M45" s="2">
        <v>2525.541882</v>
      </c>
      <c r="N45" s="2">
        <v>510.99542000000002</v>
      </c>
      <c r="O45" s="2">
        <v>5.9337460000000002</v>
      </c>
      <c r="Q45" s="1">
        <v>12</v>
      </c>
      <c r="R45" s="7">
        <v>6.1999999999999998E-3</v>
      </c>
      <c r="S45">
        <v>4781.982</v>
      </c>
      <c r="T45">
        <v>70</v>
      </c>
      <c r="U45">
        <v>68.314029000000005</v>
      </c>
      <c r="V45">
        <v>12.51304</v>
      </c>
      <c r="W45">
        <v>6.4578500000000004E-7</v>
      </c>
    </row>
    <row r="46" spans="1:23">
      <c r="A46" s="1">
        <v>13</v>
      </c>
      <c r="B46" s="7">
        <v>6.1000000000000004E-3</v>
      </c>
      <c r="C46" s="2">
        <v>484645.576</v>
      </c>
      <c r="D46" s="2">
        <v>91</v>
      </c>
      <c r="E46" s="2">
        <v>5325.77556</v>
      </c>
      <c r="F46" s="2">
        <v>1694.139874</v>
      </c>
      <c r="G46" s="2">
        <v>7.7584210000000002</v>
      </c>
      <c r="I46" s="1">
        <v>13</v>
      </c>
      <c r="J46" s="7">
        <v>6.1000000000000004E-3</v>
      </c>
      <c r="K46" s="2">
        <v>143296.30600000001</v>
      </c>
      <c r="L46" s="2">
        <v>56</v>
      </c>
      <c r="M46" s="2">
        <v>2558.862607</v>
      </c>
      <c r="N46" s="2">
        <v>466.26275900000002</v>
      </c>
      <c r="O46" s="2">
        <v>4.9510860000000001</v>
      </c>
      <c r="Q46" s="1">
        <v>13</v>
      </c>
      <c r="R46" s="7">
        <v>6.1000000000000004E-3</v>
      </c>
      <c r="S46">
        <v>406167.18300000002</v>
      </c>
      <c r="T46">
        <v>73</v>
      </c>
      <c r="U46">
        <v>5563.9340140000004</v>
      </c>
      <c r="V46">
        <v>19783.101938</v>
      </c>
      <c r="W46">
        <v>54.851007000000003</v>
      </c>
    </row>
    <row r="47" spans="1:23">
      <c r="A47" s="1">
        <v>14</v>
      </c>
      <c r="B47" s="7">
        <v>1.6199999999999999E-2</v>
      </c>
      <c r="C47" s="2">
        <v>1029.6790000000001</v>
      </c>
      <c r="D47" s="2">
        <v>165</v>
      </c>
      <c r="E47" s="2">
        <v>6.2404789999999997</v>
      </c>
      <c r="F47" s="2">
        <v>5.4604229999999996</v>
      </c>
      <c r="G47" s="2">
        <v>1.6483999999999997E-8</v>
      </c>
      <c r="I47" s="1">
        <v>14</v>
      </c>
      <c r="J47" s="7">
        <v>1.6199999999999999E-2</v>
      </c>
      <c r="K47" s="2">
        <v>952.86699999999996</v>
      </c>
      <c r="L47" s="2">
        <v>152</v>
      </c>
      <c r="M47" s="2">
        <v>6.2688620000000004</v>
      </c>
      <c r="N47" s="2">
        <v>5.4402020000000002</v>
      </c>
      <c r="O47" s="2">
        <v>3.2923000000000003E-8</v>
      </c>
      <c r="Q47" s="1">
        <v>14</v>
      </c>
      <c r="R47" s="7">
        <v>1.6199999999999999E-2</v>
      </c>
      <c r="S47">
        <v>74.179000000000002</v>
      </c>
      <c r="T47">
        <v>159</v>
      </c>
      <c r="U47">
        <v>4.6653499999999996E-7</v>
      </c>
      <c r="V47">
        <v>7.9882900000000004E-7</v>
      </c>
      <c r="W47">
        <v>1.0018000000000001E-8</v>
      </c>
    </row>
    <row r="48" spans="1:23">
      <c r="A48" s="1">
        <v>15</v>
      </c>
      <c r="B48" s="7">
        <v>7.6899999999999996E-2</v>
      </c>
      <c r="C48" s="2">
        <v>7311.26</v>
      </c>
      <c r="D48" s="2">
        <v>864</v>
      </c>
      <c r="E48" s="2">
        <v>8.4621060000000003</v>
      </c>
      <c r="F48" s="2">
        <v>5.9198690000000003</v>
      </c>
      <c r="G48" s="2">
        <v>1.17042E-7</v>
      </c>
      <c r="I48" s="1">
        <v>15</v>
      </c>
      <c r="J48" s="7">
        <v>7.6899999999999996E-2</v>
      </c>
      <c r="K48" s="2">
        <v>7351.2960000000003</v>
      </c>
      <c r="L48" s="2">
        <v>798</v>
      </c>
      <c r="M48" s="2">
        <v>9.2121499999999994</v>
      </c>
      <c r="N48" s="2">
        <v>6.0061239999999998</v>
      </c>
      <c r="O48" s="2">
        <v>2.5399699999999999E-7</v>
      </c>
      <c r="Q48" s="1">
        <v>15</v>
      </c>
      <c r="R48" s="7">
        <v>7.6899999999999996E-2</v>
      </c>
      <c r="S48">
        <v>5463.357</v>
      </c>
      <c r="T48">
        <v>800</v>
      </c>
      <c r="U48">
        <v>6.8291959999999996</v>
      </c>
      <c r="V48">
        <v>4.8871390000000003</v>
      </c>
      <c r="W48">
        <v>7.3780100000000008E-7</v>
      </c>
    </row>
    <row r="49" spans="5:21">
      <c r="E49" s="10">
        <f>SUMPRODUCT(B34:B48,E34:E48)</f>
        <v>571.18080275875081</v>
      </c>
      <c r="M49" s="10">
        <f>SUMPRODUCT(J40:J48,M40:M48)</f>
        <v>232.25221826187337</v>
      </c>
      <c r="U49" s="10">
        <f>SUMPRODUCT(R40:R48,U40:U48)</f>
        <v>60.446019065569629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BBE08-8D6C-418A-913D-957647996473}">
  <dimension ref="A1:O24"/>
  <sheetViews>
    <sheetView zoomScale="115" zoomScaleNormal="115" workbookViewId="0">
      <selection activeCell="D4" sqref="D4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20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1x'!E30</f>
        <v>63.706097233782849</v>
      </c>
      <c r="C7" s="20">
        <f>$B7*C$3/1000</f>
        <v>637.0609723378285</v>
      </c>
      <c r="D7" s="22">
        <f>$B7*D$3/1000</f>
        <v>94866.405749354119</v>
      </c>
      <c r="E7" s="25"/>
      <c r="F7" s="21">
        <f>C7/60</f>
        <v>10.617682872297141</v>
      </c>
      <c r="G7" s="24">
        <f>D7/60</f>
        <v>1581.1067624892353</v>
      </c>
      <c r="H7" s="16"/>
      <c r="I7" s="16"/>
      <c r="J7" s="16"/>
    </row>
    <row r="8" spans="1:15">
      <c r="A8" s="12" t="s">
        <v>15</v>
      </c>
      <c r="B8" s="14">
        <f>'Query 1x'!M30</f>
        <v>1.9851296588372636</v>
      </c>
      <c r="C8" s="20">
        <f>$B8*C$3/1000</f>
        <v>19.851296588372637</v>
      </c>
      <c r="D8" s="22">
        <f>$B8*D$3/1000</f>
        <v>2956.1081883456991</v>
      </c>
      <c r="E8" s="25"/>
      <c r="F8" s="21">
        <f>C8/60</f>
        <v>0.33085494313954394</v>
      </c>
      <c r="G8" s="24">
        <f>D8/60</f>
        <v>49.268469805761654</v>
      </c>
      <c r="H8" s="16"/>
      <c r="I8" s="16"/>
      <c r="J8" s="16"/>
      <c r="K8" s="12">
        <v>55.1</v>
      </c>
      <c r="L8" s="17">
        <f>K8*$D$24</f>
        <v>678281</v>
      </c>
      <c r="M8" s="15">
        <f>L8/60</f>
        <v>11304.683333333332</v>
      </c>
      <c r="N8" s="15">
        <f>M8/60</f>
        <v>188.41138888888887</v>
      </c>
      <c r="O8" s="15">
        <f>N8/24</f>
        <v>7.8504745370370363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21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1x'!E49</f>
        <v>571.18080275875081</v>
      </c>
      <c r="C11" s="20">
        <f t="shared" ref="C11:D13" si="0">$B11*C$4/1000</f>
        <v>5711.8080275875081</v>
      </c>
      <c r="D11" s="22">
        <f t="shared" si="0"/>
        <v>2069610.8089080299</v>
      </c>
      <c r="E11" s="25"/>
      <c r="F11" s="21">
        <f t="shared" ref="F11:G13" si="1">C11/60</f>
        <v>95.196800459791802</v>
      </c>
      <c r="G11" s="24">
        <f t="shared" si="1"/>
        <v>34493.513481800495</v>
      </c>
      <c r="H11" s="24">
        <f>G11/60</f>
        <v>574.89189136334164</v>
      </c>
      <c r="I11" s="24">
        <f>H11/24</f>
        <v>23.953828806805902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1x'!M49</f>
        <v>232.25221826187337</v>
      </c>
      <c r="C12" s="20">
        <f t="shared" si="0"/>
        <v>2322.5221826187335</v>
      </c>
      <c r="D12" s="22">
        <f t="shared" si="0"/>
        <v>841540.36512788944</v>
      </c>
      <c r="E12" s="25"/>
      <c r="F12" s="21">
        <f t="shared" si="1"/>
        <v>38.708703043645556</v>
      </c>
      <c r="G12" s="24">
        <f t="shared" si="1"/>
        <v>14025.672752131492</v>
      </c>
      <c r="H12" s="24">
        <f>G12/60</f>
        <v>233.76121253552486</v>
      </c>
      <c r="I12" s="24">
        <f>H12/24</f>
        <v>9.7400505223135365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1x'!U49</f>
        <v>60.446019065569629</v>
      </c>
      <c r="C13" s="20">
        <f t="shared" si="0"/>
        <v>604.46019065569635</v>
      </c>
      <c r="D13" s="22">
        <f t="shared" si="0"/>
        <v>219019.50102199437</v>
      </c>
      <c r="E13" s="25"/>
      <c r="F13" s="21">
        <f t="shared" si="1"/>
        <v>10.074336510928273</v>
      </c>
      <c r="G13" s="24">
        <f t="shared" si="1"/>
        <v>3650.3250170332394</v>
      </c>
      <c r="H13" s="24">
        <f>G13/60</f>
        <v>60.838750283887322</v>
      </c>
      <c r="I13" s="24">
        <f>H13/24</f>
        <v>2.5349479284953049</v>
      </c>
      <c r="J13" s="16"/>
      <c r="K13" s="18">
        <v>93</v>
      </c>
      <c r="L13" s="17">
        <f>K13*$D$24</f>
        <v>1144830</v>
      </c>
      <c r="M13" s="15">
        <f>L13/60</f>
        <v>19080.5</v>
      </c>
      <c r="N13" s="15">
        <f>M13/60</f>
        <v>318.00833333333333</v>
      </c>
      <c r="O13" s="15">
        <f>N13/24</f>
        <v>13.250347222222222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100000</v>
      </c>
      <c r="D24" s="17">
        <f>B24/C24</f>
        <v>12310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24097-27B2-4865-90BD-DFB4E26E291F}">
  <dimension ref="A1:W49"/>
  <sheetViews>
    <sheetView topLeftCell="A10" zoomScaleNormal="100" workbookViewId="0">
      <selection activeCell="J14" sqref="J14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>
      <c r="B8" s="8"/>
      <c r="E8" s="10">
        <f>SUMPRODUCT(B3:B7,E3:E7)</f>
        <v>71.277345303040406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23">
      <c r="B17" s="8"/>
      <c r="E17" s="10">
        <f>SUMPRODUCT(B12:B16,E12:E16)</f>
        <v>5.4333374133213272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1250.309</v>
      </c>
      <c r="D21" s="2">
        <v>1925</v>
      </c>
      <c r="E21" s="2">
        <v>6.4951099999999997E-7</v>
      </c>
      <c r="F21" s="2">
        <v>7.1566300000000002E-7</v>
      </c>
      <c r="G21" s="2">
        <v>1.17152E-7</v>
      </c>
      <c r="I21" s="1">
        <v>1</v>
      </c>
      <c r="J21" s="7">
        <v>0.1066</v>
      </c>
      <c r="K21" s="2">
        <v>1680.96</v>
      </c>
      <c r="L21" s="2">
        <v>1947</v>
      </c>
      <c r="M21" s="2">
        <v>8.63359E-7</v>
      </c>
      <c r="N21" s="2">
        <v>5.0766799999999999E-7</v>
      </c>
      <c r="O21" s="2">
        <v>5.2059319999999998</v>
      </c>
    </row>
    <row r="22" spans="1:23">
      <c r="A22" s="1">
        <v>2</v>
      </c>
      <c r="B22" s="7">
        <v>1.3299999999999999E-2</v>
      </c>
      <c r="C22" s="2">
        <v>2465.7730000000001</v>
      </c>
      <c r="D22" s="2">
        <v>224</v>
      </c>
      <c r="E22" s="2">
        <v>11.007915000000001</v>
      </c>
      <c r="F22" s="2">
        <v>9.4221029999999999</v>
      </c>
      <c r="G22" s="2">
        <v>2.3103899999999998E-7</v>
      </c>
      <c r="I22" s="1">
        <v>2</v>
      </c>
      <c r="J22" s="7">
        <v>1.3299999999999999E-2</v>
      </c>
      <c r="K22" s="2">
        <v>4429.9830000000002</v>
      </c>
      <c r="L22" s="2">
        <v>247</v>
      </c>
      <c r="M22" s="2">
        <v>17.935154000000001</v>
      </c>
      <c r="N22" s="2">
        <v>9.336195</v>
      </c>
      <c r="O22" s="2">
        <v>13.719654999999999</v>
      </c>
    </row>
    <row r="23" spans="1:23">
      <c r="A23" s="1">
        <v>3</v>
      </c>
      <c r="B23" s="7">
        <v>0.14130000000000001</v>
      </c>
      <c r="C23" s="2">
        <v>1050905.8829999999</v>
      </c>
      <c r="D23" s="2">
        <v>2501</v>
      </c>
      <c r="E23" s="2">
        <v>420.194275</v>
      </c>
      <c r="F23" s="2">
        <v>225.007305</v>
      </c>
      <c r="G23" s="2">
        <v>98.468305000000001</v>
      </c>
      <c r="I23" s="1">
        <v>3</v>
      </c>
      <c r="J23" s="7">
        <v>0.14130000000000001</v>
      </c>
      <c r="K23" s="2">
        <v>19694.821</v>
      </c>
      <c r="L23" s="2">
        <v>2548</v>
      </c>
      <c r="M23" s="2">
        <v>7.7295220000000002</v>
      </c>
      <c r="N23" s="2">
        <v>4.6775010000000004</v>
      </c>
      <c r="O23" s="2">
        <v>60.99485</v>
      </c>
    </row>
    <row r="24" spans="1:23">
      <c r="A24" s="1">
        <v>4</v>
      </c>
      <c r="B24" s="7">
        <v>5.4699999999999999E-2</v>
      </c>
      <c r="C24" s="2">
        <v>806.48800000000006</v>
      </c>
      <c r="D24" s="2">
        <v>961</v>
      </c>
      <c r="E24" s="2">
        <v>8.3921699999999999E-7</v>
      </c>
      <c r="F24" s="2">
        <v>20.694286000000002</v>
      </c>
      <c r="G24" s="2">
        <v>7.5566999999999991E-8</v>
      </c>
      <c r="I24" s="1">
        <v>4</v>
      </c>
      <c r="J24" s="7">
        <v>5.4699999999999999E-2</v>
      </c>
      <c r="K24" s="2">
        <v>183.50700000000001</v>
      </c>
      <c r="L24" s="2">
        <v>1004</v>
      </c>
      <c r="M24" s="2">
        <v>1.82776E-7</v>
      </c>
      <c r="N24" s="2">
        <v>1.2611790000000001</v>
      </c>
      <c r="O24" s="2">
        <v>5.6832099999999997E-7</v>
      </c>
    </row>
    <row r="25" spans="1:23">
      <c r="A25" s="1">
        <v>5</v>
      </c>
      <c r="B25" s="7">
        <v>4.6800000000000001E-2</v>
      </c>
      <c r="C25" s="2">
        <v>22.492000000000001</v>
      </c>
      <c r="D25" s="2">
        <v>826</v>
      </c>
      <c r="E25" s="2">
        <v>2.723E-8</v>
      </c>
      <c r="F25" s="2">
        <v>1.9897000000000003E-8</v>
      </c>
      <c r="G25" s="2">
        <v>2.1069999999999999E-9</v>
      </c>
      <c r="I25" s="1">
        <v>5</v>
      </c>
      <c r="J25" s="7">
        <v>4.6800000000000001E-2</v>
      </c>
      <c r="K25" s="2">
        <v>615.68399999999997</v>
      </c>
      <c r="L25" s="2">
        <v>825</v>
      </c>
      <c r="M25" s="2">
        <v>7.4628399999999993E-7</v>
      </c>
      <c r="N25" s="2">
        <v>4.4372809999999996</v>
      </c>
      <c r="O25" s="2">
        <v>1.9067730000000001</v>
      </c>
    </row>
    <row r="26" spans="1:23">
      <c r="A26" s="1">
        <v>6</v>
      </c>
      <c r="B26" s="7">
        <v>0.10780000000000001</v>
      </c>
      <c r="C26" s="2">
        <v>4326.3689999999997</v>
      </c>
      <c r="D26" s="2">
        <v>1992</v>
      </c>
      <c r="E26" s="2">
        <v>2.171872</v>
      </c>
      <c r="F26" s="2">
        <v>34.158247000000003</v>
      </c>
      <c r="G26" s="2">
        <v>4.0537399999999999E-7</v>
      </c>
      <c r="I26" s="1">
        <v>6</v>
      </c>
      <c r="J26" s="7">
        <v>0.10780000000000001</v>
      </c>
      <c r="K26" s="2">
        <v>3300.1260000000002</v>
      </c>
      <c r="L26" s="2">
        <v>1856</v>
      </c>
      <c r="M26" s="2">
        <v>1.7780849999999999</v>
      </c>
      <c r="N26" s="2">
        <v>6.1527669999999999</v>
      </c>
      <c r="O26" s="2">
        <v>10.220488</v>
      </c>
    </row>
    <row r="27" spans="1:23">
      <c r="A27" s="1">
        <v>7</v>
      </c>
      <c r="B27" s="7">
        <v>3.49E-2</v>
      </c>
      <c r="C27" s="2">
        <v>6284.9989999999998</v>
      </c>
      <c r="D27" s="2">
        <v>617</v>
      </c>
      <c r="E27" s="2">
        <v>10.186384</v>
      </c>
      <c r="F27" s="2">
        <v>64.420383999999999</v>
      </c>
      <c r="G27" s="2">
        <v>5.8889499999999995E-7</v>
      </c>
      <c r="I27" s="1">
        <v>7</v>
      </c>
      <c r="J27" s="7">
        <v>3.49E-2</v>
      </c>
      <c r="K27" s="2">
        <v>2174.6489999999999</v>
      </c>
      <c r="L27" s="2">
        <v>648</v>
      </c>
      <c r="M27" s="2">
        <v>3.3559399999999999</v>
      </c>
      <c r="N27" s="2">
        <v>33.451883000000002</v>
      </c>
      <c r="O27" s="2">
        <v>6.7348869999999996</v>
      </c>
    </row>
    <row r="28" spans="1:23">
      <c r="A28" s="1">
        <v>8</v>
      </c>
      <c r="B28" s="7">
        <v>2.63E-2</v>
      </c>
      <c r="C28" s="2">
        <v>10.929</v>
      </c>
      <c r="D28" s="2">
        <v>464</v>
      </c>
      <c r="E28" s="2">
        <v>2.3553999999999997E-8</v>
      </c>
      <c r="F28" s="2">
        <v>1.5492000000000001E-8</v>
      </c>
      <c r="G28" s="2">
        <v>1.024E-9</v>
      </c>
      <c r="I28" s="1">
        <v>8</v>
      </c>
      <c r="J28" s="7">
        <v>2.63E-2</v>
      </c>
      <c r="K28" s="2">
        <v>60.892000000000003</v>
      </c>
      <c r="L28" s="2">
        <v>420</v>
      </c>
      <c r="M28" s="2">
        <v>1.4498099999999999E-7</v>
      </c>
      <c r="N28" s="2">
        <v>1.518583</v>
      </c>
      <c r="O28" s="2">
        <v>1.8858199999999999E-7</v>
      </c>
    </row>
    <row r="29" spans="1:23">
      <c r="A29" s="1">
        <v>9</v>
      </c>
      <c r="B29" s="7">
        <v>2.7300000000000001E-2</v>
      </c>
      <c r="C29" s="2">
        <v>1179.6980000000001</v>
      </c>
      <c r="D29" s="2">
        <v>490</v>
      </c>
      <c r="E29" s="2">
        <v>2.4075470000000001</v>
      </c>
      <c r="F29" s="2">
        <v>25.608864000000001</v>
      </c>
      <c r="G29" s="2">
        <v>1.1053599999999999E-7</v>
      </c>
      <c r="I29" s="1">
        <v>9</v>
      </c>
      <c r="J29" s="7">
        <v>2.7300000000000001E-2</v>
      </c>
      <c r="K29" s="2">
        <v>148.696</v>
      </c>
      <c r="L29" s="2">
        <v>505</v>
      </c>
      <c r="M29" s="2">
        <v>2.9444799999999999E-7</v>
      </c>
      <c r="N29" s="2">
        <v>1.850652</v>
      </c>
      <c r="O29" s="2">
        <v>4.6051100000000001E-7</v>
      </c>
    </row>
    <row r="30" spans="1:23">
      <c r="B30" s="8"/>
      <c r="E30" s="10">
        <f>SUMPRODUCT(B21:B29,E21:E29)</f>
        <v>60.175215080336883</v>
      </c>
      <c r="M30" s="10">
        <f>SUMPRODUCT(J21:J29,M21:M29)</f>
        <v>1.6395190246094384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</row>
    <row r="35" spans="1:23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</row>
    <row r="36" spans="1:23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</row>
    <row r="37" spans="1:23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</row>
    <row r="38" spans="1:23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</row>
    <row r="39" spans="1:23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</row>
    <row r="40" spans="1:23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</row>
    <row r="41" spans="1:23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</row>
    <row r="42" spans="1:23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</row>
    <row r="43" spans="1:23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</row>
    <row r="44" spans="1:23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</row>
    <row r="45" spans="1:23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</row>
    <row r="46" spans="1:23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</row>
    <row r="47" spans="1:23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</row>
    <row r="48" spans="1:23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</row>
    <row r="49" spans="5:21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D56F6-0B6F-48F2-BBBB-E0CC77A83875}">
  <dimension ref="A1:O24"/>
  <sheetViews>
    <sheetView zoomScale="130" zoomScaleNormal="130" workbookViewId="0">
      <selection activeCell="J14" sqref="J14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2x'!E30</f>
        <v>60.175215080336883</v>
      </c>
      <c r="C7" s="20">
        <f>$B7*C$3/1000</f>
        <v>601.75215080336886</v>
      </c>
      <c r="D7" s="22">
        <f>$B7*D$3/1000</f>
        <v>89608.477331721733</v>
      </c>
      <c r="E7" s="25"/>
      <c r="F7" s="21">
        <f>C7/60</f>
        <v>10.029202513389482</v>
      </c>
      <c r="G7" s="24">
        <f>D7/60</f>
        <v>1493.4746221953621</v>
      </c>
      <c r="H7" s="16"/>
      <c r="I7" s="16"/>
      <c r="J7" s="16"/>
    </row>
    <row r="8" spans="1:15">
      <c r="A8" s="12" t="s">
        <v>15</v>
      </c>
      <c r="B8" s="14">
        <f>'Query 2x'!M30</f>
        <v>1.6395190246094384</v>
      </c>
      <c r="C8" s="20">
        <f>$B8*C$3/1000</f>
        <v>16.395190246094387</v>
      </c>
      <c r="D8" s="22">
        <f>$B8*D$3/1000</f>
        <v>2441.4504070405546</v>
      </c>
      <c r="E8" s="25"/>
      <c r="F8" s="21">
        <f>C8/60</f>
        <v>0.27325317076823979</v>
      </c>
      <c r="G8" s="24">
        <f>D8/60</f>
        <v>40.690840117342574</v>
      </c>
      <c r="H8" s="16"/>
      <c r="I8" s="16"/>
      <c r="J8" s="16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2x'!E49</f>
        <v>1124.4442429817898</v>
      </c>
      <c r="C11" s="20">
        <f t="shared" ref="C11:D13" si="0">$B11*C$4/1000</f>
        <v>11244.442429817898</v>
      </c>
      <c r="D11" s="22">
        <f t="shared" si="0"/>
        <v>4074300.0255777873</v>
      </c>
      <c r="E11" s="25"/>
      <c r="F11" s="21">
        <f t="shared" ref="F11:G13" si="1">C11/60</f>
        <v>187.4073738302983</v>
      </c>
      <c r="G11" s="24">
        <f t="shared" si="1"/>
        <v>67905.00042629645</v>
      </c>
      <c r="H11" s="24">
        <f>G11/60</f>
        <v>1131.7500071049408</v>
      </c>
      <c r="I11" s="24">
        <f>H11/24</f>
        <v>47.156250296039197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2x'!M49</f>
        <v>411.80920825012385</v>
      </c>
      <c r="C12" s="20">
        <f t="shared" si="0"/>
        <v>4118.092082501239</v>
      </c>
      <c r="D12" s="22">
        <f t="shared" si="0"/>
        <v>1492145.3670814161</v>
      </c>
      <c r="E12" s="25"/>
      <c r="F12" s="21">
        <f t="shared" si="1"/>
        <v>68.634868041687312</v>
      </c>
      <c r="G12" s="24">
        <f t="shared" si="1"/>
        <v>24869.089451356933</v>
      </c>
      <c r="H12" s="24">
        <f>G12/60</f>
        <v>414.48482418928222</v>
      </c>
      <c r="I12" s="24">
        <f>H12/24</f>
        <v>17.270201007886758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2x'!U49</f>
        <v>33.858577030907981</v>
      </c>
      <c r="C13" s="20">
        <f t="shared" si="0"/>
        <v>338.58577030907981</v>
      </c>
      <c r="D13" s="22">
        <f t="shared" si="0"/>
        <v>122682.82942802167</v>
      </c>
      <c r="E13" s="25"/>
      <c r="F13" s="21">
        <f t="shared" si="1"/>
        <v>5.6430961718179971</v>
      </c>
      <c r="G13" s="24">
        <f t="shared" si="1"/>
        <v>2044.7138238003611</v>
      </c>
      <c r="H13" s="24">
        <f>G13/60</f>
        <v>34.078563730006017</v>
      </c>
      <c r="I13" s="24">
        <f>H13/24</f>
        <v>1.4199401554169173</v>
      </c>
      <c r="J13" s="16"/>
      <c r="K13" s="18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200000</v>
      </c>
      <c r="D24" s="17">
        <f>B24/C24</f>
        <v>6155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BB206-3452-44F6-80E0-8B59E5B46EFD}">
  <dimension ref="A1:W49"/>
  <sheetViews>
    <sheetView topLeftCell="A10" zoomScaleNormal="100" workbookViewId="0">
      <selection activeCell="J14" sqref="J14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422.07400000000001</v>
      </c>
      <c r="D3" s="2">
        <v>606</v>
      </c>
      <c r="E3" s="4">
        <v>6.9649200000000001E-7</v>
      </c>
      <c r="F3" s="2">
        <v>5.1492200000000001E-7</v>
      </c>
      <c r="G3" s="2">
        <v>5.9945400000000004E-7</v>
      </c>
    </row>
    <row r="4" spans="1:7">
      <c r="A4" s="1">
        <v>2</v>
      </c>
      <c r="B4" s="7">
        <v>0.22459999999999999</v>
      </c>
      <c r="C4" s="2">
        <v>37755.192999999999</v>
      </c>
      <c r="D4" s="2">
        <v>229</v>
      </c>
      <c r="E4" s="4">
        <v>164.86983799999999</v>
      </c>
      <c r="F4" s="2">
        <v>81.929844000000003</v>
      </c>
      <c r="G4" s="2">
        <v>53.622110999999997</v>
      </c>
    </row>
    <row r="5" spans="1:7">
      <c r="A5" s="1">
        <v>3</v>
      </c>
      <c r="B5" s="7">
        <v>4.7500000000000001E-2</v>
      </c>
      <c r="C5" s="2">
        <v>9367.6059999999998</v>
      </c>
      <c r="D5" s="2">
        <v>44</v>
      </c>
      <c r="E5" s="4">
        <v>212.900136</v>
      </c>
      <c r="F5" s="2">
        <v>158.20355799999999</v>
      </c>
      <c r="G5" s="2">
        <v>13.304417000000001</v>
      </c>
    </row>
    <row r="6" spans="1:7">
      <c r="A6" s="1">
        <v>4</v>
      </c>
      <c r="B6" s="7">
        <v>0.114</v>
      </c>
      <c r="C6" s="2">
        <v>22864.569</v>
      </c>
      <c r="D6" s="2">
        <v>108</v>
      </c>
      <c r="E6" s="4">
        <v>211.70897199999999</v>
      </c>
      <c r="F6" s="2">
        <v>153.71595300000001</v>
      </c>
      <c r="G6" s="2">
        <v>32.473585</v>
      </c>
    </row>
    <row r="7" spans="1:7">
      <c r="A7" s="1">
        <v>5</v>
      </c>
      <c r="B7" s="7">
        <v>1.09E-2</v>
      </c>
      <c r="C7" s="2">
        <v>3.0499999999999999E-4</v>
      </c>
      <c r="D7" s="2">
        <v>13</v>
      </c>
      <c r="E7" s="4">
        <v>2.3461999999999999E-8</v>
      </c>
      <c r="F7" s="2">
        <v>1.1949E-8</v>
      </c>
      <c r="G7" s="2">
        <v>4.33E-10</v>
      </c>
    </row>
    <row r="8" spans="1:7">
      <c r="B8" s="8"/>
      <c r="E8" s="10">
        <f>SUMPRODUCT(B3:B7,E3:E7)</f>
        <v>71.277345303040406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617.27599999999995</v>
      </c>
      <c r="D12" s="3">
        <v>623</v>
      </c>
      <c r="E12" s="5">
        <v>9.9081200000000002E-7</v>
      </c>
      <c r="F12" s="3">
        <v>9.0683899999999996E-7</v>
      </c>
      <c r="G12" s="3">
        <v>10.401206</v>
      </c>
    </row>
    <row r="13" spans="1:7">
      <c r="A13" s="1">
        <v>2</v>
      </c>
      <c r="B13" s="7">
        <v>0.22459999999999999</v>
      </c>
      <c r="C13" s="2">
        <v>1902.6079999999999</v>
      </c>
      <c r="D13" s="3">
        <v>187</v>
      </c>
      <c r="E13" s="5">
        <v>10.174374</v>
      </c>
      <c r="F13" s="3">
        <v>8.9871020000000001</v>
      </c>
      <c r="G13" s="3">
        <v>32.059269</v>
      </c>
    </row>
    <row r="14" spans="1:7">
      <c r="A14" s="1">
        <v>3</v>
      </c>
      <c r="B14" s="7">
        <v>4.7500000000000001E-2</v>
      </c>
      <c r="C14" s="2">
        <v>768.80499999999995</v>
      </c>
      <c r="D14" s="3">
        <v>54</v>
      </c>
      <c r="E14" s="5">
        <v>14.237130000000001</v>
      </c>
      <c r="F14" s="3">
        <v>19.181145000000001</v>
      </c>
      <c r="G14" s="3">
        <v>12.954495</v>
      </c>
    </row>
    <row r="15" spans="1:7">
      <c r="A15" s="1">
        <v>4</v>
      </c>
      <c r="B15" s="7">
        <v>0.114</v>
      </c>
      <c r="C15" s="2">
        <v>2645.3760000000002</v>
      </c>
      <c r="D15" s="3">
        <v>122</v>
      </c>
      <c r="E15" s="5">
        <v>21.683409999999999</v>
      </c>
      <c r="F15" s="3">
        <v>20.490525999999999</v>
      </c>
      <c r="G15" s="3">
        <v>44.575037000000002</v>
      </c>
    </row>
    <row r="16" spans="1:7">
      <c r="A16" s="1">
        <v>5</v>
      </c>
      <c r="B16" s="7">
        <v>1.09E-2</v>
      </c>
      <c r="C16" s="2">
        <v>5.9299999999999999E-4</v>
      </c>
      <c r="D16" s="3">
        <v>14</v>
      </c>
      <c r="E16" s="5">
        <v>4.2357E-8</v>
      </c>
      <c r="F16" s="3">
        <v>2.2687E-8</v>
      </c>
      <c r="G16" s="3">
        <v>9.9919999999999994E-9</v>
      </c>
    </row>
    <row r="17" spans="1:23">
      <c r="B17" s="8"/>
      <c r="E17" s="10">
        <f>SUMPRODUCT(B12:B16,E12:E16)</f>
        <v>5.4333374133213272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1250.309</v>
      </c>
      <c r="D21" s="2">
        <v>1925</v>
      </c>
      <c r="E21" s="2">
        <v>6.4951099999999997E-7</v>
      </c>
      <c r="F21" s="2">
        <v>7.1566300000000002E-7</v>
      </c>
      <c r="G21" s="2">
        <v>1.17152E-7</v>
      </c>
      <c r="I21" s="1">
        <v>1</v>
      </c>
      <c r="J21" s="7">
        <v>0.1066</v>
      </c>
      <c r="K21" s="2">
        <v>1680.96</v>
      </c>
      <c r="L21" s="2">
        <v>1947</v>
      </c>
      <c r="M21" s="2">
        <v>8.63359E-7</v>
      </c>
      <c r="N21" s="2">
        <v>5.0766799999999999E-7</v>
      </c>
      <c r="O21" s="2">
        <v>5.2059319999999998</v>
      </c>
    </row>
    <row r="22" spans="1:23">
      <c r="A22" s="1">
        <v>2</v>
      </c>
      <c r="B22" s="7">
        <v>1.3299999999999999E-2</v>
      </c>
      <c r="C22" s="2">
        <v>2465.7730000000001</v>
      </c>
      <c r="D22" s="2">
        <v>224</v>
      </c>
      <c r="E22" s="2">
        <v>11.007915000000001</v>
      </c>
      <c r="F22" s="2">
        <v>9.4221029999999999</v>
      </c>
      <c r="G22" s="2">
        <v>2.3103899999999998E-7</v>
      </c>
      <c r="I22" s="1">
        <v>2</v>
      </c>
      <c r="J22" s="7">
        <v>1.3299999999999999E-2</v>
      </c>
      <c r="K22" s="2">
        <v>4429.9830000000002</v>
      </c>
      <c r="L22" s="2">
        <v>247</v>
      </c>
      <c r="M22" s="2">
        <v>17.935154000000001</v>
      </c>
      <c r="N22" s="2">
        <v>9.336195</v>
      </c>
      <c r="O22" s="2">
        <v>13.719654999999999</v>
      </c>
    </row>
    <row r="23" spans="1:23">
      <c r="A23" s="1">
        <v>3</v>
      </c>
      <c r="B23" s="7">
        <v>0.14130000000000001</v>
      </c>
      <c r="C23" s="2">
        <v>1050905.8829999999</v>
      </c>
      <c r="D23" s="2">
        <v>2501</v>
      </c>
      <c r="E23" s="2">
        <v>420.194275</v>
      </c>
      <c r="F23" s="2">
        <v>225.007305</v>
      </c>
      <c r="G23" s="2">
        <v>98.468305000000001</v>
      </c>
      <c r="I23" s="1">
        <v>3</v>
      </c>
      <c r="J23" s="7">
        <v>0.14130000000000001</v>
      </c>
      <c r="K23" s="2">
        <v>19694.821</v>
      </c>
      <c r="L23" s="2">
        <v>2548</v>
      </c>
      <c r="M23" s="2">
        <v>7.7295220000000002</v>
      </c>
      <c r="N23" s="2">
        <v>4.6775010000000004</v>
      </c>
      <c r="O23" s="2">
        <v>60.99485</v>
      </c>
    </row>
    <row r="24" spans="1:23">
      <c r="A24" s="1">
        <v>4</v>
      </c>
      <c r="B24" s="7">
        <v>5.4699999999999999E-2</v>
      </c>
      <c r="C24" s="2">
        <v>806.48800000000006</v>
      </c>
      <c r="D24" s="2">
        <v>961</v>
      </c>
      <c r="E24" s="2">
        <v>8.3921699999999999E-7</v>
      </c>
      <c r="F24" s="2">
        <v>20.694286000000002</v>
      </c>
      <c r="G24" s="2">
        <v>7.5566999999999991E-8</v>
      </c>
      <c r="I24" s="1">
        <v>4</v>
      </c>
      <c r="J24" s="7">
        <v>5.4699999999999999E-2</v>
      </c>
      <c r="K24" s="2">
        <v>183.50700000000001</v>
      </c>
      <c r="L24" s="2">
        <v>1004</v>
      </c>
      <c r="M24" s="2">
        <v>1.82776E-7</v>
      </c>
      <c r="N24" s="2">
        <v>1.2611790000000001</v>
      </c>
      <c r="O24" s="2">
        <v>5.6832099999999997E-7</v>
      </c>
    </row>
    <row r="25" spans="1:23">
      <c r="A25" s="1">
        <v>5</v>
      </c>
      <c r="B25" s="7">
        <v>4.6800000000000001E-2</v>
      </c>
      <c r="C25" s="2">
        <v>22.492000000000001</v>
      </c>
      <c r="D25" s="2">
        <v>826</v>
      </c>
      <c r="E25" s="2">
        <v>2.723E-8</v>
      </c>
      <c r="F25" s="2">
        <v>1.9897000000000003E-8</v>
      </c>
      <c r="G25" s="2">
        <v>2.1069999999999999E-9</v>
      </c>
      <c r="I25" s="1">
        <v>5</v>
      </c>
      <c r="J25" s="7">
        <v>4.6800000000000001E-2</v>
      </c>
      <c r="K25" s="2">
        <v>615.68399999999997</v>
      </c>
      <c r="L25" s="2">
        <v>825</v>
      </c>
      <c r="M25" s="2">
        <v>7.4628399999999993E-7</v>
      </c>
      <c r="N25" s="2">
        <v>4.4372809999999996</v>
      </c>
      <c r="O25" s="2">
        <v>1.9067730000000001</v>
      </c>
    </row>
    <row r="26" spans="1:23">
      <c r="A26" s="1">
        <v>6</v>
      </c>
      <c r="B26" s="7">
        <v>0.10780000000000001</v>
      </c>
      <c r="C26" s="2">
        <v>4326.3689999999997</v>
      </c>
      <c r="D26" s="2">
        <v>1992</v>
      </c>
      <c r="E26" s="2">
        <v>2.171872</v>
      </c>
      <c r="F26" s="2">
        <v>34.158247000000003</v>
      </c>
      <c r="G26" s="2">
        <v>4.0537399999999999E-7</v>
      </c>
      <c r="I26" s="1">
        <v>6</v>
      </c>
      <c r="J26" s="7">
        <v>0.10780000000000001</v>
      </c>
      <c r="K26" s="2">
        <v>3300.1260000000002</v>
      </c>
      <c r="L26" s="2">
        <v>1856</v>
      </c>
      <c r="M26" s="2">
        <v>1.7780849999999999</v>
      </c>
      <c r="N26" s="2">
        <v>6.1527669999999999</v>
      </c>
      <c r="O26" s="2">
        <v>10.220488</v>
      </c>
    </row>
    <row r="27" spans="1:23">
      <c r="A27" s="1">
        <v>7</v>
      </c>
      <c r="B27" s="7">
        <v>3.49E-2</v>
      </c>
      <c r="C27" s="2">
        <v>6284.9989999999998</v>
      </c>
      <c r="D27" s="2">
        <v>617</v>
      </c>
      <c r="E27" s="2">
        <v>10.186384</v>
      </c>
      <c r="F27" s="2">
        <v>64.420383999999999</v>
      </c>
      <c r="G27" s="2">
        <v>5.8889499999999995E-7</v>
      </c>
      <c r="I27" s="1">
        <v>7</v>
      </c>
      <c r="J27" s="7">
        <v>3.49E-2</v>
      </c>
      <c r="K27" s="2">
        <v>2174.6489999999999</v>
      </c>
      <c r="L27" s="2">
        <v>648</v>
      </c>
      <c r="M27" s="2">
        <v>3.3559399999999999</v>
      </c>
      <c r="N27" s="2">
        <v>33.451883000000002</v>
      </c>
      <c r="O27" s="2">
        <v>6.7348869999999996</v>
      </c>
    </row>
    <row r="28" spans="1:23">
      <c r="A28" s="1">
        <v>8</v>
      </c>
      <c r="B28" s="7">
        <v>2.63E-2</v>
      </c>
      <c r="C28" s="2">
        <v>10.929</v>
      </c>
      <c r="D28" s="2">
        <v>464</v>
      </c>
      <c r="E28" s="2">
        <v>2.3553999999999997E-8</v>
      </c>
      <c r="F28" s="2">
        <v>1.5492000000000001E-8</v>
      </c>
      <c r="G28" s="2">
        <v>1.024E-9</v>
      </c>
      <c r="I28" s="1">
        <v>8</v>
      </c>
      <c r="J28" s="7">
        <v>2.63E-2</v>
      </c>
      <c r="K28" s="2">
        <v>60.892000000000003</v>
      </c>
      <c r="L28" s="2">
        <v>420</v>
      </c>
      <c r="M28" s="2">
        <v>1.4498099999999999E-7</v>
      </c>
      <c r="N28" s="2">
        <v>1.518583</v>
      </c>
      <c r="O28" s="2">
        <v>1.8858199999999999E-7</v>
      </c>
    </row>
    <row r="29" spans="1:23">
      <c r="A29" s="1">
        <v>9</v>
      </c>
      <c r="B29" s="7">
        <v>2.7300000000000001E-2</v>
      </c>
      <c r="C29" s="2">
        <v>1179.6980000000001</v>
      </c>
      <c r="D29" s="2">
        <v>490</v>
      </c>
      <c r="E29" s="2">
        <v>2.4075470000000001</v>
      </c>
      <c r="F29" s="2">
        <v>25.608864000000001</v>
      </c>
      <c r="G29" s="2">
        <v>1.1053599999999999E-7</v>
      </c>
      <c r="I29" s="1">
        <v>9</v>
      </c>
      <c r="J29" s="7">
        <v>2.7300000000000001E-2</v>
      </c>
      <c r="K29" s="2">
        <v>148.696</v>
      </c>
      <c r="L29" s="2">
        <v>505</v>
      </c>
      <c r="M29" s="2">
        <v>2.9444799999999999E-7</v>
      </c>
      <c r="N29" s="2">
        <v>1.850652</v>
      </c>
      <c r="O29" s="2">
        <v>4.6051100000000001E-7</v>
      </c>
    </row>
    <row r="30" spans="1:23">
      <c r="B30" s="8"/>
      <c r="E30" s="10">
        <f>SUMPRODUCT(B21:B29,E21:E29)</f>
        <v>60.175215080336883</v>
      </c>
      <c r="M30" s="10">
        <f>SUMPRODUCT(J21:J29,M21:M29)</f>
        <v>1.6395190246094384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677.26499999999999</v>
      </c>
      <c r="D34" s="2">
        <v>65</v>
      </c>
      <c r="E34" s="2">
        <v>10.419461999999999</v>
      </c>
      <c r="F34" s="2">
        <v>8.2835940000000008</v>
      </c>
      <c r="G34" s="2">
        <v>6.5806E-8</v>
      </c>
      <c r="I34" s="1">
        <v>1</v>
      </c>
      <c r="J34" s="7">
        <v>7.9299999999999995E-2</v>
      </c>
      <c r="K34" s="2">
        <v>51899.985000000001</v>
      </c>
      <c r="L34" s="2">
        <v>75</v>
      </c>
      <c r="M34" s="2">
        <v>691.99980000000005</v>
      </c>
      <c r="N34" s="2">
        <v>81.663264999999996</v>
      </c>
      <c r="O34" s="2">
        <v>9.4296579999999999</v>
      </c>
      <c r="Q34" s="1">
        <v>1</v>
      </c>
      <c r="R34" s="7">
        <v>7.9299999999999995E-2</v>
      </c>
      <c r="S34">
        <v>1458.0909999999999</v>
      </c>
      <c r="T34">
        <v>80</v>
      </c>
      <c r="U34">
        <v>18.226137999999999</v>
      </c>
      <c r="V34">
        <v>12.761842</v>
      </c>
      <c r="W34">
        <v>2.915959</v>
      </c>
    </row>
    <row r="35" spans="1:23">
      <c r="A35" s="1">
        <v>2</v>
      </c>
      <c r="B35" s="7">
        <v>6.1600000000000002E-2</v>
      </c>
      <c r="C35" s="2">
        <v>32.441000000000003</v>
      </c>
      <c r="D35" s="2">
        <v>67</v>
      </c>
      <c r="E35" s="2">
        <v>4.84194E-7</v>
      </c>
      <c r="F35" s="2">
        <v>4.7274100000000001E-7</v>
      </c>
      <c r="G35" s="2">
        <v>3.1519999999999999E-9</v>
      </c>
      <c r="I35" s="1">
        <v>2</v>
      </c>
      <c r="J35" s="7">
        <v>6.1600000000000002E-2</v>
      </c>
      <c r="K35" s="2">
        <v>19.242000000000001</v>
      </c>
      <c r="L35" s="2">
        <v>71</v>
      </c>
      <c r="M35" s="2">
        <v>2.7101399999999999E-7</v>
      </c>
      <c r="N35" s="2">
        <v>5.6140199999999999E-7</v>
      </c>
      <c r="O35" s="2">
        <v>3.4959999999999999E-9</v>
      </c>
      <c r="Q35" s="1">
        <v>2</v>
      </c>
      <c r="R35" s="7">
        <v>6.1600000000000002E-2</v>
      </c>
      <c r="S35">
        <v>39.311</v>
      </c>
      <c r="T35">
        <v>69</v>
      </c>
      <c r="U35">
        <v>5.6972500000000008E-7</v>
      </c>
      <c r="V35">
        <v>4.7860000000000006E-7</v>
      </c>
      <c r="W35">
        <v>7.8616000000000007E-8</v>
      </c>
    </row>
    <row r="36" spans="1:23">
      <c r="A36" s="1">
        <v>3</v>
      </c>
      <c r="B36" s="7">
        <v>9.0300000000000005E-2</v>
      </c>
      <c r="C36" s="2">
        <v>24951.17</v>
      </c>
      <c r="D36" s="2">
        <v>98</v>
      </c>
      <c r="E36" s="2">
        <v>254.60377600000001</v>
      </c>
      <c r="F36" s="2">
        <v>356.67767199999997</v>
      </c>
      <c r="G36" s="2">
        <v>2.4243700000000001</v>
      </c>
      <c r="I36" s="1">
        <v>3</v>
      </c>
      <c r="J36" s="7">
        <v>9.0300000000000005E-2</v>
      </c>
      <c r="K36" s="2">
        <v>1580.1959999999999</v>
      </c>
      <c r="L36" s="2">
        <v>100</v>
      </c>
      <c r="M36" s="2">
        <v>15.801959999999999</v>
      </c>
      <c r="N36" s="2">
        <v>15.437245000000001</v>
      </c>
      <c r="O36" s="2">
        <v>2.8710400000000003E-7</v>
      </c>
      <c r="Q36" s="1">
        <v>3</v>
      </c>
      <c r="R36" s="7">
        <v>9.0300000000000005E-2</v>
      </c>
      <c r="S36">
        <v>12340.065000000001</v>
      </c>
      <c r="T36">
        <v>115</v>
      </c>
      <c r="U36">
        <v>107.304913</v>
      </c>
      <c r="V36">
        <v>145.87512699999999</v>
      </c>
      <c r="W36">
        <v>24.678239000000001</v>
      </c>
    </row>
    <row r="37" spans="1:23">
      <c r="A37" s="1">
        <v>4</v>
      </c>
      <c r="B37" s="7">
        <v>7.6700000000000004E-2</v>
      </c>
      <c r="C37" s="2">
        <v>82973.376999999993</v>
      </c>
      <c r="D37" s="2">
        <v>84</v>
      </c>
      <c r="E37" s="2">
        <v>987.77829799999995</v>
      </c>
      <c r="F37" s="2">
        <v>334.42307799999998</v>
      </c>
      <c r="G37" s="2">
        <v>8.0620729999999998</v>
      </c>
      <c r="I37" s="1">
        <v>4</v>
      </c>
      <c r="J37" s="7">
        <v>7.6700000000000004E-2</v>
      </c>
      <c r="K37" s="2">
        <v>23499.771000000001</v>
      </c>
      <c r="L37" s="2">
        <v>79</v>
      </c>
      <c r="M37" s="2">
        <v>297.46545600000002</v>
      </c>
      <c r="N37" s="2">
        <v>671.28152599999999</v>
      </c>
      <c r="O37" s="2">
        <v>4.2696509999999996</v>
      </c>
      <c r="Q37" s="1">
        <v>4</v>
      </c>
      <c r="R37" s="7">
        <v>7.6700000000000004E-2</v>
      </c>
      <c r="S37">
        <v>521.71600000000001</v>
      </c>
      <c r="T37">
        <v>75</v>
      </c>
      <c r="U37">
        <v>6.956213</v>
      </c>
      <c r="V37">
        <v>14.32982</v>
      </c>
      <c r="W37">
        <v>1.0433520000000001</v>
      </c>
    </row>
    <row r="38" spans="1:23">
      <c r="A38" s="1">
        <v>5</v>
      </c>
      <c r="B38" s="7">
        <v>1.4200000000000001E-2</v>
      </c>
      <c r="C38" s="2">
        <v>4.08E-4</v>
      </c>
      <c r="D38" s="2">
        <v>14</v>
      </c>
      <c r="E38" s="2">
        <v>2.9142999999999998E-8</v>
      </c>
      <c r="F38" s="2">
        <v>5.5589999999999995E-9</v>
      </c>
      <c r="G38" s="2">
        <v>4.0000000000000004E-11</v>
      </c>
      <c r="I38" s="1">
        <v>5</v>
      </c>
      <c r="J38" s="7">
        <v>1.4200000000000001E-2</v>
      </c>
      <c r="K38" s="2">
        <v>3.8500000000000003E-4</v>
      </c>
      <c r="L38" s="2">
        <v>13</v>
      </c>
      <c r="M38" s="2">
        <v>2.9614999999999998E-8</v>
      </c>
      <c r="N38" s="2">
        <v>8.5880000000000005E-9</v>
      </c>
      <c r="O38" s="2">
        <v>6.9999999999999991E-11</v>
      </c>
      <c r="Q38" s="1">
        <v>5</v>
      </c>
      <c r="R38" s="7">
        <v>1.4200000000000001E-2</v>
      </c>
      <c r="S38">
        <v>4.7399999999999997E-4</v>
      </c>
      <c r="T38">
        <v>16</v>
      </c>
      <c r="U38">
        <v>2.9624999999999999E-8</v>
      </c>
      <c r="V38">
        <v>2.3799E-8</v>
      </c>
      <c r="W38">
        <v>9.4800000000000004E-10</v>
      </c>
    </row>
    <row r="39" spans="1:23">
      <c r="A39" s="1">
        <v>6</v>
      </c>
      <c r="B39" s="7">
        <v>0.38009999999999999</v>
      </c>
      <c r="C39" s="2">
        <v>54.573999999999998</v>
      </c>
      <c r="D39" s="2">
        <v>415</v>
      </c>
      <c r="E39" s="2">
        <v>1.3150400000000001E-7</v>
      </c>
      <c r="F39" s="2">
        <v>1.1376899999999999E-7</v>
      </c>
      <c r="G39" s="2">
        <v>5.3030000000000004E-9</v>
      </c>
      <c r="I39" s="1">
        <v>6</v>
      </c>
      <c r="J39" s="7">
        <v>0.38009999999999999</v>
      </c>
      <c r="K39" s="2">
        <v>70.576999999999998</v>
      </c>
      <c r="L39" s="2">
        <v>389</v>
      </c>
      <c r="M39" s="2">
        <v>1.8143200000000001E-7</v>
      </c>
      <c r="N39" s="2">
        <v>1.6826E-7</v>
      </c>
      <c r="O39" s="2">
        <v>1.2823E-8</v>
      </c>
      <c r="Q39" s="1">
        <v>6</v>
      </c>
      <c r="R39" s="7">
        <v>0.38009999999999999</v>
      </c>
      <c r="S39">
        <v>83.435000000000002</v>
      </c>
      <c r="T39">
        <v>390</v>
      </c>
      <c r="U39">
        <v>2.1393599999999999E-7</v>
      </c>
      <c r="V39">
        <v>1.78529E-7</v>
      </c>
      <c r="W39">
        <v>1.66857E-7</v>
      </c>
    </row>
    <row r="40" spans="1:23">
      <c r="A40" s="1">
        <v>7</v>
      </c>
      <c r="B40" s="7">
        <v>4.53E-2</v>
      </c>
      <c r="C40" s="2">
        <v>772960.27500000002</v>
      </c>
      <c r="D40" s="2">
        <v>40</v>
      </c>
      <c r="E40" s="2">
        <v>19324.006874999999</v>
      </c>
      <c r="F40" s="2">
        <v>7442.785758</v>
      </c>
      <c r="G40" s="2">
        <v>75.104356999999993</v>
      </c>
      <c r="I40" s="1">
        <v>7</v>
      </c>
      <c r="J40" s="7">
        <v>4.53E-2</v>
      </c>
      <c r="K40" s="2">
        <v>358213.60700000002</v>
      </c>
      <c r="L40" s="2">
        <v>53</v>
      </c>
      <c r="M40" s="2">
        <v>6758.7473019999998</v>
      </c>
      <c r="N40" s="2">
        <v>2403.9389409999999</v>
      </c>
      <c r="O40" s="2">
        <v>65.083482000000004</v>
      </c>
      <c r="Q40" s="1">
        <v>7</v>
      </c>
      <c r="R40" s="7">
        <v>4.53E-2</v>
      </c>
      <c r="S40">
        <v>18131.53</v>
      </c>
      <c r="T40">
        <v>48</v>
      </c>
      <c r="U40">
        <v>377.740208</v>
      </c>
      <c r="V40">
        <v>782.17475400000001</v>
      </c>
      <c r="W40">
        <v>36.260280999999999</v>
      </c>
    </row>
    <row r="41" spans="1:23">
      <c r="A41" s="1">
        <v>8</v>
      </c>
      <c r="B41" s="7">
        <v>8.2000000000000003E-2</v>
      </c>
      <c r="C41" s="2">
        <v>11.648</v>
      </c>
      <c r="D41" s="2">
        <v>77</v>
      </c>
      <c r="E41" s="2">
        <v>1.5127299999999998E-7</v>
      </c>
      <c r="F41" s="2">
        <v>1.01089E-7</v>
      </c>
      <c r="G41" s="2">
        <v>1.132E-9</v>
      </c>
      <c r="I41" s="1">
        <v>8</v>
      </c>
      <c r="J41" s="7">
        <v>8.2000000000000003E-2</v>
      </c>
      <c r="K41" s="2">
        <v>13.765000000000001</v>
      </c>
      <c r="L41" s="2">
        <v>78</v>
      </c>
      <c r="M41" s="2">
        <v>1.76474E-7</v>
      </c>
      <c r="N41" s="2">
        <v>1.8353600000000001E-7</v>
      </c>
      <c r="O41" s="2">
        <v>2.5010000000000004E-9</v>
      </c>
      <c r="Q41" s="1">
        <v>8</v>
      </c>
      <c r="R41" s="7">
        <v>8.2000000000000003E-2</v>
      </c>
      <c r="S41">
        <v>15.606999999999999</v>
      </c>
      <c r="T41">
        <v>75</v>
      </c>
      <c r="U41">
        <v>2.0809300000000001E-7</v>
      </c>
      <c r="V41">
        <v>1.6196300000000001E-7</v>
      </c>
      <c r="W41">
        <v>3.1212000000000002E-8</v>
      </c>
    </row>
    <row r="42" spans="1:23">
      <c r="A42" s="1">
        <v>9</v>
      </c>
      <c r="B42" s="7">
        <v>6.1000000000000004E-3</v>
      </c>
      <c r="C42" s="2">
        <v>14899.731</v>
      </c>
      <c r="D42" s="2">
        <v>5</v>
      </c>
      <c r="E42" s="2">
        <v>2979.9461999999999</v>
      </c>
      <c r="F42" s="2">
        <v>728.64027799999997</v>
      </c>
      <c r="G42" s="2">
        <v>1.4477260000000001</v>
      </c>
      <c r="I42" s="1">
        <v>9</v>
      </c>
      <c r="J42" s="7">
        <v>6.1000000000000004E-3</v>
      </c>
      <c r="K42" s="2">
        <v>21543.946</v>
      </c>
      <c r="L42" s="2">
        <v>6</v>
      </c>
      <c r="M42" s="11">
        <v>3590.6576669999999</v>
      </c>
      <c r="N42" s="2">
        <v>1168.2414229999999</v>
      </c>
      <c r="O42" s="2">
        <v>3.9142990000000002</v>
      </c>
      <c r="Q42" s="1">
        <v>9</v>
      </c>
      <c r="R42" s="7">
        <v>6.1000000000000004E-3</v>
      </c>
      <c r="S42">
        <v>2542.0300000000002</v>
      </c>
      <c r="T42">
        <v>10</v>
      </c>
      <c r="U42" s="11">
        <v>254.203</v>
      </c>
      <c r="V42">
        <v>641.07768199999998</v>
      </c>
      <c r="W42">
        <v>5.0836699999999997</v>
      </c>
    </row>
    <row r="43" spans="1:23">
      <c r="A43" s="1">
        <v>10</v>
      </c>
      <c r="B43" s="7">
        <v>5.4999999999999997E-3</v>
      </c>
      <c r="C43" s="2">
        <v>12877.596</v>
      </c>
      <c r="D43" s="2">
        <v>5</v>
      </c>
      <c r="E43" s="2">
        <v>2575.5192000000002</v>
      </c>
      <c r="F43" s="2">
        <v>384.58791600000001</v>
      </c>
      <c r="G43" s="2">
        <v>1.2512460000000001</v>
      </c>
      <c r="I43" s="1">
        <v>10</v>
      </c>
      <c r="J43" s="7">
        <v>5.4999999999999997E-3</v>
      </c>
      <c r="K43" s="2">
        <v>16404.585999999999</v>
      </c>
      <c r="L43" s="2">
        <v>5</v>
      </c>
      <c r="M43" s="2">
        <v>3280.9171999999999</v>
      </c>
      <c r="N43" s="2">
        <v>964.41263900000001</v>
      </c>
      <c r="O43" s="2">
        <v>2.9805329999999999</v>
      </c>
      <c r="Q43" s="1">
        <v>10</v>
      </c>
      <c r="R43" s="7">
        <v>5.4999999999999997E-3</v>
      </c>
      <c r="S43">
        <v>158.011</v>
      </c>
      <c r="T43">
        <v>4</v>
      </c>
      <c r="U43">
        <v>39.502749999999999</v>
      </c>
      <c r="V43">
        <v>16.667940000000002</v>
      </c>
      <c r="W43">
        <v>3.1599800000000002E-7</v>
      </c>
    </row>
    <row r="44" spans="1:23">
      <c r="A44" s="1">
        <v>11</v>
      </c>
      <c r="B44" s="7">
        <v>9.7000000000000003E-3</v>
      </c>
      <c r="C44" s="2">
        <v>22784.842000000001</v>
      </c>
      <c r="D44" s="2">
        <v>14</v>
      </c>
      <c r="E44" s="2">
        <v>1627.4887140000001</v>
      </c>
      <c r="F44" s="2">
        <v>20.023875</v>
      </c>
      <c r="G44" s="2">
        <v>2.2138789999999999</v>
      </c>
      <c r="I44" s="1">
        <v>11</v>
      </c>
      <c r="J44" s="7">
        <v>9.7000000000000003E-3</v>
      </c>
      <c r="K44" s="2">
        <v>7472.25</v>
      </c>
      <c r="L44" s="2">
        <v>9</v>
      </c>
      <c r="M44" s="2">
        <v>830.25</v>
      </c>
      <c r="N44" s="2">
        <v>19.940591999999999</v>
      </c>
      <c r="O44" s="2">
        <v>1.357626</v>
      </c>
      <c r="Q44" s="1">
        <v>11</v>
      </c>
      <c r="R44" s="7">
        <v>9.7000000000000003E-3</v>
      </c>
      <c r="S44">
        <v>80.415000000000006</v>
      </c>
      <c r="T44">
        <v>7</v>
      </c>
      <c r="U44">
        <v>11.487857</v>
      </c>
      <c r="V44">
        <v>6.2657980000000002</v>
      </c>
      <c r="W44">
        <v>1.6081799999999998E-7</v>
      </c>
    </row>
    <row r="45" spans="1:23">
      <c r="A45" s="1">
        <v>12</v>
      </c>
      <c r="B45" s="7">
        <v>6.1999999999999998E-3</v>
      </c>
      <c r="C45" s="2">
        <v>31841.401000000002</v>
      </c>
      <c r="D45" s="2">
        <v>9</v>
      </c>
      <c r="E45" s="2">
        <v>3537.9334439999998</v>
      </c>
      <c r="F45" s="2">
        <v>1013.381292</v>
      </c>
      <c r="G45" s="2">
        <v>3.0938560000000002</v>
      </c>
      <c r="I45" s="1">
        <v>12</v>
      </c>
      <c r="J45" s="7">
        <v>6.1999999999999998E-3</v>
      </c>
      <c r="K45" s="2">
        <v>39964.139000000003</v>
      </c>
      <c r="L45" s="2">
        <v>9</v>
      </c>
      <c r="M45" s="2">
        <v>4440.4598889999997</v>
      </c>
      <c r="N45" s="2">
        <v>740.67542700000001</v>
      </c>
      <c r="O45" s="2">
        <v>7.2610460000000003</v>
      </c>
      <c r="Q45" s="1">
        <v>12</v>
      </c>
      <c r="R45" s="7">
        <v>6.1999999999999998E-3</v>
      </c>
      <c r="S45">
        <v>490.41699999999997</v>
      </c>
      <c r="T45">
        <v>6</v>
      </c>
      <c r="U45">
        <v>81.736166999999995</v>
      </c>
      <c r="V45">
        <v>12.606175</v>
      </c>
      <c r="W45">
        <v>9.8075900000000013E-7</v>
      </c>
    </row>
    <row r="46" spans="1:23">
      <c r="A46" s="1">
        <v>13</v>
      </c>
      <c r="B46" s="7">
        <v>6.1000000000000004E-3</v>
      </c>
      <c r="C46" s="2">
        <v>65032.997000000003</v>
      </c>
      <c r="D46" s="2">
        <v>5</v>
      </c>
      <c r="E46" s="2">
        <v>13006.599399999999</v>
      </c>
      <c r="F46" s="2">
        <v>2386.8109669999999</v>
      </c>
      <c r="G46" s="2">
        <v>6.3189039999999999</v>
      </c>
      <c r="I46" s="1">
        <v>13</v>
      </c>
      <c r="J46" s="7">
        <v>6.1000000000000004E-3</v>
      </c>
      <c r="K46" s="2">
        <v>29524.234</v>
      </c>
      <c r="L46" s="2">
        <v>6</v>
      </c>
      <c r="M46" s="2">
        <v>4920.7056670000002</v>
      </c>
      <c r="N46" s="2">
        <v>1076.259916</v>
      </c>
      <c r="O46" s="2">
        <v>5.3642289999999999</v>
      </c>
      <c r="Q46" s="1">
        <v>13</v>
      </c>
      <c r="R46" s="7">
        <v>6.1000000000000004E-3</v>
      </c>
      <c r="S46">
        <v>14125.422</v>
      </c>
      <c r="T46">
        <v>6</v>
      </c>
      <c r="U46">
        <v>2354.2370000000001</v>
      </c>
      <c r="V46">
        <v>2714.4491750000002</v>
      </c>
      <c r="W46">
        <v>28.248678999999999</v>
      </c>
    </row>
    <row r="47" spans="1:23">
      <c r="A47" s="1">
        <v>14</v>
      </c>
      <c r="B47" s="7">
        <v>1.6199999999999999E-2</v>
      </c>
      <c r="C47" s="2">
        <v>75.962999999999994</v>
      </c>
      <c r="D47" s="2">
        <v>15</v>
      </c>
      <c r="E47" s="2">
        <v>5.0641999999999996</v>
      </c>
      <c r="F47" s="2">
        <v>3.7441529999999998</v>
      </c>
      <c r="G47" s="2">
        <v>7.3810000000000001E-9</v>
      </c>
      <c r="I47" s="1">
        <v>14</v>
      </c>
      <c r="J47" s="7">
        <v>1.6199999999999999E-2</v>
      </c>
      <c r="K47" s="2">
        <v>176.43100000000001</v>
      </c>
      <c r="L47" s="2">
        <v>32</v>
      </c>
      <c r="M47" s="2">
        <v>5.5134689999999997</v>
      </c>
      <c r="N47" s="2">
        <v>5.4869279999999998</v>
      </c>
      <c r="O47" s="2">
        <v>3.2055999999999999E-8</v>
      </c>
      <c r="Q47" s="1">
        <v>14</v>
      </c>
      <c r="R47" s="7">
        <v>1.6199999999999999E-2</v>
      </c>
      <c r="S47">
        <v>9.8469999999999995</v>
      </c>
      <c r="T47">
        <v>14</v>
      </c>
      <c r="U47">
        <v>7.0335699999999999E-7</v>
      </c>
      <c r="V47">
        <v>1.298154</v>
      </c>
      <c r="W47">
        <v>1.9692000000000002E-8</v>
      </c>
    </row>
    <row r="48" spans="1:23">
      <c r="A48" s="1">
        <v>15</v>
      </c>
      <c r="B48" s="7">
        <v>7.6899999999999996E-2</v>
      </c>
      <c r="C48" s="2">
        <v>7.9880000000000004</v>
      </c>
      <c r="D48" s="2">
        <v>87</v>
      </c>
      <c r="E48" s="2">
        <v>9.1815999999999993E-8</v>
      </c>
      <c r="F48" s="2">
        <v>5.0472999999999998E-8</v>
      </c>
      <c r="G48" s="2">
        <v>7.7600000000000001E-10</v>
      </c>
      <c r="I48" s="1">
        <v>15</v>
      </c>
      <c r="J48" s="7">
        <v>7.6899999999999996E-2</v>
      </c>
      <c r="K48" s="2">
        <v>7.8540000000000001</v>
      </c>
      <c r="L48" s="2">
        <v>75</v>
      </c>
      <c r="M48" s="2">
        <v>1.0471999999999999E-7</v>
      </c>
      <c r="N48" s="2">
        <v>7.9217000000000001E-8</v>
      </c>
      <c r="O48" s="2">
        <v>1.4270000000000001E-9</v>
      </c>
      <c r="Q48" s="1">
        <v>15</v>
      </c>
      <c r="R48" s="7">
        <v>7.6899999999999996E-2</v>
      </c>
      <c r="S48">
        <v>7.4610000000000003</v>
      </c>
      <c r="T48">
        <v>85</v>
      </c>
      <c r="U48">
        <v>8.7776000000000005E-8</v>
      </c>
      <c r="V48">
        <v>6.4220000000000002E-8</v>
      </c>
      <c r="W48">
        <v>1.4921000000000002E-8</v>
      </c>
    </row>
    <row r="49" spans="5:21">
      <c r="E49" s="10">
        <f>SUMPRODUCT(B34:B48,E34:E48)</f>
        <v>1124.4442429817898</v>
      </c>
      <c r="M49" s="10">
        <f>SUMPRODUCT(J40:J48,M40:M48)</f>
        <v>411.80920825012385</v>
      </c>
      <c r="U49" s="10">
        <f>SUMPRODUCT(R40:R48,U40:U48)</f>
        <v>33.858577030907981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A042B-5D4F-46DA-BAD6-CA3999FE608D}">
  <dimension ref="A1:O24"/>
  <sheetViews>
    <sheetView zoomScale="130" zoomScaleNormal="130" workbookViewId="0">
      <selection activeCell="J14" sqref="J14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5x'!E30</f>
        <v>60.175215080336883</v>
      </c>
      <c r="C7" s="20">
        <f>$B7*C$3/1000</f>
        <v>601.75215080336886</v>
      </c>
      <c r="D7" s="22">
        <f>$B7*D$3/1000</f>
        <v>89608.477331721733</v>
      </c>
      <c r="E7" s="25"/>
      <c r="F7" s="21">
        <f>C7/60</f>
        <v>10.029202513389482</v>
      </c>
      <c r="G7" s="24">
        <f>D7/60</f>
        <v>1493.4746221953621</v>
      </c>
      <c r="H7" s="16"/>
      <c r="I7" s="16"/>
      <c r="J7" s="16"/>
    </row>
    <row r="8" spans="1:15">
      <c r="A8" s="12" t="s">
        <v>15</v>
      </c>
      <c r="B8" s="14">
        <f>'Query 5x'!M30</f>
        <v>1.6395190246094384</v>
      </c>
      <c r="C8" s="20">
        <f>$B8*C$3/1000</f>
        <v>16.395190246094387</v>
      </c>
      <c r="D8" s="22">
        <f>$B8*D$3/1000</f>
        <v>2441.4504070405546</v>
      </c>
      <c r="E8" s="25"/>
      <c r="F8" s="21">
        <f>C8/60</f>
        <v>0.27325317076823979</v>
      </c>
      <c r="G8" s="24">
        <f>D8/60</f>
        <v>40.690840117342574</v>
      </c>
      <c r="H8" s="16"/>
      <c r="I8" s="16"/>
      <c r="J8" s="16"/>
      <c r="K8" s="12">
        <v>127.1</v>
      </c>
      <c r="L8" s="17">
        <f>K8*$D$24</f>
        <v>782300.5</v>
      </c>
      <c r="M8" s="15">
        <f>L8/60</f>
        <v>13038.341666666667</v>
      </c>
      <c r="N8" s="15">
        <f>M8/60</f>
        <v>217.30569444444444</v>
      </c>
      <c r="O8" s="15">
        <f>N8/24</f>
        <v>9.054403935185185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5x'!E49</f>
        <v>1124.4442429817898</v>
      </c>
      <c r="C11" s="20">
        <f t="shared" ref="C11:D13" si="0">$B11*C$4/1000</f>
        <v>11244.442429817898</v>
      </c>
      <c r="D11" s="22">
        <f t="shared" si="0"/>
        <v>4074300.0255777873</v>
      </c>
      <c r="E11" s="25"/>
      <c r="F11" s="21">
        <f t="shared" ref="F11:G13" si="1">C11/60</f>
        <v>187.4073738302983</v>
      </c>
      <c r="G11" s="24">
        <f t="shared" si="1"/>
        <v>67905.00042629645</v>
      </c>
      <c r="H11" s="24">
        <f>G11/60</f>
        <v>1131.7500071049408</v>
      </c>
      <c r="I11" s="24">
        <f>H11/24</f>
        <v>47.156250296039197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5x'!M49</f>
        <v>411.80920825012385</v>
      </c>
      <c r="C12" s="20">
        <f t="shared" si="0"/>
        <v>4118.092082501239</v>
      </c>
      <c r="D12" s="22">
        <f t="shared" si="0"/>
        <v>1492145.3670814161</v>
      </c>
      <c r="E12" s="25"/>
      <c r="F12" s="21">
        <f t="shared" si="1"/>
        <v>68.634868041687312</v>
      </c>
      <c r="G12" s="24">
        <f t="shared" si="1"/>
        <v>24869.089451356933</v>
      </c>
      <c r="H12" s="24">
        <f>G12/60</f>
        <v>414.48482418928222</v>
      </c>
      <c r="I12" s="24">
        <f>H12/24</f>
        <v>17.270201007886758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5x'!U49</f>
        <v>33.858577030907981</v>
      </c>
      <c r="C13" s="20">
        <f t="shared" si="0"/>
        <v>338.58577030907981</v>
      </c>
      <c r="D13" s="22">
        <f t="shared" si="0"/>
        <v>122682.82942802167</v>
      </c>
      <c r="E13" s="25"/>
      <c r="F13" s="21">
        <f t="shared" si="1"/>
        <v>5.6430961718179971</v>
      </c>
      <c r="G13" s="24">
        <f t="shared" si="1"/>
        <v>2044.7138238003611</v>
      </c>
      <c r="H13" s="24">
        <f>G13/60</f>
        <v>34.078563730006017</v>
      </c>
      <c r="I13" s="24">
        <f>H13/24</f>
        <v>1.4199401554169173</v>
      </c>
      <c r="J13" s="16"/>
      <c r="K13" s="18">
        <v>233.3</v>
      </c>
      <c r="L13" s="17">
        <f>K13*$D$24</f>
        <v>1435961.5</v>
      </c>
      <c r="M13" s="15">
        <f>L13/60</f>
        <v>23932.691666666666</v>
      </c>
      <c r="N13" s="15">
        <f>M13/60</f>
        <v>398.87819444444443</v>
      </c>
      <c r="O13" s="15">
        <f>N13/24</f>
        <v>16.619924768518519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200000</v>
      </c>
      <c r="D24" s="17">
        <f>B24/C24</f>
        <v>6155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62C2-05AD-4EDF-8FA5-0FC927BA6B9A}">
  <dimension ref="A1:W49"/>
  <sheetViews>
    <sheetView topLeftCell="A19" zoomScaleNormal="100" workbookViewId="0">
      <selection activeCell="X49" sqref="X49"/>
    </sheetView>
  </sheetViews>
  <sheetFormatPr defaultColWidth="28.1640625" defaultRowHeight="14"/>
  <cols>
    <col min="1" max="1" width="7.83203125" customWidth="1"/>
    <col min="2" max="2" width="6.25" bestFit="1" customWidth="1"/>
    <col min="3" max="5" width="12.58203125" customWidth="1"/>
    <col min="6" max="6" width="12.58203125" hidden="1" customWidth="1"/>
    <col min="7" max="7" width="12.58203125" customWidth="1"/>
    <col min="8" max="8" width="4.83203125" customWidth="1"/>
    <col min="9" max="9" width="7.4140625" customWidth="1"/>
    <col min="10" max="10" width="6.4140625" bestFit="1" customWidth="1"/>
    <col min="11" max="13" width="11.83203125" customWidth="1"/>
    <col min="14" max="14" width="11.83203125" hidden="1" customWidth="1"/>
    <col min="15" max="15" width="11.83203125" customWidth="1"/>
    <col min="16" max="16" width="5.75" customWidth="1"/>
    <col min="17" max="18" width="6.75" customWidth="1"/>
    <col min="19" max="21" width="12.4140625" customWidth="1"/>
    <col min="22" max="22" width="12.4140625" hidden="1" customWidth="1"/>
    <col min="23" max="23" width="12.4140625" customWidth="1"/>
  </cols>
  <sheetData>
    <row r="1" spans="1:7" ht="26">
      <c r="A1" s="1">
        <v>2003</v>
      </c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</row>
    <row r="2" spans="1:7" ht="26">
      <c r="A2" s="1" t="s">
        <v>5</v>
      </c>
      <c r="B2" s="1"/>
      <c r="C2" s="1"/>
      <c r="D2" s="1"/>
      <c r="E2" s="1"/>
      <c r="F2" s="1"/>
      <c r="G2" s="1"/>
    </row>
    <row r="3" spans="1:7">
      <c r="A3" s="1">
        <v>1</v>
      </c>
      <c r="B3" s="7">
        <v>0.60299999999999998</v>
      </c>
      <c r="C3" s="2">
        <v>11484.314</v>
      </c>
      <c r="D3" s="2">
        <v>6013</v>
      </c>
      <c r="E3" s="4">
        <v>1.9099139999999999</v>
      </c>
      <c r="F3" s="2">
        <v>1.2153419999999999</v>
      </c>
      <c r="G3" s="2">
        <v>1.4669080000000001</v>
      </c>
    </row>
    <row r="4" spans="1:7">
      <c r="A4" s="1">
        <v>2</v>
      </c>
      <c r="B4" s="7">
        <v>0.22459999999999999</v>
      </c>
      <c r="C4" s="2">
        <v>404097.152</v>
      </c>
      <c r="D4" s="2">
        <v>2211</v>
      </c>
      <c r="E4" s="4">
        <v>182.76669000000001</v>
      </c>
      <c r="F4" s="2">
        <v>101.391473</v>
      </c>
      <c r="G4" s="2">
        <v>51.615912000000002</v>
      </c>
    </row>
    <row r="5" spans="1:7">
      <c r="A5" s="1">
        <v>3</v>
      </c>
      <c r="B5" s="7">
        <v>4.7500000000000001E-2</v>
      </c>
      <c r="C5" s="2">
        <v>111099.35</v>
      </c>
      <c r="D5" s="2">
        <v>512</v>
      </c>
      <c r="E5" s="4">
        <v>216.99091799999999</v>
      </c>
      <c r="F5" s="2">
        <v>154.42049499999999</v>
      </c>
      <c r="G5" s="2">
        <v>14.19088</v>
      </c>
    </row>
    <row r="6" spans="1:7">
      <c r="A6" s="1">
        <v>4</v>
      </c>
      <c r="B6" s="7">
        <v>0.114</v>
      </c>
      <c r="C6" s="2">
        <v>256011.49100000001</v>
      </c>
      <c r="D6" s="2">
        <v>1151</v>
      </c>
      <c r="E6" s="4">
        <v>222.425275</v>
      </c>
      <c r="F6" s="2">
        <v>156.76627099999999</v>
      </c>
      <c r="G6" s="2">
        <v>32.700716999999997</v>
      </c>
    </row>
    <row r="7" spans="1:7">
      <c r="A7" s="1">
        <v>5</v>
      </c>
      <c r="B7" s="7">
        <v>1.09E-2</v>
      </c>
      <c r="C7" s="2">
        <v>200.28700000000001</v>
      </c>
      <c r="D7" s="2">
        <v>113</v>
      </c>
      <c r="E7" s="4">
        <v>1.772451</v>
      </c>
      <c r="F7" s="2">
        <v>9.586843</v>
      </c>
      <c r="G7" s="2">
        <v>2.5583000000000002E-8</v>
      </c>
    </row>
    <row r="8" spans="1:7">
      <c r="B8" s="8"/>
      <c r="E8" s="10">
        <f>SUMPRODUCT(B3:B7,E3:E7)</f>
        <v>77.883946386899993</v>
      </c>
    </row>
    <row r="9" spans="1:7">
      <c r="B9" s="8"/>
      <c r="E9" s="6"/>
    </row>
    <row r="10" spans="1:7" ht="26">
      <c r="A10" s="1" t="s">
        <v>6</v>
      </c>
      <c r="B10" s="1" t="s">
        <v>9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</row>
    <row r="11" spans="1:7" ht="26">
      <c r="A11" s="1" t="s">
        <v>5</v>
      </c>
      <c r="B11" s="9"/>
      <c r="C11" s="1"/>
      <c r="D11" s="1"/>
      <c r="E11" s="1"/>
      <c r="F11" s="1"/>
      <c r="G11" s="1"/>
    </row>
    <row r="12" spans="1:7">
      <c r="A12" s="1">
        <v>1</v>
      </c>
      <c r="B12" s="7">
        <v>0.60299999999999998</v>
      </c>
      <c r="C12" s="2">
        <v>4761.0209999999997</v>
      </c>
      <c r="D12" s="3">
        <v>6104</v>
      </c>
      <c r="E12" s="5">
        <v>7.7998400000000003E-7</v>
      </c>
      <c r="F12" s="3">
        <v>6.6902500000000002E-7</v>
      </c>
      <c r="G12" s="3">
        <v>8.3123970000000007</v>
      </c>
    </row>
    <row r="13" spans="1:7">
      <c r="A13" s="1">
        <v>2</v>
      </c>
      <c r="B13" s="7">
        <v>0.22459999999999999</v>
      </c>
      <c r="C13" s="2">
        <v>18215.063999999998</v>
      </c>
      <c r="D13" s="3">
        <v>2224</v>
      </c>
      <c r="E13" s="5">
        <v>8.1902270000000001</v>
      </c>
      <c r="F13" s="3">
        <v>5.5119030000000002</v>
      </c>
      <c r="G13" s="3">
        <v>31.802181000000001</v>
      </c>
    </row>
    <row r="14" spans="1:7">
      <c r="A14" s="1">
        <v>3</v>
      </c>
      <c r="B14" s="7">
        <v>4.7500000000000001E-2</v>
      </c>
      <c r="C14" s="2">
        <v>9833.4609999999993</v>
      </c>
      <c r="D14" s="3">
        <v>472</v>
      </c>
      <c r="E14" s="5">
        <v>20.833604000000001</v>
      </c>
      <c r="F14" s="3">
        <v>22.772856000000001</v>
      </c>
      <c r="G14" s="3">
        <v>17.168510000000001</v>
      </c>
    </row>
    <row r="15" spans="1:7">
      <c r="A15" s="1">
        <v>4</v>
      </c>
      <c r="B15" s="7">
        <v>0.114</v>
      </c>
      <c r="C15" s="2">
        <v>24293.846000000001</v>
      </c>
      <c r="D15" s="3">
        <v>1095</v>
      </c>
      <c r="E15" s="5">
        <v>22.186160999999998</v>
      </c>
      <c r="F15" s="3">
        <v>20.771301999999999</v>
      </c>
      <c r="G15" s="3">
        <v>42.415292999999998</v>
      </c>
    </row>
    <row r="16" spans="1:7">
      <c r="A16" s="1">
        <v>5</v>
      </c>
      <c r="B16" s="7">
        <v>1.09E-2</v>
      </c>
      <c r="C16" s="2">
        <v>172.756</v>
      </c>
      <c r="D16" s="3">
        <v>105</v>
      </c>
      <c r="E16" s="5">
        <v>1.645295</v>
      </c>
      <c r="F16" s="3">
        <v>5.0284560000000003</v>
      </c>
      <c r="G16" s="3">
        <v>3.0161900000000005E-7</v>
      </c>
    </row>
    <row r="17" spans="1:23">
      <c r="B17" s="8"/>
      <c r="E17" s="10">
        <f>SUMPRODUCT(B12:B16,E12:E16)</f>
        <v>5.3762777140303513</v>
      </c>
    </row>
    <row r="18" spans="1:23">
      <c r="B18" s="8"/>
    </row>
    <row r="19" spans="1:23" ht="39">
      <c r="A19" s="1" t="s">
        <v>7</v>
      </c>
      <c r="B19" s="1" t="s">
        <v>9</v>
      </c>
      <c r="C19" s="1" t="s">
        <v>0</v>
      </c>
      <c r="D19" s="1" t="s">
        <v>1</v>
      </c>
      <c r="E19" s="1" t="s">
        <v>2</v>
      </c>
      <c r="F19" s="1" t="s">
        <v>3</v>
      </c>
      <c r="G19" s="1" t="s">
        <v>4</v>
      </c>
      <c r="I19" s="1" t="s">
        <v>8</v>
      </c>
      <c r="J19" s="1" t="s">
        <v>9</v>
      </c>
      <c r="K19" s="1" t="s">
        <v>0</v>
      </c>
      <c r="L19" s="1" t="s">
        <v>1</v>
      </c>
      <c r="M19" s="1" t="s">
        <v>2</v>
      </c>
      <c r="N19" s="1" t="s">
        <v>3</v>
      </c>
      <c r="O19" s="1" t="s">
        <v>4</v>
      </c>
    </row>
    <row r="20" spans="1:23" ht="26">
      <c r="A20" s="1" t="s">
        <v>5</v>
      </c>
      <c r="B20" s="9"/>
      <c r="C20" s="1"/>
      <c r="D20" s="1"/>
      <c r="E20" s="1"/>
      <c r="F20" s="1"/>
      <c r="G20" s="1"/>
      <c r="I20" s="1" t="s">
        <v>5</v>
      </c>
      <c r="J20" s="9"/>
      <c r="K20" s="1"/>
      <c r="L20" s="1"/>
      <c r="M20" s="1"/>
      <c r="N20" s="1"/>
      <c r="O20" s="1"/>
    </row>
    <row r="21" spans="1:23">
      <c r="A21" s="1">
        <v>1</v>
      </c>
      <c r="B21" s="7">
        <v>0.1066</v>
      </c>
      <c r="C21" s="2">
        <v>1001.5359999999999</v>
      </c>
      <c r="D21" s="2">
        <v>1878</v>
      </c>
      <c r="E21" s="2">
        <v>5.3329900000000002E-7</v>
      </c>
      <c r="F21" s="2">
        <v>5.25048E-7</v>
      </c>
      <c r="G21" s="2">
        <v>8.6367999999999996E-8</v>
      </c>
      <c r="I21" s="1">
        <v>1</v>
      </c>
      <c r="J21" s="7">
        <v>0.1066</v>
      </c>
      <c r="K21" s="2">
        <v>950.09699999999998</v>
      </c>
      <c r="L21" s="2">
        <v>1959</v>
      </c>
      <c r="M21" s="2">
        <v>4.8499099999999998E-7</v>
      </c>
      <c r="N21" s="2">
        <v>3.0398199999999995E-7</v>
      </c>
      <c r="O21" s="2">
        <v>4.8036190000000003</v>
      </c>
    </row>
    <row r="22" spans="1:23">
      <c r="A22" s="1">
        <v>2</v>
      </c>
      <c r="B22" s="7">
        <v>1.3299999999999999E-2</v>
      </c>
      <c r="C22" s="2">
        <v>1756.271</v>
      </c>
      <c r="D22" s="2">
        <v>235</v>
      </c>
      <c r="E22" s="2">
        <v>7.4734939999999996</v>
      </c>
      <c r="F22" s="2">
        <v>5.2624649999999997</v>
      </c>
      <c r="G22" s="2">
        <v>1.51453E-7</v>
      </c>
      <c r="I22" s="1">
        <v>2</v>
      </c>
      <c r="J22" s="7">
        <v>1.3299999999999999E-2</v>
      </c>
      <c r="K22" s="2">
        <v>2966.61</v>
      </c>
      <c r="L22" s="2">
        <v>228</v>
      </c>
      <c r="M22" s="2">
        <v>13.011447</v>
      </c>
      <c r="N22" s="2">
        <v>10.382001000000001</v>
      </c>
      <c r="O22" s="2">
        <v>14.998957000000001</v>
      </c>
    </row>
    <row r="23" spans="1:23">
      <c r="A23" s="1">
        <v>3</v>
      </c>
      <c r="B23" s="7">
        <v>0.14130000000000001</v>
      </c>
      <c r="C23" s="2">
        <v>1151521.747</v>
      </c>
      <c r="D23" s="2">
        <v>2570</v>
      </c>
      <c r="E23" s="2">
        <v>448.06293699999998</v>
      </c>
      <c r="F23" s="2">
        <v>252.06518299999999</v>
      </c>
      <c r="G23" s="2">
        <v>99.302346</v>
      </c>
      <c r="I23" s="1">
        <v>3</v>
      </c>
      <c r="J23" s="7">
        <v>0.14130000000000001</v>
      </c>
      <c r="K23" s="2">
        <v>14087.25</v>
      </c>
      <c r="L23" s="2">
        <v>2488</v>
      </c>
      <c r="M23" s="2">
        <v>5.6620780000000002</v>
      </c>
      <c r="N23" s="2">
        <v>7.1309319999999996</v>
      </c>
      <c r="O23" s="2">
        <v>71.224076999999994</v>
      </c>
    </row>
    <row r="24" spans="1:23">
      <c r="A24" s="1">
        <v>4</v>
      </c>
      <c r="B24" s="7">
        <v>5.4699999999999999E-2</v>
      </c>
      <c r="C24" s="2">
        <v>1163.9100000000001</v>
      </c>
      <c r="D24" s="2">
        <v>989</v>
      </c>
      <c r="E24" s="2">
        <v>1.176855</v>
      </c>
      <c r="F24" s="2">
        <v>21.235512</v>
      </c>
      <c r="G24" s="2">
        <v>1.0037100000000001E-7</v>
      </c>
      <c r="I24" s="1">
        <v>4</v>
      </c>
      <c r="J24" s="7">
        <v>5.4699999999999999E-2</v>
      </c>
      <c r="K24" s="2">
        <v>118.014</v>
      </c>
      <c r="L24" s="2">
        <v>978</v>
      </c>
      <c r="M24" s="2">
        <v>1.2066900000000001E-7</v>
      </c>
      <c r="N24" s="2">
        <v>1.787787</v>
      </c>
      <c r="O24" s="2">
        <v>5.9667000000000006E-7</v>
      </c>
    </row>
    <row r="25" spans="1:23">
      <c r="A25" s="1">
        <v>5</v>
      </c>
      <c r="B25" s="7">
        <v>4.6800000000000001E-2</v>
      </c>
      <c r="C25" s="2">
        <v>21.917999999999999</v>
      </c>
      <c r="D25" s="2">
        <v>839</v>
      </c>
      <c r="E25" s="2">
        <v>2.6124000000000003E-8</v>
      </c>
      <c r="F25" s="2">
        <v>1.3717999999999999E-8</v>
      </c>
      <c r="G25" s="2">
        <v>1.8899999999999999E-9</v>
      </c>
      <c r="I25" s="1">
        <v>5</v>
      </c>
      <c r="J25" s="7">
        <v>4.6800000000000001E-2</v>
      </c>
      <c r="K25" s="2">
        <v>21.434999999999999</v>
      </c>
      <c r="L25" s="2">
        <v>853</v>
      </c>
      <c r="M25" s="2">
        <v>2.5129E-8</v>
      </c>
      <c r="N25" s="2">
        <v>1.7581E-8</v>
      </c>
      <c r="O25" s="2">
        <v>1.08374E-7</v>
      </c>
    </row>
    <row r="26" spans="1:23">
      <c r="A26" s="1">
        <v>6</v>
      </c>
      <c r="B26" s="7">
        <v>0.10780000000000001</v>
      </c>
      <c r="C26" s="2">
        <v>4046.9490000000001</v>
      </c>
      <c r="D26" s="2">
        <v>1939</v>
      </c>
      <c r="E26" s="2">
        <v>2.087132</v>
      </c>
      <c r="F26" s="2">
        <v>19.679151000000001</v>
      </c>
      <c r="G26" s="2">
        <v>3.4899200000000001E-7</v>
      </c>
      <c r="I26" s="1">
        <v>6</v>
      </c>
      <c r="J26" s="7">
        <v>0.10780000000000001</v>
      </c>
      <c r="K26" s="2">
        <v>1601.5709999999999</v>
      </c>
      <c r="L26" s="2">
        <v>1925</v>
      </c>
      <c r="M26" s="2">
        <v>8.3198499999999994E-7</v>
      </c>
      <c r="N26" s="2">
        <v>14.670491</v>
      </c>
      <c r="O26" s="2">
        <v>8.0974229999999991</v>
      </c>
    </row>
    <row r="27" spans="1:23">
      <c r="A27" s="1">
        <v>7</v>
      </c>
      <c r="B27" s="7">
        <v>3.49E-2</v>
      </c>
      <c r="C27" s="2">
        <v>14.456</v>
      </c>
      <c r="D27" s="2">
        <v>661</v>
      </c>
      <c r="E27" s="2">
        <v>2.187E-8</v>
      </c>
      <c r="F27" s="2">
        <v>1.1472E-8</v>
      </c>
      <c r="G27" s="2">
        <v>1.2470000000000001E-9</v>
      </c>
      <c r="I27" s="1">
        <v>7</v>
      </c>
      <c r="J27" s="7">
        <v>3.49E-2</v>
      </c>
      <c r="K27" s="2">
        <v>12.576000000000001</v>
      </c>
      <c r="L27" s="2">
        <v>596</v>
      </c>
      <c r="M27" s="2">
        <v>2.1101000000000001E-8</v>
      </c>
      <c r="N27" s="2">
        <v>1.1161000000000001E-8</v>
      </c>
      <c r="O27" s="2">
        <v>6.3582999999999994E-8</v>
      </c>
    </row>
    <row r="28" spans="1:23">
      <c r="A28" s="1">
        <v>8</v>
      </c>
      <c r="B28" s="7">
        <v>2.63E-2</v>
      </c>
      <c r="C28" s="2">
        <v>9.4640000000000004</v>
      </c>
      <c r="D28" s="2">
        <v>468</v>
      </c>
      <c r="E28" s="2">
        <v>2.0222000000000001E-8</v>
      </c>
      <c r="F28" s="2">
        <v>9.9100000000000007E-9</v>
      </c>
      <c r="G28" s="2">
        <v>8.1599999999999997E-10</v>
      </c>
      <c r="I28" s="1">
        <v>8</v>
      </c>
      <c r="J28" s="7">
        <v>2.63E-2</v>
      </c>
      <c r="K28" s="2">
        <v>9.282</v>
      </c>
      <c r="L28" s="2">
        <v>502</v>
      </c>
      <c r="M28" s="2">
        <v>1.8489999999999999E-8</v>
      </c>
      <c r="N28" s="2">
        <v>1.2210999999999999E-8</v>
      </c>
      <c r="O28" s="2">
        <v>4.6928999999999996E-8</v>
      </c>
    </row>
    <row r="29" spans="1:23">
      <c r="A29" s="1">
        <v>9</v>
      </c>
      <c r="B29" s="7">
        <v>2.7300000000000001E-2</v>
      </c>
      <c r="C29" s="2">
        <v>75.572000000000003</v>
      </c>
      <c r="D29" s="2">
        <v>421</v>
      </c>
      <c r="E29" s="2">
        <v>1.7950599999999999E-7</v>
      </c>
      <c r="F29" s="2">
        <v>8.7822400000000004E-7</v>
      </c>
      <c r="G29" s="2">
        <v>6.5170000000000006E-9</v>
      </c>
      <c r="I29" s="1">
        <v>9</v>
      </c>
      <c r="J29" s="7">
        <v>2.7300000000000001E-2</v>
      </c>
      <c r="K29" s="2">
        <v>11.94</v>
      </c>
      <c r="L29" s="2">
        <v>471</v>
      </c>
      <c r="M29" s="2">
        <v>2.5350000000000002E-8</v>
      </c>
      <c r="N29" s="2">
        <v>5.3102999999999996E-8</v>
      </c>
      <c r="O29" s="2">
        <v>6.0368000000000002E-8</v>
      </c>
    </row>
    <row r="30" spans="1:23">
      <c r="B30" s="8"/>
      <c r="E30" s="10">
        <f>SUMPRODUCT(B21:B29,E21:E29)</f>
        <v>63.700057330667896</v>
      </c>
      <c r="M30" s="10">
        <f>SUMPRODUCT(J21:J29,M21:M29)</f>
        <v>0.97310401757942211</v>
      </c>
    </row>
    <row r="31" spans="1:23">
      <c r="B31" s="8"/>
    </row>
    <row r="32" spans="1:23" ht="39">
      <c r="A32" s="1" t="s">
        <v>10</v>
      </c>
      <c r="B32" s="1" t="s">
        <v>9</v>
      </c>
      <c r="C32" s="1" t="s">
        <v>0</v>
      </c>
      <c r="D32" s="1" t="s">
        <v>1</v>
      </c>
      <c r="E32" s="1" t="s">
        <v>2</v>
      </c>
      <c r="F32" s="1" t="s">
        <v>3</v>
      </c>
      <c r="G32" s="1" t="s">
        <v>4</v>
      </c>
      <c r="I32" s="1" t="s">
        <v>11</v>
      </c>
      <c r="J32" s="1" t="s">
        <v>9</v>
      </c>
      <c r="K32" s="1" t="s">
        <v>0</v>
      </c>
      <c r="L32" s="1" t="s">
        <v>1</v>
      </c>
      <c r="M32" s="1" t="s">
        <v>2</v>
      </c>
      <c r="N32" s="1" t="s">
        <v>3</v>
      </c>
      <c r="O32" s="1" t="s">
        <v>4</v>
      </c>
      <c r="Q32" s="1" t="s">
        <v>12</v>
      </c>
      <c r="R32" s="1" t="s">
        <v>9</v>
      </c>
      <c r="S32" s="1" t="s">
        <v>0</v>
      </c>
      <c r="T32" s="1" t="s">
        <v>1</v>
      </c>
      <c r="U32" s="1" t="s">
        <v>2</v>
      </c>
      <c r="V32" s="1" t="s">
        <v>3</v>
      </c>
      <c r="W32" s="1" t="s">
        <v>4</v>
      </c>
    </row>
    <row r="33" spans="1:23" ht="26">
      <c r="A33" s="1" t="s">
        <v>5</v>
      </c>
      <c r="B33" s="9"/>
      <c r="C33" s="1"/>
      <c r="D33" s="1"/>
      <c r="E33" s="1"/>
      <c r="F33" s="1"/>
      <c r="G33" s="1"/>
      <c r="I33" s="1" t="s">
        <v>5</v>
      </c>
      <c r="J33" s="9"/>
      <c r="K33" s="1"/>
      <c r="L33" s="1"/>
      <c r="M33" s="1"/>
      <c r="N33" s="1"/>
      <c r="O33" s="1"/>
      <c r="Q33" s="1" t="s">
        <v>5</v>
      </c>
      <c r="R33" s="9"/>
      <c r="S33" s="1"/>
      <c r="T33" s="1"/>
      <c r="U33" s="1"/>
      <c r="V33" s="1"/>
      <c r="W33" s="1"/>
    </row>
    <row r="34" spans="1:23">
      <c r="A34" s="1">
        <v>1</v>
      </c>
      <c r="B34" s="7">
        <v>7.9299999999999995E-2</v>
      </c>
      <c r="C34" s="2">
        <v>6573421</v>
      </c>
      <c r="D34" s="2">
        <v>837</v>
      </c>
      <c r="E34" s="2">
        <v>7.8535500000000003</v>
      </c>
      <c r="F34" s="2">
        <v>5.4695960000000001</v>
      </c>
      <c r="G34" s="2">
        <v>2.0286999999999998E-8</v>
      </c>
      <c r="I34" s="1">
        <v>1</v>
      </c>
      <c r="J34" s="7">
        <v>7.9299999999999995E-2</v>
      </c>
      <c r="K34" s="2">
        <v>1184821000</v>
      </c>
      <c r="L34" s="2">
        <v>848</v>
      </c>
      <c r="M34" s="2">
        <v>1397.194829</v>
      </c>
      <c r="N34" s="2">
        <v>619.54401299999995</v>
      </c>
      <c r="O34" s="2">
        <v>5.0254719999999997</v>
      </c>
      <c r="Q34" s="1">
        <v>1</v>
      </c>
      <c r="R34" s="7">
        <v>7.9299999999999995E-2</v>
      </c>
      <c r="S34" s="2">
        <v>15231.263000000001</v>
      </c>
      <c r="T34" s="2">
        <v>875</v>
      </c>
      <c r="U34" s="2">
        <v>17.407157999999999</v>
      </c>
      <c r="V34" s="2">
        <v>9.2477040000000006</v>
      </c>
      <c r="W34" s="2">
        <v>5.9184000000000004E-7</v>
      </c>
    </row>
    <row r="35" spans="1:23">
      <c r="A35" s="1">
        <v>2</v>
      </c>
      <c r="B35" s="7">
        <v>6.1600000000000002E-2</v>
      </c>
      <c r="C35" s="2">
        <v>338687</v>
      </c>
      <c r="D35" s="2">
        <v>663</v>
      </c>
      <c r="E35" s="2">
        <v>5.1083999999999999E-7</v>
      </c>
      <c r="F35" s="2">
        <v>4.9877000000000001E-7</v>
      </c>
      <c r="G35" s="2">
        <v>1.045E-9</v>
      </c>
      <c r="I35" s="1">
        <v>2</v>
      </c>
      <c r="J35" s="7">
        <v>6.1600000000000002E-2</v>
      </c>
      <c r="K35" s="2">
        <v>347296</v>
      </c>
      <c r="L35" s="2">
        <v>637</v>
      </c>
      <c r="M35" s="2">
        <v>5.4520599999999994E-7</v>
      </c>
      <c r="N35" s="2">
        <v>3.7800800000000003E-7</v>
      </c>
      <c r="O35" s="2">
        <v>1.473E-9</v>
      </c>
      <c r="Q35" s="1">
        <v>2</v>
      </c>
      <c r="R35" s="7">
        <v>6.1600000000000002E-2</v>
      </c>
      <c r="S35" s="2">
        <v>463.61500000000001</v>
      </c>
      <c r="T35" s="2">
        <v>631</v>
      </c>
      <c r="U35" s="2">
        <v>7.3473100000000004E-7</v>
      </c>
      <c r="V35" s="2">
        <v>4.8300200000000003E-7</v>
      </c>
      <c r="W35" s="2">
        <v>1.8015E-8</v>
      </c>
    </row>
    <row r="36" spans="1:23">
      <c r="A36" s="1">
        <v>3</v>
      </c>
      <c r="B36" s="7">
        <v>9.0300000000000005E-2</v>
      </c>
      <c r="C36" s="2">
        <v>271599100</v>
      </c>
      <c r="D36" s="2">
        <v>955</v>
      </c>
      <c r="E36" s="2">
        <v>284.39691599999998</v>
      </c>
      <c r="F36" s="2">
        <v>274.91044499999998</v>
      </c>
      <c r="G36" s="2">
        <v>8.3821599999999999E-7</v>
      </c>
      <c r="I36" s="1">
        <v>3</v>
      </c>
      <c r="J36" s="7">
        <v>9.0300000000000005E-2</v>
      </c>
      <c r="K36" s="2">
        <v>33637900</v>
      </c>
      <c r="L36" s="2">
        <v>946</v>
      </c>
      <c r="M36" s="2">
        <v>35.558030000000002</v>
      </c>
      <c r="N36" s="2">
        <v>11.123042</v>
      </c>
      <c r="O36" s="2">
        <v>1.42677E-7</v>
      </c>
      <c r="Q36" s="1">
        <v>3</v>
      </c>
      <c r="R36" s="7">
        <v>9.0300000000000005E-2</v>
      </c>
      <c r="S36" s="2">
        <v>45109.779000000002</v>
      </c>
      <c r="T36" s="2">
        <v>1003</v>
      </c>
      <c r="U36" s="2">
        <v>44.974854000000001</v>
      </c>
      <c r="V36" s="2">
        <v>112.10972700000001</v>
      </c>
      <c r="W36" s="2">
        <v>1.7528269999999999</v>
      </c>
    </row>
    <row r="37" spans="1:23">
      <c r="A37" s="1">
        <v>4</v>
      </c>
      <c r="B37" s="7">
        <v>7.6700000000000004E-2</v>
      </c>
      <c r="C37" s="2">
        <v>1645561000</v>
      </c>
      <c r="D37" s="2">
        <v>832</v>
      </c>
      <c r="E37" s="2">
        <v>1977.83725</v>
      </c>
      <c r="F37" s="2">
        <v>790.46935099999996</v>
      </c>
      <c r="G37" s="2">
        <v>5.07857</v>
      </c>
      <c r="I37" s="1">
        <v>4</v>
      </c>
      <c r="J37" s="7">
        <v>7.6700000000000004E-2</v>
      </c>
      <c r="K37" s="2">
        <v>954682000</v>
      </c>
      <c r="L37" s="2">
        <v>796</v>
      </c>
      <c r="M37" s="2">
        <v>1199.3492980000001</v>
      </c>
      <c r="N37" s="2">
        <v>3010.9810440000001</v>
      </c>
      <c r="O37" s="2">
        <v>4.0493259999999998</v>
      </c>
      <c r="Q37" s="1">
        <v>4</v>
      </c>
      <c r="R37" s="7">
        <v>7.6700000000000004E-2</v>
      </c>
      <c r="S37" s="2">
        <v>27032.903999999999</v>
      </c>
      <c r="T37" s="2">
        <v>742</v>
      </c>
      <c r="U37" s="2">
        <v>36.432485</v>
      </c>
      <c r="V37" s="2">
        <v>66.570026999999996</v>
      </c>
      <c r="W37" s="2">
        <v>1.050416</v>
      </c>
    </row>
    <row r="38" spans="1:23">
      <c r="A38" s="1">
        <v>5</v>
      </c>
      <c r="B38" s="7">
        <v>1.4200000000000001E-2</v>
      </c>
      <c r="C38" s="2">
        <v>7123</v>
      </c>
      <c r="D38" s="2">
        <v>156</v>
      </c>
      <c r="E38" s="2">
        <v>4.566E-8</v>
      </c>
      <c r="F38" s="2">
        <v>2.1107999999999999E-8</v>
      </c>
      <c r="G38" s="2">
        <v>2.1999999999999998E-11</v>
      </c>
      <c r="I38" s="1">
        <v>5</v>
      </c>
      <c r="J38" s="7">
        <v>1.4200000000000001E-2</v>
      </c>
      <c r="K38" s="2">
        <v>6304</v>
      </c>
      <c r="L38" s="2">
        <v>169</v>
      </c>
      <c r="M38" s="2">
        <v>3.7301999999999999E-8</v>
      </c>
      <c r="N38" s="2">
        <v>1.9744000000000001E-8</v>
      </c>
      <c r="O38" s="2">
        <v>2.7E-11</v>
      </c>
      <c r="Q38" s="1">
        <v>5</v>
      </c>
      <c r="R38" s="7">
        <v>1.4200000000000001E-2</v>
      </c>
      <c r="S38" s="2">
        <v>3.6349999999999998</v>
      </c>
      <c r="T38" s="2">
        <v>135</v>
      </c>
      <c r="U38" s="2">
        <v>2.6925999999999999E-8</v>
      </c>
      <c r="V38" s="2">
        <v>1.8673999999999999E-8</v>
      </c>
      <c r="W38" s="2">
        <v>1.41E-10</v>
      </c>
    </row>
    <row r="39" spans="1:23">
      <c r="A39" s="1">
        <v>6</v>
      </c>
      <c r="B39" s="7">
        <v>0.38009999999999999</v>
      </c>
      <c r="C39" s="2">
        <v>599991</v>
      </c>
      <c r="D39" s="2">
        <v>4017</v>
      </c>
      <c r="E39" s="2">
        <v>1.4936299999999999E-7</v>
      </c>
      <c r="F39" s="2">
        <v>1.31662E-7</v>
      </c>
      <c r="G39" s="2">
        <v>1.852E-9</v>
      </c>
      <c r="I39" s="1">
        <v>6</v>
      </c>
      <c r="J39" s="7">
        <v>0.38009999999999999</v>
      </c>
      <c r="K39" s="2">
        <v>648072</v>
      </c>
      <c r="L39" s="2">
        <v>3966</v>
      </c>
      <c r="M39" s="2">
        <v>1.63407E-7</v>
      </c>
      <c r="N39" s="2">
        <v>1.2769700000000001E-7</v>
      </c>
      <c r="O39" s="2">
        <v>2.7490000000000003E-9</v>
      </c>
      <c r="Q39" s="1">
        <v>6</v>
      </c>
      <c r="R39" s="7">
        <v>0.38009999999999999</v>
      </c>
      <c r="S39" s="2">
        <v>10646.594999999999</v>
      </c>
      <c r="T39" s="2">
        <v>3915</v>
      </c>
      <c r="U39" s="2">
        <v>2.7194370000000001</v>
      </c>
      <c r="V39" s="2">
        <v>31.600626999999999</v>
      </c>
      <c r="W39" s="2">
        <v>4.13694E-7</v>
      </c>
    </row>
    <row r="40" spans="1:23">
      <c r="A40" s="1">
        <v>7</v>
      </c>
      <c r="B40" s="7">
        <v>4.53E-2</v>
      </c>
      <c r="C40" s="2">
        <v>24098270000</v>
      </c>
      <c r="D40" s="2">
        <v>455</v>
      </c>
      <c r="E40" s="2">
        <v>52963.233036999998</v>
      </c>
      <c r="F40" s="2">
        <v>26501.069305000001</v>
      </c>
      <c r="G40" s="2">
        <v>74.372681</v>
      </c>
      <c r="I40" s="1">
        <v>7</v>
      </c>
      <c r="J40" s="7">
        <v>4.53E-2</v>
      </c>
      <c r="K40" s="2">
        <v>15910070000</v>
      </c>
      <c r="L40" s="2">
        <v>463</v>
      </c>
      <c r="M40" s="2">
        <v>34362.992521</v>
      </c>
      <c r="N40" s="2">
        <v>12719.431514</v>
      </c>
      <c r="O40" s="2">
        <v>67.483248000000003</v>
      </c>
      <c r="Q40" s="1">
        <v>7</v>
      </c>
      <c r="R40" s="7">
        <v>4.53E-2</v>
      </c>
      <c r="S40" s="2">
        <v>1140641.3319999999</v>
      </c>
      <c r="T40" s="2">
        <v>475</v>
      </c>
      <c r="U40" s="2">
        <v>2401.3501729999998</v>
      </c>
      <c r="V40" s="2">
        <v>4730.6748379999999</v>
      </c>
      <c r="W40" s="2">
        <v>44.321815999999998</v>
      </c>
    </row>
    <row r="41" spans="1:23">
      <c r="A41" s="1">
        <v>8</v>
      </c>
      <c r="B41" s="7">
        <v>8.2000000000000003E-2</v>
      </c>
      <c r="C41" s="2">
        <v>492534</v>
      </c>
      <c r="D41" s="2">
        <v>831</v>
      </c>
      <c r="E41" s="2">
        <v>5.9269999999999995E-7</v>
      </c>
      <c r="F41" s="2">
        <v>10.765121000000001</v>
      </c>
      <c r="G41" s="2">
        <v>1.5200000000000001E-9</v>
      </c>
      <c r="I41" s="1">
        <v>8</v>
      </c>
      <c r="J41" s="7">
        <v>8.2000000000000003E-2</v>
      </c>
      <c r="K41" s="2">
        <v>176051</v>
      </c>
      <c r="L41" s="2">
        <v>837</v>
      </c>
      <c r="M41" s="2">
        <v>2.1033599999999999E-7</v>
      </c>
      <c r="N41" s="2">
        <v>1.7207209999999999</v>
      </c>
      <c r="O41" s="2">
        <v>7.4700000000000001E-10</v>
      </c>
      <c r="Q41" s="1">
        <v>8</v>
      </c>
      <c r="R41" s="7">
        <v>8.2000000000000003E-2</v>
      </c>
      <c r="S41" s="2">
        <v>1474.13</v>
      </c>
      <c r="T41" s="2">
        <v>890</v>
      </c>
      <c r="U41" s="2">
        <v>1.656326</v>
      </c>
      <c r="V41" s="2">
        <v>12.748148</v>
      </c>
      <c r="W41" s="2">
        <v>5.7280000000000001E-8</v>
      </c>
    </row>
    <row r="42" spans="1:23">
      <c r="A42" s="1">
        <v>9</v>
      </c>
      <c r="B42" s="7">
        <v>6.1000000000000004E-3</v>
      </c>
      <c r="C42" s="2">
        <v>1006566000</v>
      </c>
      <c r="D42" s="2">
        <v>69</v>
      </c>
      <c r="E42" s="2">
        <v>14587.917826000001</v>
      </c>
      <c r="F42" s="2">
        <v>5341.1771849999996</v>
      </c>
      <c r="G42" s="2">
        <v>3.10649</v>
      </c>
      <c r="I42" s="1">
        <v>9</v>
      </c>
      <c r="J42" s="7">
        <v>6.1000000000000004E-3</v>
      </c>
      <c r="K42" s="2">
        <v>1192275000</v>
      </c>
      <c r="L42" s="2">
        <v>65</v>
      </c>
      <c r="M42" s="2">
        <v>18342.694307999998</v>
      </c>
      <c r="N42" s="2">
        <v>6229.0343780000003</v>
      </c>
      <c r="O42" s="2">
        <v>5.0570880000000002</v>
      </c>
      <c r="Q42" s="1">
        <v>9</v>
      </c>
      <c r="R42" s="7">
        <v>6.1000000000000004E-3</v>
      </c>
      <c r="S42" s="2">
        <v>41258.957999999999</v>
      </c>
      <c r="T42" s="2">
        <v>60</v>
      </c>
      <c r="U42" s="2">
        <v>687.64930000000004</v>
      </c>
      <c r="V42" s="2">
        <v>2011.0977049999999</v>
      </c>
      <c r="W42" s="2">
        <v>1.6031960000000001</v>
      </c>
    </row>
    <row r="43" spans="1:23">
      <c r="A43" s="1">
        <v>10</v>
      </c>
      <c r="B43" s="7">
        <v>5.4999999999999997E-3</v>
      </c>
      <c r="C43" s="2">
        <v>598720400</v>
      </c>
      <c r="D43" s="2">
        <v>44</v>
      </c>
      <c r="E43" s="2">
        <v>13607.281226999999</v>
      </c>
      <c r="F43" s="2">
        <v>3922.4007179999999</v>
      </c>
      <c r="G43" s="2">
        <v>1.8477859999999999</v>
      </c>
      <c r="I43" s="1">
        <v>10</v>
      </c>
      <c r="J43" s="7">
        <v>5.4999999999999997E-3</v>
      </c>
      <c r="K43" s="2">
        <v>946237600</v>
      </c>
      <c r="L43" s="2">
        <v>49</v>
      </c>
      <c r="M43" s="2">
        <v>19310.971449000001</v>
      </c>
      <c r="N43" s="2">
        <v>4612.5947169999999</v>
      </c>
      <c r="O43" s="2">
        <v>4.013509</v>
      </c>
      <c r="Q43" s="1">
        <v>10</v>
      </c>
      <c r="R43" s="7">
        <v>5.4999999999999997E-3</v>
      </c>
      <c r="S43" s="2">
        <v>28966.190999999999</v>
      </c>
      <c r="T43" s="2">
        <v>59</v>
      </c>
      <c r="U43" s="2">
        <v>490.95238999999998</v>
      </c>
      <c r="V43" s="2">
        <v>1407.0351949999999</v>
      </c>
      <c r="W43" s="2">
        <v>1.125537</v>
      </c>
    </row>
    <row r="44" spans="1:23">
      <c r="A44" s="1">
        <v>11</v>
      </c>
      <c r="B44" s="7">
        <v>9.7000000000000003E-3</v>
      </c>
      <c r="C44" s="2">
        <v>596785600</v>
      </c>
      <c r="D44" s="2">
        <v>90</v>
      </c>
      <c r="E44" s="2">
        <v>6630.9508779999996</v>
      </c>
      <c r="F44" s="2">
        <v>93.360727999999995</v>
      </c>
      <c r="G44" s="2">
        <v>1.8418140000000001</v>
      </c>
      <c r="I44" s="1">
        <v>11</v>
      </c>
      <c r="J44" s="7">
        <v>9.7000000000000003E-3</v>
      </c>
      <c r="K44" s="2">
        <v>1080196000</v>
      </c>
      <c r="L44" s="2">
        <v>102</v>
      </c>
      <c r="M44" s="2">
        <v>10590.153813999999</v>
      </c>
      <c r="N44" s="2">
        <v>434.31737399999997</v>
      </c>
      <c r="O44" s="2">
        <v>4.5816980000000003</v>
      </c>
      <c r="Q44" s="1">
        <v>11</v>
      </c>
      <c r="R44" s="7">
        <v>9.7000000000000003E-3</v>
      </c>
      <c r="S44" s="2">
        <v>3018.6669999999999</v>
      </c>
      <c r="T44" s="2">
        <v>101</v>
      </c>
      <c r="U44" s="2">
        <v>29.887792000000001</v>
      </c>
      <c r="V44" s="2">
        <v>9.9513300000000005</v>
      </c>
      <c r="W44" s="2">
        <v>1.1729599999999999E-7</v>
      </c>
    </row>
    <row r="45" spans="1:23">
      <c r="A45" s="1">
        <v>12</v>
      </c>
      <c r="B45" s="7">
        <v>6.1999999999999998E-3</v>
      </c>
      <c r="C45" s="2">
        <v>839134500</v>
      </c>
      <c r="D45" s="2">
        <v>56</v>
      </c>
      <c r="E45" s="2">
        <v>14984.544320999999</v>
      </c>
      <c r="F45" s="2">
        <v>5590.8643069999998</v>
      </c>
      <c r="G45" s="2">
        <v>2.5897579999999998</v>
      </c>
      <c r="I45" s="1">
        <v>12</v>
      </c>
      <c r="J45" s="7">
        <v>6.1999999999999998E-3</v>
      </c>
      <c r="K45" s="2">
        <v>573489600</v>
      </c>
      <c r="L45" s="2">
        <v>58</v>
      </c>
      <c r="M45" s="2">
        <v>9887.7525519999999</v>
      </c>
      <c r="N45" s="2">
        <v>3350.460067</v>
      </c>
      <c r="O45" s="2">
        <v>2.4324819999999998</v>
      </c>
      <c r="Q45" s="1">
        <v>12</v>
      </c>
      <c r="R45" s="7">
        <v>6.1999999999999998E-3</v>
      </c>
      <c r="S45" s="2">
        <v>16481.848999999998</v>
      </c>
      <c r="T45" s="2">
        <v>53</v>
      </c>
      <c r="U45" s="2">
        <v>310.97828299999998</v>
      </c>
      <c r="V45" s="2">
        <v>28.316008</v>
      </c>
      <c r="W45" s="2">
        <v>6.4043399999999992E-7</v>
      </c>
    </row>
    <row r="46" spans="1:23">
      <c r="A46" s="1">
        <v>13</v>
      </c>
      <c r="B46" s="7">
        <v>6.1000000000000004E-3</v>
      </c>
      <c r="C46" s="2">
        <v>3319002000</v>
      </c>
      <c r="D46" s="2">
        <v>58</v>
      </c>
      <c r="E46" s="2">
        <v>57224.167621000001</v>
      </c>
      <c r="F46" s="2">
        <v>17443.921590999998</v>
      </c>
      <c r="G46" s="2">
        <v>10.243185</v>
      </c>
      <c r="I46" s="1">
        <v>13</v>
      </c>
      <c r="J46" s="7">
        <v>6.1000000000000004E-3</v>
      </c>
      <c r="K46" s="2">
        <v>1694532000</v>
      </c>
      <c r="L46" s="2">
        <v>65</v>
      </c>
      <c r="M46" s="2">
        <v>26069.725092000001</v>
      </c>
      <c r="N46" s="2">
        <v>20005.622089</v>
      </c>
      <c r="O46" s="2">
        <v>7.1874330000000004</v>
      </c>
      <c r="Q46" s="1">
        <v>13</v>
      </c>
      <c r="R46" s="7">
        <v>6.1000000000000004E-3</v>
      </c>
      <c r="S46" s="2">
        <v>1191519.558</v>
      </c>
      <c r="T46" s="2">
        <v>67</v>
      </c>
      <c r="U46" s="2">
        <v>17783.874</v>
      </c>
      <c r="V46" s="2">
        <v>29709.596373</v>
      </c>
      <c r="W46" s="2">
        <v>46.298788000000002</v>
      </c>
    </row>
    <row r="47" spans="1:23">
      <c r="A47" s="1">
        <v>14</v>
      </c>
      <c r="B47" s="7">
        <v>1.6199999999999999E-2</v>
      </c>
      <c r="C47" s="2">
        <v>868150</v>
      </c>
      <c r="D47" s="2">
        <v>173</v>
      </c>
      <c r="E47" s="2">
        <v>5.0182079999999996</v>
      </c>
      <c r="F47" s="2">
        <v>3.3561999999999999</v>
      </c>
      <c r="G47" s="2">
        <v>2.679E-9</v>
      </c>
      <c r="I47" s="1">
        <v>14</v>
      </c>
      <c r="J47" s="7">
        <v>1.6199999999999999E-2</v>
      </c>
      <c r="K47" s="2">
        <v>1045643</v>
      </c>
      <c r="L47" s="2">
        <v>175</v>
      </c>
      <c r="M47" s="2">
        <v>5.9751029999999998</v>
      </c>
      <c r="N47" s="2">
        <v>4.6920029999999997</v>
      </c>
      <c r="O47" s="2">
        <v>4.4349999999999997E-9</v>
      </c>
      <c r="Q47" s="1">
        <v>14</v>
      </c>
      <c r="R47" s="7">
        <v>1.6199999999999999E-2</v>
      </c>
      <c r="S47" s="2">
        <v>70.614999999999995</v>
      </c>
      <c r="T47" s="2">
        <v>163</v>
      </c>
      <c r="U47" s="2">
        <v>4.3322100000000004E-7</v>
      </c>
      <c r="V47" s="2">
        <v>5.8080800000000002E-7</v>
      </c>
      <c r="W47" s="2">
        <v>2.744E-9</v>
      </c>
    </row>
    <row r="48" spans="1:23">
      <c r="A48" s="1">
        <v>15</v>
      </c>
      <c r="B48" s="7">
        <v>7.6899999999999996E-2</v>
      </c>
      <c r="C48" s="2">
        <v>17528040</v>
      </c>
      <c r="D48" s="2">
        <v>764</v>
      </c>
      <c r="E48" s="2">
        <v>22.942457000000001</v>
      </c>
      <c r="F48" s="2">
        <v>89.830115000000006</v>
      </c>
      <c r="G48" s="2">
        <v>5.4094999999999996E-8</v>
      </c>
      <c r="I48" s="1">
        <v>15</v>
      </c>
      <c r="J48" s="7">
        <v>7.6899999999999996E-2</v>
      </c>
      <c r="K48" s="2">
        <v>4158371</v>
      </c>
      <c r="L48" s="2">
        <v>824</v>
      </c>
      <c r="M48" s="2">
        <v>5.0465669999999996</v>
      </c>
      <c r="N48" s="2">
        <v>42.924895999999997</v>
      </c>
      <c r="O48" s="2">
        <v>1.7638000000000002E-8</v>
      </c>
      <c r="Q48" s="1">
        <v>15</v>
      </c>
      <c r="R48" s="7">
        <v>7.6899999999999996E-2</v>
      </c>
      <c r="S48" s="2">
        <v>51624.661</v>
      </c>
      <c r="T48" s="2">
        <v>831</v>
      </c>
      <c r="U48" s="2">
        <v>62.123539000000001</v>
      </c>
      <c r="V48" s="2">
        <v>178.605039</v>
      </c>
      <c r="W48" s="2">
        <v>2.005976</v>
      </c>
    </row>
    <row r="49" spans="5:21">
      <c r="E49" s="10">
        <f>SUMPRODUCT(B34:B48,E34:E48)</f>
        <v>3249.2021380132906</v>
      </c>
      <c r="M49" s="10">
        <f>SUMPRODUCT(J40:J48,M40:M48)</f>
        <v>2098.2830980171475</v>
      </c>
      <c r="U49" s="10">
        <f>SUMPRODUCT(R40:R48,U40:U48)</f>
        <v>231.28878893701815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7D2CC-D581-4801-8D9A-94E9E5C0D6CA}">
  <dimension ref="A1:O24"/>
  <sheetViews>
    <sheetView zoomScale="130" zoomScaleNormal="130" workbookViewId="0">
      <selection activeCell="K9" sqref="K9"/>
    </sheetView>
  </sheetViews>
  <sheetFormatPr defaultColWidth="8.75" defaultRowHeight="14"/>
  <cols>
    <col min="1" max="1" width="15.4140625" style="12" bestFit="1" customWidth="1"/>
    <col min="2" max="2" width="12.1640625" style="12" bestFit="1" customWidth="1"/>
    <col min="3" max="3" width="13.83203125" style="12" bestFit="1" customWidth="1"/>
    <col min="4" max="4" width="15.1640625" style="12" customWidth="1"/>
    <col min="5" max="5" width="3" style="12" customWidth="1"/>
    <col min="6" max="6" width="14" style="12" bestFit="1" customWidth="1"/>
    <col min="7" max="7" width="15" style="12" customWidth="1"/>
    <col min="8" max="8" width="14.75" style="12" bestFit="1" customWidth="1"/>
    <col min="9" max="9" width="13.4140625" style="12" customWidth="1"/>
    <col min="10" max="10" width="3.1640625" style="12" customWidth="1"/>
    <col min="11" max="11" width="22.1640625" style="12" bestFit="1" customWidth="1"/>
    <col min="12" max="12" width="11.1640625" style="12" bestFit="1" customWidth="1"/>
    <col min="13" max="13" width="11.25" style="12" bestFit="1" customWidth="1"/>
    <col min="14" max="15" width="9.25" style="12" bestFit="1" customWidth="1"/>
    <col min="16" max="16" width="21.25" style="12" bestFit="1" customWidth="1"/>
    <col min="17" max="17" width="11.1640625" style="12" bestFit="1" customWidth="1"/>
    <col min="18" max="18" width="11.25" style="12" bestFit="1" customWidth="1"/>
    <col min="19" max="20" width="9.25" style="12" bestFit="1" customWidth="1"/>
    <col min="21" max="16384" width="8.75" style="12"/>
  </cols>
  <sheetData>
    <row r="1" spans="1:15" ht="28">
      <c r="A1" s="13" t="s">
        <v>22</v>
      </c>
      <c r="C1" s="19" t="s">
        <v>13</v>
      </c>
      <c r="D1" s="23" t="s">
        <v>35</v>
      </c>
      <c r="E1" s="13"/>
    </row>
    <row r="2" spans="1:15">
      <c r="A2" s="12" t="s">
        <v>23</v>
      </c>
      <c r="C2" s="12">
        <v>10000</v>
      </c>
      <c r="D2" s="12">
        <v>50333</v>
      </c>
    </row>
    <row r="3" spans="1:15">
      <c r="A3" s="12" t="s">
        <v>24</v>
      </c>
      <c r="C3" s="12">
        <v>10000</v>
      </c>
      <c r="D3" s="12">
        <v>1489126</v>
      </c>
    </row>
    <row r="4" spans="1:15">
      <c r="A4" s="12" t="s">
        <v>25</v>
      </c>
      <c r="C4" s="12">
        <v>10000</v>
      </c>
      <c r="D4" s="12">
        <v>3623390</v>
      </c>
    </row>
    <row r="6" spans="1:15" ht="42">
      <c r="A6" s="13" t="s">
        <v>36</v>
      </c>
      <c r="B6" s="13" t="s">
        <v>16</v>
      </c>
      <c r="C6" s="13" t="s">
        <v>39</v>
      </c>
      <c r="D6" s="13" t="s">
        <v>38</v>
      </c>
      <c r="E6" s="13"/>
      <c r="F6" s="13" t="s">
        <v>40</v>
      </c>
      <c r="G6" s="13" t="s">
        <v>41</v>
      </c>
      <c r="K6" s="13" t="s">
        <v>44</v>
      </c>
      <c r="L6" s="13" t="s">
        <v>31</v>
      </c>
      <c r="M6" s="13" t="s">
        <v>32</v>
      </c>
      <c r="N6" s="13" t="s">
        <v>33</v>
      </c>
      <c r="O6" s="13" t="s">
        <v>34</v>
      </c>
    </row>
    <row r="7" spans="1:15">
      <c r="A7" s="12" t="s">
        <v>14</v>
      </c>
      <c r="B7" s="14">
        <f>'Query 10x'!E30</f>
        <v>63.700057330667896</v>
      </c>
      <c r="C7" s="20">
        <f>$B7*C$3/1000</f>
        <v>637.00057330667892</v>
      </c>
      <c r="D7" s="22">
        <f>$B7*D$3/1000</f>
        <v>94857.411572588157</v>
      </c>
      <c r="E7" s="25"/>
      <c r="F7" s="21">
        <f>C7/60</f>
        <v>10.616676221777983</v>
      </c>
      <c r="G7" s="24">
        <f>D7/60</f>
        <v>1580.956859543136</v>
      </c>
      <c r="H7" s="16"/>
      <c r="I7" s="16"/>
      <c r="J7" s="16"/>
    </row>
    <row r="8" spans="1:15">
      <c r="A8" s="12" t="s">
        <v>15</v>
      </c>
      <c r="B8" s="14">
        <f>'Query 10x'!M30</f>
        <v>0.97310401757942211</v>
      </c>
      <c r="C8" s="20">
        <f>$B8*C$3/1000</f>
        <v>9.731040175794222</v>
      </c>
      <c r="D8" s="22">
        <f>$B8*D$3/1000</f>
        <v>1449.0744932819744</v>
      </c>
      <c r="E8" s="25"/>
      <c r="F8" s="21">
        <f>C8/60</f>
        <v>0.1621840029299037</v>
      </c>
      <c r="G8" s="24">
        <f>D8/60</f>
        <v>24.151241554699574</v>
      </c>
      <c r="H8" s="16"/>
      <c r="I8" s="16"/>
      <c r="J8" s="16"/>
      <c r="K8" s="12">
        <v>675</v>
      </c>
      <c r="L8" s="17">
        <f>K8*$D$24</f>
        <v>830925</v>
      </c>
      <c r="M8" s="15">
        <f>L8/60</f>
        <v>13848.75</v>
      </c>
      <c r="N8" s="15">
        <f>M8/60</f>
        <v>230.8125</v>
      </c>
      <c r="O8" s="15">
        <f>N8/24</f>
        <v>9.6171875</v>
      </c>
    </row>
    <row r="9" spans="1:15">
      <c r="K9" s="12">
        <v>415</v>
      </c>
    </row>
    <row r="10" spans="1:15" ht="42">
      <c r="A10" s="13" t="s">
        <v>37</v>
      </c>
      <c r="B10" s="13" t="s">
        <v>16</v>
      </c>
      <c r="C10" s="13" t="s">
        <v>39</v>
      </c>
      <c r="D10" s="13" t="s">
        <v>38</v>
      </c>
      <c r="E10" s="13"/>
      <c r="F10" s="13" t="s">
        <v>40</v>
      </c>
      <c r="G10" s="13" t="s">
        <v>41</v>
      </c>
      <c r="H10" s="13" t="s">
        <v>42</v>
      </c>
      <c r="I10" s="13" t="s">
        <v>43</v>
      </c>
      <c r="J10" s="13"/>
      <c r="K10" s="13" t="s">
        <v>45</v>
      </c>
      <c r="L10" s="13" t="s">
        <v>31</v>
      </c>
      <c r="M10" s="13" t="s">
        <v>32</v>
      </c>
      <c r="N10" s="13" t="s">
        <v>33</v>
      </c>
      <c r="O10" s="13" t="s">
        <v>34</v>
      </c>
    </row>
    <row r="11" spans="1:15">
      <c r="A11" s="12" t="s">
        <v>17</v>
      </c>
      <c r="B11" s="14">
        <f>'Query 10x'!E49</f>
        <v>3249.2021380132906</v>
      </c>
      <c r="C11" s="20">
        <f t="shared" ref="C11:D13" si="0">$B11*C$4/1000</f>
        <v>32492.021380132905</v>
      </c>
      <c r="D11" s="22">
        <f t="shared" si="0"/>
        <v>11773126.534855977</v>
      </c>
      <c r="E11" s="25"/>
      <c r="F11" s="21">
        <f t="shared" ref="F11:G13" si="1">C11/60</f>
        <v>541.53368966888172</v>
      </c>
      <c r="G11" s="24">
        <f t="shared" si="1"/>
        <v>196218.77558093294</v>
      </c>
      <c r="H11" s="24">
        <f>G11/60</f>
        <v>3270.3129263488822</v>
      </c>
      <c r="I11" s="24">
        <f>H11/24</f>
        <v>136.26303859787009</v>
      </c>
      <c r="J11" s="16"/>
      <c r="K11" s="18"/>
      <c r="L11" s="18"/>
      <c r="M11" s="18"/>
      <c r="N11" s="18"/>
      <c r="O11" s="18"/>
    </row>
    <row r="12" spans="1:15">
      <c r="A12" s="12" t="s">
        <v>18</v>
      </c>
      <c r="B12" s="14">
        <f>'Query 10x'!M49</f>
        <v>2098.2830980171475</v>
      </c>
      <c r="C12" s="20">
        <f t="shared" si="0"/>
        <v>20982.830980171475</v>
      </c>
      <c r="D12" s="22">
        <f t="shared" si="0"/>
        <v>7602897.9945243523</v>
      </c>
      <c r="E12" s="25"/>
      <c r="F12" s="21">
        <f t="shared" si="1"/>
        <v>349.71384966952456</v>
      </c>
      <c r="G12" s="24">
        <f t="shared" si="1"/>
        <v>126714.96657540587</v>
      </c>
      <c r="H12" s="24">
        <f>G12/60</f>
        <v>2111.9161095900977</v>
      </c>
      <c r="I12" s="24">
        <f>H12/24</f>
        <v>87.996504566254075</v>
      </c>
      <c r="J12" s="16"/>
      <c r="K12" s="18"/>
      <c r="L12" s="18"/>
      <c r="M12" s="18"/>
      <c r="N12" s="18"/>
      <c r="O12" s="18"/>
    </row>
    <row r="13" spans="1:15">
      <c r="A13" s="12" t="s">
        <v>19</v>
      </c>
      <c r="B13" s="14">
        <f>'Query 10x'!U49</f>
        <v>231.28878893701815</v>
      </c>
      <c r="C13" s="20">
        <f t="shared" si="0"/>
        <v>2312.8878893701817</v>
      </c>
      <c r="D13" s="22">
        <f t="shared" si="0"/>
        <v>838049.48494650226</v>
      </c>
      <c r="E13" s="25"/>
      <c r="F13" s="21">
        <f t="shared" si="1"/>
        <v>38.548131489503028</v>
      </c>
      <c r="G13" s="24">
        <f t="shared" si="1"/>
        <v>13967.491415775037</v>
      </c>
      <c r="H13" s="24">
        <f>G13/60</f>
        <v>232.79152359625061</v>
      </c>
      <c r="I13" s="24">
        <f>H13/24</f>
        <v>9.6996468165104428</v>
      </c>
      <c r="J13" s="16"/>
      <c r="K13" s="18">
        <v>922</v>
      </c>
      <c r="L13" s="17">
        <f>K13*$D$24</f>
        <v>1134982</v>
      </c>
      <c r="M13" s="15">
        <f>L13/60</f>
        <v>18916.366666666665</v>
      </c>
      <c r="N13" s="15">
        <f>M13/60</f>
        <v>315.27277777777778</v>
      </c>
      <c r="O13" s="15">
        <f>N13/24</f>
        <v>13.136365740740741</v>
      </c>
    </row>
    <row r="14" spans="1:15">
      <c r="K14" s="12">
        <v>623</v>
      </c>
    </row>
    <row r="23" spans="1:7">
      <c r="A23" s="13" t="s">
        <v>26</v>
      </c>
      <c r="B23" s="13" t="s">
        <v>27</v>
      </c>
      <c r="C23" s="13" t="s">
        <v>28</v>
      </c>
      <c r="D23" s="13" t="s">
        <v>29</v>
      </c>
      <c r="E23" s="13"/>
      <c r="G23" s="13"/>
    </row>
    <row r="24" spans="1:7">
      <c r="A24" s="12" t="s">
        <v>30</v>
      </c>
      <c r="B24" s="12">
        <v>1231000000</v>
      </c>
      <c r="C24" s="12">
        <v>1000000</v>
      </c>
      <c r="D24" s="17">
        <f>B24/C24</f>
        <v>1231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8B785-CA88-414A-B941-315E204E4262}">
  <sheetPr filterMode="1"/>
  <dimension ref="A1:AD265"/>
  <sheetViews>
    <sheetView tabSelected="1" workbookViewId="0">
      <selection activeCell="J1" sqref="J1:AD1048576"/>
    </sheetView>
  </sheetViews>
  <sheetFormatPr defaultRowHeight="14"/>
  <cols>
    <col min="1" max="1" width="5.75" style="42" bestFit="1" customWidth="1"/>
    <col min="2" max="2" width="9.75" style="42" bestFit="1" customWidth="1"/>
    <col min="3" max="4" width="14.58203125" style="42" bestFit="1" customWidth="1"/>
    <col min="5" max="5" width="13.75" style="42" bestFit="1" customWidth="1"/>
    <col min="6" max="6" width="14.58203125" style="42" bestFit="1" customWidth="1"/>
    <col min="7" max="7" width="13.75" style="42" bestFit="1" customWidth="1"/>
    <col min="8" max="8" width="16.1640625" style="42" bestFit="1" customWidth="1"/>
    <col min="10" max="10" width="24.4140625" hidden="1" customWidth="1"/>
    <col min="11" max="11" width="29" hidden="1" customWidth="1"/>
    <col min="12" max="12" width="10.75" hidden="1" customWidth="1"/>
    <col min="13" max="15" width="9.58203125" hidden="1" customWidth="1"/>
    <col min="16" max="16" width="0" hidden="1" customWidth="1"/>
    <col min="17" max="17" width="6.08203125" hidden="1" customWidth="1"/>
    <col min="18" max="19" width="13.83203125" hidden="1" customWidth="1"/>
    <col min="20" max="20" width="12.9140625" hidden="1" customWidth="1"/>
    <col min="21" max="21" width="13.83203125" hidden="1" customWidth="1"/>
    <col min="22" max="22" width="12.9140625" hidden="1" customWidth="1"/>
    <col min="23" max="23" width="15.5" hidden="1" customWidth="1"/>
    <col min="24" max="24" width="9.75" hidden="1" customWidth="1"/>
    <col min="25" max="30" width="0" hidden="1" customWidth="1"/>
  </cols>
  <sheetData>
    <row r="1" spans="1:30">
      <c r="B1" s="43" t="s">
        <v>440</v>
      </c>
      <c r="C1" s="43"/>
      <c r="D1" s="43"/>
      <c r="E1" s="43"/>
      <c r="F1" s="43"/>
      <c r="G1" s="43"/>
      <c r="H1" s="43"/>
      <c r="J1" s="38" t="s">
        <v>362</v>
      </c>
      <c r="K1" s="38" t="s">
        <v>26</v>
      </c>
      <c r="L1" s="38" t="s">
        <v>363</v>
      </c>
      <c r="M1" s="38" t="s">
        <v>366</v>
      </c>
      <c r="N1" s="38" t="s">
        <v>364</v>
      </c>
      <c r="O1" s="38" t="s">
        <v>365</v>
      </c>
      <c r="P1" s="38" t="s">
        <v>52</v>
      </c>
      <c r="Q1" s="38" t="s">
        <v>56</v>
      </c>
      <c r="R1" s="38" t="s">
        <v>57</v>
      </c>
      <c r="S1" s="38" t="s">
        <v>58</v>
      </c>
      <c r="T1" s="38" t="s">
        <v>60</v>
      </c>
      <c r="U1" s="38" t="s">
        <v>59</v>
      </c>
      <c r="V1" s="38" t="s">
        <v>61</v>
      </c>
      <c r="W1" s="38" t="s">
        <v>62</v>
      </c>
      <c r="X1" s="38" t="s">
        <v>56</v>
      </c>
      <c r="Y1" s="38" t="s">
        <v>57</v>
      </c>
      <c r="Z1" s="38" t="s">
        <v>58</v>
      </c>
      <c r="AA1" s="38" t="s">
        <v>60</v>
      </c>
      <c r="AB1" s="38" t="s">
        <v>59</v>
      </c>
      <c r="AC1" s="38" t="s">
        <v>61</v>
      </c>
      <c r="AD1" s="38" t="s">
        <v>62</v>
      </c>
    </row>
    <row r="2" spans="1:30">
      <c r="A2" s="44" t="s">
        <v>52</v>
      </c>
      <c r="B2" s="44" t="s">
        <v>56</v>
      </c>
      <c r="C2" s="44" t="s">
        <v>57</v>
      </c>
      <c r="D2" s="44" t="s">
        <v>58</v>
      </c>
      <c r="E2" s="44" t="s">
        <v>60</v>
      </c>
      <c r="F2" s="44" t="s">
        <v>59</v>
      </c>
      <c r="G2" s="44" t="s">
        <v>61</v>
      </c>
      <c r="H2" s="44" t="s">
        <v>62</v>
      </c>
      <c r="J2" t="s">
        <v>68</v>
      </c>
      <c r="K2" t="s">
        <v>69</v>
      </c>
      <c r="L2">
        <v>625467392</v>
      </c>
      <c r="M2" t="s">
        <v>70</v>
      </c>
      <c r="N2" t="s">
        <v>71</v>
      </c>
      <c r="O2" t="s">
        <v>72</v>
      </c>
      <c r="P2" t="str">
        <f>IF(ISNUMBER(SEARCH("_2x", J2)), "2x", IF(ISNUMBER(SEARCH("_5x", J2)), "5x", IF(ISNUMBER(SEARCH("_10x", J2)), "10x", "1x")))</f>
        <v>1x</v>
      </c>
      <c r="Q2">
        <v>1</v>
      </c>
      <c r="X2">
        <f>IF(Q2=1,$L2,"")</f>
        <v>625467392</v>
      </c>
      <c r="Y2" t="str">
        <f t="shared" ref="Y2:AD2" si="0">IF(R2=1,$L2,"")</f>
        <v/>
      </c>
      <c r="Z2" t="str">
        <f t="shared" si="0"/>
        <v/>
      </c>
      <c r="AA2" t="str">
        <f t="shared" si="0"/>
        <v/>
      </c>
      <c r="AB2" t="str">
        <f t="shared" si="0"/>
        <v/>
      </c>
      <c r="AC2" t="str">
        <f t="shared" si="0"/>
        <v/>
      </c>
      <c r="AD2" t="str">
        <f t="shared" si="0"/>
        <v/>
      </c>
    </row>
    <row r="3" spans="1:30">
      <c r="A3" s="44" t="s">
        <v>367</v>
      </c>
      <c r="B3" s="42">
        <f ca="1">SUMIF($P$2:$AD$195,$A3,X$2:X$195)</f>
        <v>715800576</v>
      </c>
      <c r="C3" s="42">
        <f t="shared" ref="C3:H3" ca="1" si="1">SUMIF($P$2:$AD$195,$A3,Y$2:Y$195)</f>
        <v>738615296</v>
      </c>
      <c r="D3" s="42">
        <f t="shared" ca="1" si="1"/>
        <v>917856256</v>
      </c>
      <c r="E3" s="42">
        <f t="shared" ca="1" si="1"/>
        <v>893943808</v>
      </c>
      <c r="F3" s="42">
        <f t="shared" ca="1" si="1"/>
        <v>934887424</v>
      </c>
      <c r="G3" s="42">
        <f t="shared" ca="1" si="1"/>
        <v>925286400</v>
      </c>
      <c r="H3" s="42">
        <f t="shared" ca="1" si="1"/>
        <v>920936448</v>
      </c>
      <c r="J3" t="s">
        <v>68</v>
      </c>
      <c r="K3" t="s">
        <v>73</v>
      </c>
      <c r="L3">
        <v>18178048</v>
      </c>
      <c r="M3" t="s">
        <v>74</v>
      </c>
      <c r="N3" t="s">
        <v>74</v>
      </c>
      <c r="O3" t="s">
        <v>75</v>
      </c>
      <c r="P3" t="str">
        <f>IF(ISNUMBER(SEARCH("_2x", J3)), "2x", IF(ISNUMBER(SEARCH("_5x", J3)), "5x", IF(ISNUMBER(SEARCH("_10x", J3)), "10x", "1x")))</f>
        <v>1x</v>
      </c>
      <c r="Q3">
        <v>1</v>
      </c>
      <c r="R3">
        <v>1</v>
      </c>
      <c r="X3">
        <f t="shared" ref="X3:X49" si="2">IF(Q3=1,$L3,"")</f>
        <v>18178048</v>
      </c>
      <c r="Y3">
        <f t="shared" ref="Y3:Y49" si="3">IF(R3=1,$L3,"")</f>
        <v>18178048</v>
      </c>
      <c r="Z3" t="str">
        <f t="shared" ref="Z3:Z49" si="4">IF(S3=1,$L3,"")</f>
        <v/>
      </c>
      <c r="AA3" t="str">
        <f t="shared" ref="AA3:AA49" si="5">IF(T3=1,$L3,"")</f>
        <v/>
      </c>
      <c r="AB3" t="str">
        <f t="shared" ref="AB3:AB49" si="6">IF(U3=1,$L3,"")</f>
        <v/>
      </c>
      <c r="AC3" t="str">
        <f t="shared" ref="AC3:AC49" si="7">IF(V3=1,$L3,"")</f>
        <v/>
      </c>
      <c r="AD3" t="str">
        <f t="shared" ref="AD3:AD49" si="8">IF(W3=1,$L3,"")</f>
        <v/>
      </c>
    </row>
    <row r="4" spans="1:30">
      <c r="A4" s="44" t="s">
        <v>368</v>
      </c>
      <c r="B4" s="42">
        <f t="shared" ref="B4:B5" ca="1" si="9">SUMIF($P$2:$AD$195,$A4,X$2:X$195)</f>
        <v>1431248896</v>
      </c>
      <c r="C4" s="42">
        <f t="shared" ref="C4:C5" ca="1" si="10">SUMIF($P$2:$AD$195,$A4,Y$2:Y$195)</f>
        <v>1476624384</v>
      </c>
      <c r="D4" s="42">
        <f t="shared" ref="D4:D5" ca="1" si="11">SUMIF($P$2:$AD$195,$A4,Z$2:Z$195)</f>
        <v>1732567040</v>
      </c>
      <c r="E4" s="42">
        <f t="shared" ref="E4:E5" ca="1" si="12">SUMIF($P$2:$AD$195,$A4,AA$2:AA$195)</f>
        <v>1684660224</v>
      </c>
      <c r="F4" s="42">
        <f t="shared" ref="F4:F5" ca="1" si="13">SUMIF($P$2:$AD$195,$A4,AB$2:AB$195)</f>
        <v>1766490112</v>
      </c>
      <c r="G4" s="42">
        <f t="shared" ref="G4:G5" ca="1" si="14">SUMIF($P$2:$AD$195,$A4,AC$2:AC$195)</f>
        <v>1747132416</v>
      </c>
      <c r="H4" s="42">
        <f t="shared" ref="H4:H5" ca="1" si="15">SUMIF($P$2:$AD$195,$A4,AD$2:AD$195)</f>
        <v>1746059264</v>
      </c>
      <c r="J4" t="s">
        <v>68</v>
      </c>
      <c r="K4" t="s">
        <v>76</v>
      </c>
      <c r="L4">
        <v>72155136</v>
      </c>
      <c r="M4" t="s">
        <v>77</v>
      </c>
      <c r="N4" t="s">
        <v>78</v>
      </c>
      <c r="O4" t="s">
        <v>79</v>
      </c>
      <c r="P4" t="str">
        <f>IF(ISNUMBER(SEARCH("_2x", J4)), "2x", IF(ISNUMBER(SEARCH("_5x", J4)), "5x", IF(ISNUMBER(SEARCH("_10x", J4)), "10x", "1x")))</f>
        <v>1x</v>
      </c>
      <c r="Q4">
        <v>1</v>
      </c>
      <c r="X4">
        <f t="shared" si="2"/>
        <v>72155136</v>
      </c>
      <c r="Y4" t="str">
        <f t="shared" si="3"/>
        <v/>
      </c>
      <c r="Z4" t="str">
        <f t="shared" si="4"/>
        <v/>
      </c>
      <c r="AA4" t="str">
        <f t="shared" si="5"/>
        <v/>
      </c>
      <c r="AB4" t="str">
        <f t="shared" si="6"/>
        <v/>
      </c>
      <c r="AC4" t="str">
        <f t="shared" si="7"/>
        <v/>
      </c>
      <c r="AD4" t="str">
        <f t="shared" si="8"/>
        <v/>
      </c>
    </row>
    <row r="5" spans="1:30">
      <c r="A5" s="41" t="s">
        <v>371</v>
      </c>
      <c r="B5" s="42">
        <f t="shared" ref="B5" ca="1" si="16">SUMIF($P$2:$AD$195,$A5,X$2:X$195)</f>
        <v>3577634816</v>
      </c>
      <c r="C5" s="42">
        <f t="shared" ref="C5" ca="1" si="17">SUMIF($P$2:$AD$195,$A5,Y$2:Y$195)</f>
        <v>3690553344</v>
      </c>
      <c r="D5" s="42">
        <f t="shared" ref="D5" ca="1" si="18">SUMIF($P$2:$AD$195,$A5,Z$2:Z$195)</f>
        <v>4176658432</v>
      </c>
      <c r="E5" s="42">
        <f t="shared" ref="E5" ca="1" si="19">SUMIF($P$2:$AD$195,$A5,AA$2:AA$195)</f>
        <v>4056940544</v>
      </c>
      <c r="F5" s="42">
        <f t="shared" ref="F5" ca="1" si="20">SUMIF($P$2:$AD$195,$A5,AB$2:AB$195)</f>
        <v>4262830080</v>
      </c>
      <c r="G5" s="42">
        <f t="shared" ref="G5" ca="1" si="21">SUMIF($P$2:$AD$195,$A5,AC$2:AC$195)</f>
        <v>4214415360</v>
      </c>
      <c r="H5" s="42">
        <f t="shared" ref="H5" ca="1" si="22">SUMIF($P$2:$AD$195,$A5,AD$2:AD$195)</f>
        <v>4223451136</v>
      </c>
      <c r="J5" t="s">
        <v>165</v>
      </c>
      <c r="K5" t="s">
        <v>91</v>
      </c>
      <c r="L5">
        <v>70385664</v>
      </c>
      <c r="M5" t="s">
        <v>92</v>
      </c>
      <c r="N5" t="s">
        <v>93</v>
      </c>
      <c r="O5" t="s">
        <v>94</v>
      </c>
      <c r="P5" t="str">
        <f>IF(ISNUMBER(SEARCH("_2x", J5)), "2x", IF(ISNUMBER(SEARCH("_5x", J5)), "5x", IF(ISNUMBER(SEARCH("_10x", J5)), "10x", "1x")))</f>
        <v>1x</v>
      </c>
      <c r="S5">
        <v>1</v>
      </c>
      <c r="U5">
        <v>1</v>
      </c>
      <c r="X5" t="str">
        <f t="shared" si="2"/>
        <v/>
      </c>
      <c r="Y5" t="str">
        <f t="shared" si="3"/>
        <v/>
      </c>
      <c r="Z5">
        <f t="shared" si="4"/>
        <v>70385664</v>
      </c>
      <c r="AA5" t="str">
        <f t="shared" si="5"/>
        <v/>
      </c>
      <c r="AB5">
        <f t="shared" si="6"/>
        <v>70385664</v>
      </c>
      <c r="AC5" t="str">
        <f t="shared" si="7"/>
        <v/>
      </c>
      <c r="AD5" t="str">
        <f t="shared" si="8"/>
        <v/>
      </c>
    </row>
    <row r="6" spans="1:30">
      <c r="A6" s="44" t="s">
        <v>369</v>
      </c>
      <c r="B6" s="42">
        <f ca="1">SUMIF($P$2:$AD$195,$A6,X$2:X$195)</f>
        <v>7154958336</v>
      </c>
      <c r="C6" s="42">
        <f ca="1">SUMIF($P$2:$AD$195,$A6,Y$2:Y$195)</f>
        <v>7380467712</v>
      </c>
      <c r="D6" s="42">
        <f ca="1">SUMIF($P$2:$AD$195,$A6,Z$2:Z$195)</f>
        <v>8250155008</v>
      </c>
      <c r="E6" s="42">
        <f ca="1">SUMIF($P$2:$AD$195,$A6,AA$2:AA$195)</f>
        <v>8010678272</v>
      </c>
      <c r="F6" s="42">
        <f ca="1">SUMIF($P$2:$AD$195,$A6,AB$2:AB$195)</f>
        <v>8423366656</v>
      </c>
      <c r="G6" s="42">
        <f ca="1">SUMIF($P$2:$AD$195,$A6,AC$2:AC$195)</f>
        <v>8326438912</v>
      </c>
      <c r="H6" s="42">
        <f ca="1">SUMIF($P$2:$AD$195,$A6,AD$2:AD$195)</f>
        <v>8351916032</v>
      </c>
      <c r="J6" t="s">
        <v>165</v>
      </c>
      <c r="K6" t="s">
        <v>95</v>
      </c>
      <c r="L6">
        <v>31948800</v>
      </c>
      <c r="M6" t="s">
        <v>96</v>
      </c>
      <c r="N6" t="s">
        <v>97</v>
      </c>
      <c r="O6" t="s">
        <v>98</v>
      </c>
      <c r="P6" t="str">
        <f>IF(ISNUMBER(SEARCH("_2x", J6)), "2x", IF(ISNUMBER(SEARCH("_5x", J6)), "5x", IF(ISNUMBER(SEARCH("_10x", J6)), "10x", "1x")))</f>
        <v>1x</v>
      </c>
      <c r="S6">
        <v>1</v>
      </c>
      <c r="U6">
        <v>1</v>
      </c>
      <c r="X6" t="str">
        <f t="shared" si="2"/>
        <v/>
      </c>
      <c r="Y6" t="str">
        <f t="shared" si="3"/>
        <v/>
      </c>
      <c r="Z6">
        <f t="shared" si="4"/>
        <v>31948800</v>
      </c>
      <c r="AA6" t="str">
        <f t="shared" si="5"/>
        <v/>
      </c>
      <c r="AB6">
        <f t="shared" si="6"/>
        <v>31948800</v>
      </c>
      <c r="AC6" t="str">
        <f t="shared" si="7"/>
        <v/>
      </c>
      <c r="AD6" t="str">
        <f t="shared" si="8"/>
        <v/>
      </c>
    </row>
    <row r="7" spans="1:30">
      <c r="J7" t="s">
        <v>165</v>
      </c>
      <c r="K7" t="s">
        <v>99</v>
      </c>
      <c r="L7">
        <v>30597120</v>
      </c>
      <c r="M7" t="s">
        <v>97</v>
      </c>
      <c r="N7" t="s">
        <v>97</v>
      </c>
      <c r="O7" t="s">
        <v>166</v>
      </c>
      <c r="P7" t="str">
        <f>IF(ISNUMBER(SEARCH("_2x", J7)), "2x", IF(ISNUMBER(SEARCH("_5x", J7)), "5x", IF(ISNUMBER(SEARCH("_10x", J7)), "10x", "1x")))</f>
        <v>1x</v>
      </c>
      <c r="U7">
        <v>1</v>
      </c>
      <c r="X7" t="str">
        <f t="shared" si="2"/>
        <v/>
      </c>
      <c r="Y7" t="str">
        <f t="shared" si="3"/>
        <v/>
      </c>
      <c r="Z7" t="str">
        <f t="shared" si="4"/>
        <v/>
      </c>
      <c r="AA7" t="str">
        <f t="shared" si="5"/>
        <v/>
      </c>
      <c r="AB7">
        <f t="shared" si="6"/>
        <v>30597120</v>
      </c>
      <c r="AC7" t="str">
        <f t="shared" si="7"/>
        <v/>
      </c>
      <c r="AD7" t="str">
        <f t="shared" si="8"/>
        <v/>
      </c>
    </row>
    <row r="8" spans="1:30">
      <c r="A8" s="57"/>
      <c r="B8" s="58" t="s">
        <v>67</v>
      </c>
      <c r="C8" s="58"/>
      <c r="D8" s="58"/>
      <c r="E8" s="58"/>
      <c r="F8" s="58"/>
      <c r="G8" s="58"/>
      <c r="H8" s="58"/>
      <c r="J8" t="s">
        <v>165</v>
      </c>
      <c r="K8" t="s">
        <v>103</v>
      </c>
      <c r="L8">
        <v>62570496</v>
      </c>
      <c r="M8" t="s">
        <v>167</v>
      </c>
      <c r="N8" t="s">
        <v>168</v>
      </c>
      <c r="O8" t="s">
        <v>166</v>
      </c>
      <c r="P8" t="str">
        <f>IF(ISNUMBER(SEARCH("_2x", J8)), "2x", IF(ISNUMBER(SEARCH("_5x", J8)), "5x", IF(ISNUMBER(SEARCH("_10x", J8)), "10x", "1x")))</f>
        <v>1x</v>
      </c>
      <c r="S8">
        <v>1</v>
      </c>
      <c r="U8">
        <v>1</v>
      </c>
      <c r="X8" t="str">
        <f t="shared" si="2"/>
        <v/>
      </c>
      <c r="Y8" t="str">
        <f t="shared" si="3"/>
        <v/>
      </c>
      <c r="Z8">
        <f t="shared" si="4"/>
        <v>62570496</v>
      </c>
      <c r="AA8" t="str">
        <f t="shared" si="5"/>
        <v/>
      </c>
      <c r="AB8">
        <f t="shared" si="6"/>
        <v>62570496</v>
      </c>
      <c r="AC8" t="str">
        <f t="shared" si="7"/>
        <v/>
      </c>
      <c r="AD8" t="str">
        <f t="shared" si="8"/>
        <v/>
      </c>
    </row>
    <row r="9" spans="1:30">
      <c r="A9" s="59" t="s">
        <v>52</v>
      </c>
      <c r="B9" s="59" t="s">
        <v>56</v>
      </c>
      <c r="C9" s="59" t="s">
        <v>57</v>
      </c>
      <c r="D9" s="59" t="s">
        <v>58</v>
      </c>
      <c r="E9" s="59" t="s">
        <v>60</v>
      </c>
      <c r="F9" s="59" t="s">
        <v>59</v>
      </c>
      <c r="G9" s="59" t="s">
        <v>61</v>
      </c>
      <c r="H9" s="59" t="s">
        <v>62</v>
      </c>
      <c r="J9" t="s">
        <v>165</v>
      </c>
      <c r="K9" t="s">
        <v>105</v>
      </c>
      <c r="L9">
        <v>49152</v>
      </c>
      <c r="M9" t="s">
        <v>125</v>
      </c>
      <c r="N9" t="s">
        <v>110</v>
      </c>
      <c r="O9" t="s">
        <v>107</v>
      </c>
      <c r="P9" t="str">
        <f>IF(ISNUMBER(SEARCH("_2x", J9)), "2x", IF(ISNUMBER(SEARCH("_5x", J9)), "5x", IF(ISNUMBER(SEARCH("_10x", J9)), "10x", "1x")))</f>
        <v>1x</v>
      </c>
      <c r="R9">
        <v>1</v>
      </c>
      <c r="S9">
        <v>1</v>
      </c>
      <c r="U9">
        <v>1</v>
      </c>
      <c r="X9" t="str">
        <f t="shared" si="2"/>
        <v/>
      </c>
      <c r="Y9">
        <f t="shared" si="3"/>
        <v>49152</v>
      </c>
      <c r="Z9">
        <f t="shared" si="4"/>
        <v>49152</v>
      </c>
      <c r="AA9" t="str">
        <f t="shared" si="5"/>
        <v/>
      </c>
      <c r="AB9">
        <f t="shared" si="6"/>
        <v>49152</v>
      </c>
      <c r="AC9" t="str">
        <f t="shared" si="7"/>
        <v/>
      </c>
      <c r="AD9" t="str">
        <f t="shared" si="8"/>
        <v/>
      </c>
    </row>
    <row r="10" spans="1:30">
      <c r="A10" s="59" t="s">
        <v>367</v>
      </c>
      <c r="B10" s="60">
        <f ca="1">B3/1024/1024</f>
        <v>682.640625</v>
      </c>
      <c r="C10" s="60">
        <f ca="1">C3/1024/1024</f>
        <v>704.3984375</v>
      </c>
      <c r="D10" s="60">
        <f ca="1">D3/1024/1024</f>
        <v>875.3359375</v>
      </c>
      <c r="E10" s="60">
        <f ca="1">E3/1024/1024</f>
        <v>852.53125</v>
      </c>
      <c r="F10" s="60">
        <f ca="1">F3/1024/1024</f>
        <v>891.578125</v>
      </c>
      <c r="G10" s="60">
        <f ca="1">G3/1024/1024</f>
        <v>882.421875</v>
      </c>
      <c r="H10" s="60">
        <f ca="1">H3/1024/1024</f>
        <v>878.2734375</v>
      </c>
      <c r="J10" t="s">
        <v>165</v>
      </c>
      <c r="K10" t="s">
        <v>108</v>
      </c>
      <c r="L10">
        <v>73728</v>
      </c>
      <c r="M10" t="s">
        <v>106</v>
      </c>
      <c r="N10" t="s">
        <v>110</v>
      </c>
      <c r="O10" t="s">
        <v>111</v>
      </c>
      <c r="P10" t="str">
        <f>IF(ISNUMBER(SEARCH("_2x", J10)), "2x", IF(ISNUMBER(SEARCH("_5x", J10)), "5x", IF(ISNUMBER(SEARCH("_10x", J10)), "10x", "1x")))</f>
        <v>1x</v>
      </c>
      <c r="R10">
        <v>1</v>
      </c>
      <c r="S10">
        <v>1</v>
      </c>
      <c r="U10">
        <v>1</v>
      </c>
      <c r="X10" t="str">
        <f t="shared" si="2"/>
        <v/>
      </c>
      <c r="Y10">
        <f t="shared" si="3"/>
        <v>73728</v>
      </c>
      <c r="Z10">
        <f t="shared" si="4"/>
        <v>73728</v>
      </c>
      <c r="AA10" t="str">
        <f t="shared" si="5"/>
        <v/>
      </c>
      <c r="AB10">
        <f t="shared" si="6"/>
        <v>73728</v>
      </c>
      <c r="AC10" t="str">
        <f t="shared" si="7"/>
        <v/>
      </c>
      <c r="AD10" t="str">
        <f t="shared" si="8"/>
        <v/>
      </c>
    </row>
    <row r="11" spans="1:30">
      <c r="A11" s="59" t="s">
        <v>368</v>
      </c>
      <c r="B11" s="60">
        <f ca="1">B4/1024/1024</f>
        <v>1364.9453125</v>
      </c>
      <c r="C11" s="60">
        <f ca="1">C4/1024/1024</f>
        <v>1408.21875</v>
      </c>
      <c r="D11" s="60">
        <f ca="1">D4/1024/1024</f>
        <v>1652.3046875</v>
      </c>
      <c r="E11" s="60">
        <f ca="1">E4/1024/1024</f>
        <v>1606.6171875</v>
      </c>
      <c r="F11" s="60">
        <f ca="1">F4/1024/1024</f>
        <v>1684.65625</v>
      </c>
      <c r="G11" s="60">
        <f ca="1">G4/1024/1024</f>
        <v>1666.1953125</v>
      </c>
      <c r="H11" s="60">
        <f ca="1">H4/1024/1024</f>
        <v>1665.171875</v>
      </c>
      <c r="J11" t="s">
        <v>165</v>
      </c>
      <c r="K11" t="s">
        <v>112</v>
      </c>
      <c r="L11">
        <v>384458752</v>
      </c>
      <c r="M11" t="s">
        <v>169</v>
      </c>
      <c r="N11" t="s">
        <v>170</v>
      </c>
      <c r="O11" t="s">
        <v>171</v>
      </c>
      <c r="P11" t="str">
        <f>IF(ISNUMBER(SEARCH("_2x", J11)), "2x", IF(ISNUMBER(SEARCH("_5x", J11)), "5x", IF(ISNUMBER(SEARCH("_10x", J11)), "10x", "1x")))</f>
        <v>1x</v>
      </c>
      <c r="R11">
        <v>1</v>
      </c>
      <c r="S11">
        <v>1</v>
      </c>
      <c r="U11">
        <v>1</v>
      </c>
      <c r="X11" t="str">
        <f t="shared" si="2"/>
        <v/>
      </c>
      <c r="Y11">
        <f t="shared" si="3"/>
        <v>384458752</v>
      </c>
      <c r="Z11">
        <f t="shared" si="4"/>
        <v>384458752</v>
      </c>
      <c r="AA11" t="str">
        <f t="shared" si="5"/>
        <v/>
      </c>
      <c r="AB11">
        <f t="shared" si="6"/>
        <v>384458752</v>
      </c>
      <c r="AC11" t="str">
        <f t="shared" si="7"/>
        <v/>
      </c>
      <c r="AD11" t="str">
        <f t="shared" si="8"/>
        <v/>
      </c>
    </row>
    <row r="12" spans="1:30">
      <c r="A12" s="59" t="s">
        <v>371</v>
      </c>
      <c r="B12" s="60">
        <f ca="1">B5/1024/1024</f>
        <v>3411.8984375</v>
      </c>
      <c r="C12" s="60">
        <f ca="1">C5/1024/1024</f>
        <v>3519.5859375</v>
      </c>
      <c r="D12" s="60">
        <f ca="1">D5/1024/1024</f>
        <v>3983.171875</v>
      </c>
      <c r="E12" s="60">
        <f ca="1">E5/1024/1024</f>
        <v>3869</v>
      </c>
      <c r="F12" s="60">
        <f ca="1">F5/1024/1024</f>
        <v>4065.3515625</v>
      </c>
      <c r="G12" s="60">
        <f ca="1">G5/1024/1024</f>
        <v>4019.1796875</v>
      </c>
      <c r="H12" s="60">
        <f ca="1">H5/1024/1024</f>
        <v>4027.796875</v>
      </c>
      <c r="J12" t="s">
        <v>165</v>
      </c>
      <c r="K12" t="s">
        <v>116</v>
      </c>
      <c r="L12">
        <v>22929408</v>
      </c>
      <c r="M12" t="s">
        <v>122</v>
      </c>
      <c r="N12" t="s">
        <v>119</v>
      </c>
      <c r="O12" t="s">
        <v>172</v>
      </c>
      <c r="P12" t="str">
        <f>IF(ISNUMBER(SEARCH("_2x", J12)), "2x", IF(ISNUMBER(SEARCH("_5x", J12)), "5x", IF(ISNUMBER(SEARCH("_10x", J12)), "10x", "1x")))</f>
        <v>1x</v>
      </c>
      <c r="R12">
        <v>1</v>
      </c>
      <c r="S12">
        <v>1</v>
      </c>
      <c r="U12">
        <v>1</v>
      </c>
      <c r="X12" t="str">
        <f t="shared" si="2"/>
        <v/>
      </c>
      <c r="Y12">
        <f t="shared" si="3"/>
        <v>22929408</v>
      </c>
      <c r="Z12">
        <f t="shared" si="4"/>
        <v>22929408</v>
      </c>
      <c r="AA12" t="str">
        <f t="shared" si="5"/>
        <v/>
      </c>
      <c r="AB12">
        <f t="shared" si="6"/>
        <v>22929408</v>
      </c>
      <c r="AC12" t="str">
        <f t="shared" si="7"/>
        <v/>
      </c>
      <c r="AD12" t="str">
        <f t="shared" si="8"/>
        <v/>
      </c>
    </row>
    <row r="13" spans="1:30">
      <c r="A13" s="59" t="s">
        <v>369</v>
      </c>
      <c r="B13" s="60">
        <f ca="1">B6/1024/1024</f>
        <v>6823.5</v>
      </c>
      <c r="C13" s="60">
        <f ca="1">C6/1024/1024</f>
        <v>7038.5625</v>
      </c>
      <c r="D13" s="60">
        <f ca="1">D6/1024/1024</f>
        <v>7867.9609375</v>
      </c>
      <c r="E13" s="60">
        <f ca="1">E6/1024/1024</f>
        <v>7639.578125</v>
      </c>
      <c r="F13" s="60">
        <f ca="1">F6/1024/1024</f>
        <v>8033.1484375</v>
      </c>
      <c r="G13" s="60">
        <f ca="1">G6/1024/1024</f>
        <v>7940.7109375</v>
      </c>
      <c r="H13" s="60">
        <f ca="1">H6/1024/1024</f>
        <v>7965.0078125</v>
      </c>
      <c r="J13" t="s">
        <v>165</v>
      </c>
      <c r="K13" t="s">
        <v>120</v>
      </c>
      <c r="L13">
        <v>240754688</v>
      </c>
      <c r="M13" t="s">
        <v>173</v>
      </c>
      <c r="N13" t="s">
        <v>174</v>
      </c>
      <c r="O13" t="s">
        <v>175</v>
      </c>
      <c r="P13" t="str">
        <f>IF(ISNUMBER(SEARCH("_2x", J13)), "2x", IF(ISNUMBER(SEARCH("_5x", J13)), "5x", IF(ISNUMBER(SEARCH("_10x", J13)), "10x", "1x")))</f>
        <v>1x</v>
      </c>
      <c r="R13">
        <v>1</v>
      </c>
      <c r="S13">
        <v>1</v>
      </c>
      <c r="U13">
        <v>1</v>
      </c>
      <c r="X13" t="str">
        <f t="shared" si="2"/>
        <v/>
      </c>
      <c r="Y13">
        <f t="shared" si="3"/>
        <v>240754688</v>
      </c>
      <c r="Z13">
        <f t="shared" si="4"/>
        <v>240754688</v>
      </c>
      <c r="AA13" t="str">
        <f t="shared" si="5"/>
        <v/>
      </c>
      <c r="AB13">
        <f t="shared" si="6"/>
        <v>240754688</v>
      </c>
      <c r="AC13" t="str">
        <f t="shared" si="7"/>
        <v/>
      </c>
      <c r="AD13" t="str">
        <f t="shared" si="8"/>
        <v/>
      </c>
    </row>
    <row r="14" spans="1:30">
      <c r="J14" t="s">
        <v>165</v>
      </c>
      <c r="K14" t="s">
        <v>73</v>
      </c>
      <c r="L14">
        <v>18169856</v>
      </c>
      <c r="M14" t="s">
        <v>74</v>
      </c>
      <c r="N14" t="s">
        <v>74</v>
      </c>
      <c r="O14" t="s">
        <v>75</v>
      </c>
      <c r="P14" t="str">
        <f>IF(ISNUMBER(SEARCH("_2x", J14)), "2x", IF(ISNUMBER(SEARCH("_5x", J14)), "5x", IF(ISNUMBER(SEARCH("_10x", J14)), "10x", "1x")))</f>
        <v>1x</v>
      </c>
      <c r="S14">
        <v>1</v>
      </c>
      <c r="U14">
        <v>1</v>
      </c>
      <c r="X14" t="str">
        <f t="shared" si="2"/>
        <v/>
      </c>
      <c r="Y14" t="str">
        <f t="shared" si="3"/>
        <v/>
      </c>
      <c r="Z14">
        <f t="shared" si="4"/>
        <v>18169856</v>
      </c>
      <c r="AA14" t="str">
        <f t="shared" si="5"/>
        <v/>
      </c>
      <c r="AB14">
        <f t="shared" si="6"/>
        <v>18169856</v>
      </c>
      <c r="AC14" t="str">
        <f t="shared" si="7"/>
        <v/>
      </c>
      <c r="AD14" t="str">
        <f t="shared" si="8"/>
        <v/>
      </c>
    </row>
    <row r="15" spans="1:30">
      <c r="J15" t="s">
        <v>165</v>
      </c>
      <c r="K15" t="s">
        <v>124</v>
      </c>
      <c r="L15">
        <v>32768</v>
      </c>
      <c r="M15" t="s">
        <v>107</v>
      </c>
      <c r="N15" t="s">
        <v>110</v>
      </c>
      <c r="O15" t="s">
        <v>111</v>
      </c>
      <c r="P15" t="str">
        <f>IF(ISNUMBER(SEARCH("_2x", J15)), "2x", IF(ISNUMBER(SEARCH("_5x", J15)), "5x", IF(ISNUMBER(SEARCH("_10x", J15)), "10x", "1x")))</f>
        <v>1x</v>
      </c>
      <c r="S15">
        <v>1</v>
      </c>
      <c r="U15">
        <v>1</v>
      </c>
      <c r="X15" t="str">
        <f t="shared" si="2"/>
        <v/>
      </c>
      <c r="Y15" t="str">
        <f t="shared" si="3"/>
        <v/>
      </c>
      <c r="Z15">
        <f t="shared" si="4"/>
        <v>32768</v>
      </c>
      <c r="AA15" t="str">
        <f t="shared" si="5"/>
        <v/>
      </c>
      <c r="AB15">
        <f t="shared" si="6"/>
        <v>32768</v>
      </c>
      <c r="AC15" t="str">
        <f t="shared" si="7"/>
        <v/>
      </c>
      <c r="AD15" t="str">
        <f t="shared" si="8"/>
        <v/>
      </c>
    </row>
    <row r="16" spans="1:30">
      <c r="B16" s="45" t="s">
        <v>370</v>
      </c>
      <c r="C16" s="45"/>
      <c r="D16" s="45"/>
      <c r="E16" s="45"/>
      <c r="F16" s="45"/>
      <c r="G16" s="45"/>
      <c r="H16" s="45"/>
      <c r="J16" t="s">
        <v>165</v>
      </c>
      <c r="K16" t="s">
        <v>126</v>
      </c>
      <c r="L16">
        <v>14311424</v>
      </c>
      <c r="M16" t="s">
        <v>176</v>
      </c>
      <c r="N16" t="s">
        <v>104</v>
      </c>
      <c r="O16" t="s">
        <v>177</v>
      </c>
      <c r="P16" t="str">
        <f>IF(ISNUMBER(SEARCH("_2x", J16)), "2x", IF(ISNUMBER(SEARCH("_5x", J16)), "5x", IF(ISNUMBER(SEARCH("_10x", J16)), "10x", "1x")))</f>
        <v>1x</v>
      </c>
      <c r="S16">
        <v>1</v>
      </c>
      <c r="X16" t="str">
        <f t="shared" si="2"/>
        <v/>
      </c>
      <c r="Y16" t="str">
        <f t="shared" si="3"/>
        <v/>
      </c>
      <c r="Z16">
        <f t="shared" si="4"/>
        <v>14311424</v>
      </c>
      <c r="AA16" t="str">
        <f t="shared" si="5"/>
        <v/>
      </c>
      <c r="AB16" t="str">
        <f t="shared" si="6"/>
        <v/>
      </c>
      <c r="AC16" t="str">
        <f t="shared" si="7"/>
        <v/>
      </c>
      <c r="AD16" t="str">
        <f t="shared" si="8"/>
        <v/>
      </c>
    </row>
    <row r="17" spans="2:30">
      <c r="B17" s="46" t="s">
        <v>56</v>
      </c>
      <c r="C17" s="46" t="s">
        <v>57</v>
      </c>
      <c r="D17" s="46" t="s">
        <v>58</v>
      </c>
      <c r="E17" s="46" t="s">
        <v>60</v>
      </c>
      <c r="F17" s="46" t="s">
        <v>59</v>
      </c>
      <c r="G17" s="46" t="s">
        <v>61</v>
      </c>
      <c r="H17" s="46" t="s">
        <v>62</v>
      </c>
      <c r="J17" t="s">
        <v>165</v>
      </c>
      <c r="K17" t="s">
        <v>130</v>
      </c>
      <c r="L17">
        <v>745472</v>
      </c>
      <c r="M17" t="s">
        <v>131</v>
      </c>
      <c r="N17" t="s">
        <v>132</v>
      </c>
      <c r="O17" t="s">
        <v>111</v>
      </c>
      <c r="P17" t="str">
        <f>IF(ISNUMBER(SEARCH("_2x", J17)), "2x", IF(ISNUMBER(SEARCH("_5x", J17)), "5x", IF(ISNUMBER(SEARCH("_10x", J17)), "10x", "1x")))</f>
        <v>1x</v>
      </c>
      <c r="U17">
        <v>1</v>
      </c>
      <c r="X17" t="str">
        <f t="shared" si="2"/>
        <v/>
      </c>
      <c r="Y17" t="str">
        <f t="shared" si="3"/>
        <v/>
      </c>
      <c r="Z17" t="str">
        <f t="shared" si="4"/>
        <v/>
      </c>
      <c r="AA17" t="str">
        <f t="shared" si="5"/>
        <v/>
      </c>
      <c r="AB17">
        <f t="shared" si="6"/>
        <v>745472</v>
      </c>
      <c r="AC17" t="str">
        <f t="shared" si="7"/>
        <v/>
      </c>
      <c r="AD17" t="str">
        <f t="shared" si="8"/>
        <v/>
      </c>
    </row>
    <row r="18" spans="2:30">
      <c r="B18" s="42" t="s">
        <v>69</v>
      </c>
      <c r="C18" s="42" t="s">
        <v>105</v>
      </c>
      <c r="D18" s="42" t="s">
        <v>91</v>
      </c>
      <c r="E18" s="42" t="s">
        <v>91</v>
      </c>
      <c r="F18" s="42" t="s">
        <v>91</v>
      </c>
      <c r="G18" s="42" t="s">
        <v>91</v>
      </c>
      <c r="H18" s="42" t="s">
        <v>241</v>
      </c>
      <c r="J18" t="s">
        <v>165</v>
      </c>
      <c r="K18" t="s">
        <v>76</v>
      </c>
      <c r="L18">
        <v>72155136</v>
      </c>
      <c r="M18" t="s">
        <v>77</v>
      </c>
      <c r="N18" t="s">
        <v>78</v>
      </c>
      <c r="O18" t="s">
        <v>79</v>
      </c>
      <c r="P18" t="str">
        <f>IF(ISNUMBER(SEARCH("_2x", J18)), "2x", IF(ISNUMBER(SEARCH("_5x", J18)), "5x", IF(ISNUMBER(SEARCH("_10x", J18)), "10x", "1x")))</f>
        <v>1x</v>
      </c>
      <c r="R18">
        <v>1</v>
      </c>
      <c r="S18">
        <v>1</v>
      </c>
      <c r="U18">
        <v>1</v>
      </c>
      <c r="X18" t="str">
        <f t="shared" si="2"/>
        <v/>
      </c>
      <c r="Y18">
        <f t="shared" si="3"/>
        <v>72155136</v>
      </c>
      <c r="Z18">
        <f t="shared" si="4"/>
        <v>72155136</v>
      </c>
      <c r="AA18" t="str">
        <f t="shared" si="5"/>
        <v/>
      </c>
      <c r="AB18">
        <f t="shared" si="6"/>
        <v>72155136</v>
      </c>
      <c r="AC18" t="str">
        <f t="shared" si="7"/>
        <v/>
      </c>
      <c r="AD18" t="str">
        <f t="shared" si="8"/>
        <v/>
      </c>
    </row>
    <row r="19" spans="2:30">
      <c r="B19" s="42" t="s">
        <v>73</v>
      </c>
      <c r="C19" s="42" t="s">
        <v>116</v>
      </c>
      <c r="D19" s="42" t="s">
        <v>95</v>
      </c>
      <c r="E19" s="42" t="s">
        <v>95</v>
      </c>
      <c r="F19" s="42" t="s">
        <v>95</v>
      </c>
      <c r="G19" s="42" t="s">
        <v>95</v>
      </c>
      <c r="H19" s="42" t="s">
        <v>99</v>
      </c>
      <c r="J19" t="s">
        <v>165</v>
      </c>
      <c r="K19" t="s">
        <v>133</v>
      </c>
      <c r="L19">
        <v>16384</v>
      </c>
      <c r="M19" t="s">
        <v>111</v>
      </c>
      <c r="N19" t="s">
        <v>134</v>
      </c>
      <c r="O19" t="s">
        <v>110</v>
      </c>
      <c r="P19" t="str">
        <f>IF(ISNUMBER(SEARCH("_2x", J19)), "2x", IF(ISNUMBER(SEARCH("_5x", J19)), "5x", IF(ISNUMBER(SEARCH("_10x", J19)), "10x", "1x")))</f>
        <v>1x</v>
      </c>
      <c r="R19">
        <v>1</v>
      </c>
      <c r="S19">
        <v>1</v>
      </c>
      <c r="U19">
        <v>1</v>
      </c>
      <c r="X19" t="str">
        <f t="shared" si="2"/>
        <v/>
      </c>
      <c r="Y19">
        <f t="shared" si="3"/>
        <v>16384</v>
      </c>
      <c r="Z19">
        <f t="shared" si="4"/>
        <v>16384</v>
      </c>
      <c r="AA19" t="str">
        <f t="shared" si="5"/>
        <v/>
      </c>
      <c r="AB19">
        <f t="shared" si="6"/>
        <v>16384</v>
      </c>
      <c r="AC19" t="str">
        <f t="shared" si="7"/>
        <v/>
      </c>
      <c r="AD19" t="str">
        <f t="shared" si="8"/>
        <v/>
      </c>
    </row>
    <row r="20" spans="2:30">
      <c r="B20" s="42" t="s">
        <v>76</v>
      </c>
      <c r="C20" s="42" t="s">
        <v>73</v>
      </c>
      <c r="D20" s="42" t="s">
        <v>103</v>
      </c>
      <c r="E20" s="42" t="s">
        <v>103</v>
      </c>
      <c r="F20" s="42" t="s">
        <v>99</v>
      </c>
      <c r="G20" s="42" t="s">
        <v>99</v>
      </c>
      <c r="H20" s="42" t="s">
        <v>103</v>
      </c>
      <c r="J20" t="s">
        <v>220</v>
      </c>
      <c r="K20" t="s">
        <v>91</v>
      </c>
      <c r="L20">
        <v>70385664</v>
      </c>
      <c r="M20" t="s">
        <v>92</v>
      </c>
      <c r="N20" t="s">
        <v>93</v>
      </c>
      <c r="O20" t="s">
        <v>94</v>
      </c>
      <c r="P20" t="str">
        <f>IF(ISNUMBER(SEARCH("_2x", J20)), "2x", IF(ISNUMBER(SEARCH("_5x", J20)), "5x", IF(ISNUMBER(SEARCH("_10x", J20)), "10x", "1x")))</f>
        <v>1x</v>
      </c>
      <c r="T20">
        <v>1</v>
      </c>
      <c r="V20">
        <v>1</v>
      </c>
      <c r="X20" t="str">
        <f t="shared" si="2"/>
        <v/>
      </c>
      <c r="Y20" t="str">
        <f t="shared" si="3"/>
        <v/>
      </c>
      <c r="Z20" t="str">
        <f t="shared" si="4"/>
        <v/>
      </c>
      <c r="AA20">
        <f t="shared" si="5"/>
        <v>70385664</v>
      </c>
      <c r="AB20" t="str">
        <f t="shared" si="6"/>
        <v/>
      </c>
      <c r="AC20">
        <f t="shared" si="7"/>
        <v>70385664</v>
      </c>
      <c r="AD20" t="str">
        <f t="shared" si="8"/>
        <v/>
      </c>
    </row>
    <row r="21" spans="2:30">
      <c r="C21" s="42" t="s">
        <v>76</v>
      </c>
      <c r="D21" s="42" t="s">
        <v>105</v>
      </c>
      <c r="E21" s="42" t="s">
        <v>105</v>
      </c>
      <c r="F21" s="42" t="s">
        <v>103</v>
      </c>
      <c r="G21" s="42" t="s">
        <v>103</v>
      </c>
      <c r="H21" s="42" t="s">
        <v>105</v>
      </c>
      <c r="J21" t="s">
        <v>220</v>
      </c>
      <c r="K21" t="s">
        <v>95</v>
      </c>
      <c r="L21">
        <v>31948800</v>
      </c>
      <c r="M21" t="s">
        <v>96</v>
      </c>
      <c r="N21" t="s">
        <v>97</v>
      </c>
      <c r="O21" t="s">
        <v>98</v>
      </c>
      <c r="P21" t="str">
        <f>IF(ISNUMBER(SEARCH("_2x", J21)), "2x", IF(ISNUMBER(SEARCH("_5x", J21)), "5x", IF(ISNUMBER(SEARCH("_10x", J21)), "10x", "1x")))</f>
        <v>1x</v>
      </c>
      <c r="T21">
        <v>1</v>
      </c>
      <c r="V21">
        <v>1</v>
      </c>
      <c r="X21" t="str">
        <f t="shared" si="2"/>
        <v/>
      </c>
      <c r="Y21" t="str">
        <f t="shared" si="3"/>
        <v/>
      </c>
      <c r="Z21" t="str">
        <f t="shared" si="4"/>
        <v/>
      </c>
      <c r="AA21">
        <f t="shared" si="5"/>
        <v>31948800</v>
      </c>
      <c r="AB21" t="str">
        <f t="shared" si="6"/>
        <v/>
      </c>
      <c r="AC21">
        <f t="shared" si="7"/>
        <v>31948800</v>
      </c>
      <c r="AD21" t="str">
        <f t="shared" si="8"/>
        <v/>
      </c>
    </row>
    <row r="22" spans="2:30">
      <c r="C22" s="42" t="s">
        <v>133</v>
      </c>
      <c r="D22" s="42" t="s">
        <v>108</v>
      </c>
      <c r="E22" s="42" t="s">
        <v>108</v>
      </c>
      <c r="F22" s="42" t="s">
        <v>105</v>
      </c>
      <c r="G22" s="42" t="s">
        <v>105</v>
      </c>
      <c r="H22" s="42" t="s">
        <v>108</v>
      </c>
      <c r="J22" t="s">
        <v>220</v>
      </c>
      <c r="K22" t="s">
        <v>99</v>
      </c>
      <c r="L22">
        <v>30597120</v>
      </c>
      <c r="M22" t="s">
        <v>97</v>
      </c>
      <c r="N22" t="s">
        <v>97</v>
      </c>
      <c r="O22" t="s">
        <v>166</v>
      </c>
      <c r="P22" t="str">
        <f>IF(ISNUMBER(SEARCH("_2x", J22)), "2x", IF(ISNUMBER(SEARCH("_5x", J22)), "5x", IF(ISNUMBER(SEARCH("_10x", J22)), "10x", "1x")))</f>
        <v>1x</v>
      </c>
      <c r="V22">
        <v>1</v>
      </c>
      <c r="X22" t="str">
        <f t="shared" si="2"/>
        <v/>
      </c>
      <c r="Y22" t="str">
        <f t="shared" si="3"/>
        <v/>
      </c>
      <c r="Z22" t="str">
        <f t="shared" si="4"/>
        <v/>
      </c>
      <c r="AA22" t="str">
        <f t="shared" si="5"/>
        <v/>
      </c>
      <c r="AB22" t="str">
        <f t="shared" si="6"/>
        <v/>
      </c>
      <c r="AC22">
        <f t="shared" si="7"/>
        <v>30597120</v>
      </c>
      <c r="AD22" t="str">
        <f t="shared" si="8"/>
        <v/>
      </c>
    </row>
    <row r="23" spans="2:30">
      <c r="D23" s="42" t="s">
        <v>112</v>
      </c>
      <c r="E23" s="42" t="s">
        <v>112</v>
      </c>
      <c r="F23" s="42" t="s">
        <v>108</v>
      </c>
      <c r="G23" s="42" t="s">
        <v>108</v>
      </c>
      <c r="H23" s="42" t="s">
        <v>112</v>
      </c>
      <c r="J23" t="s">
        <v>220</v>
      </c>
      <c r="K23" t="s">
        <v>103</v>
      </c>
      <c r="L23">
        <v>62570496</v>
      </c>
      <c r="M23" t="s">
        <v>167</v>
      </c>
      <c r="N23" t="s">
        <v>168</v>
      </c>
      <c r="O23" t="s">
        <v>166</v>
      </c>
      <c r="P23" t="str">
        <f>IF(ISNUMBER(SEARCH("_2x", J23)), "2x", IF(ISNUMBER(SEARCH("_5x", J23)), "5x", IF(ISNUMBER(SEARCH("_10x", J23)), "10x", "1x")))</f>
        <v>1x</v>
      </c>
      <c r="T23">
        <v>1</v>
      </c>
      <c r="V23">
        <v>1</v>
      </c>
      <c r="X23" t="str">
        <f t="shared" si="2"/>
        <v/>
      </c>
      <c r="Y23" t="str">
        <f t="shared" si="3"/>
        <v/>
      </c>
      <c r="Z23" t="str">
        <f t="shared" si="4"/>
        <v/>
      </c>
      <c r="AA23">
        <f t="shared" si="5"/>
        <v>62570496</v>
      </c>
      <c r="AB23" t="str">
        <f t="shared" si="6"/>
        <v/>
      </c>
      <c r="AC23">
        <f t="shared" si="7"/>
        <v>62570496</v>
      </c>
      <c r="AD23" t="str">
        <f t="shared" si="8"/>
        <v/>
      </c>
    </row>
    <row r="24" spans="2:30">
      <c r="D24" s="42" t="s">
        <v>116</v>
      </c>
      <c r="E24" s="42" t="s">
        <v>116</v>
      </c>
      <c r="F24" s="42" t="s">
        <v>112</v>
      </c>
      <c r="G24" s="42" t="s">
        <v>112</v>
      </c>
      <c r="H24" s="42" t="s">
        <v>116</v>
      </c>
      <c r="J24" t="s">
        <v>220</v>
      </c>
      <c r="K24" t="s">
        <v>105</v>
      </c>
      <c r="L24">
        <v>7258112</v>
      </c>
      <c r="M24" t="s">
        <v>221</v>
      </c>
      <c r="N24" t="s">
        <v>222</v>
      </c>
      <c r="O24" t="s">
        <v>223</v>
      </c>
      <c r="P24" t="str">
        <f>IF(ISNUMBER(SEARCH("_2x", J24)), "2x", IF(ISNUMBER(SEARCH("_5x", J24)), "5x", IF(ISNUMBER(SEARCH("_10x", J24)), "10x", "1x")))</f>
        <v>1x</v>
      </c>
      <c r="T24">
        <v>1</v>
      </c>
      <c r="V24">
        <v>1</v>
      </c>
      <c r="X24" t="str">
        <f t="shared" si="2"/>
        <v/>
      </c>
      <c r="Y24" t="str">
        <f t="shared" si="3"/>
        <v/>
      </c>
      <c r="Z24" t="str">
        <f t="shared" si="4"/>
        <v/>
      </c>
      <c r="AA24">
        <f t="shared" si="5"/>
        <v>7258112</v>
      </c>
      <c r="AB24" t="str">
        <f t="shared" si="6"/>
        <v/>
      </c>
      <c r="AC24">
        <f t="shared" si="7"/>
        <v>7258112</v>
      </c>
      <c r="AD24" t="str">
        <f t="shared" si="8"/>
        <v/>
      </c>
    </row>
    <row r="25" spans="2:30">
      <c r="D25" s="42" t="s">
        <v>120</v>
      </c>
      <c r="E25" s="42" t="s">
        <v>73</v>
      </c>
      <c r="F25" s="42" t="s">
        <v>116</v>
      </c>
      <c r="G25" s="42" t="s">
        <v>116</v>
      </c>
      <c r="H25" s="42" t="s">
        <v>120</v>
      </c>
      <c r="J25" t="s">
        <v>220</v>
      </c>
      <c r="K25" t="s">
        <v>108</v>
      </c>
      <c r="L25">
        <v>105308160</v>
      </c>
      <c r="M25" t="s">
        <v>224</v>
      </c>
      <c r="N25" t="s">
        <v>225</v>
      </c>
      <c r="O25" t="s">
        <v>226</v>
      </c>
      <c r="P25" t="str">
        <f>IF(ISNUMBER(SEARCH("_2x", J25)), "2x", IF(ISNUMBER(SEARCH("_5x", J25)), "5x", IF(ISNUMBER(SEARCH("_10x", J25)), "10x", "1x")))</f>
        <v>1x</v>
      </c>
      <c r="T25">
        <v>1</v>
      </c>
      <c r="V25">
        <v>1</v>
      </c>
      <c r="X25" t="str">
        <f t="shared" si="2"/>
        <v/>
      </c>
      <c r="Y25" t="str">
        <f t="shared" si="3"/>
        <v/>
      </c>
      <c r="Z25" t="str">
        <f t="shared" si="4"/>
        <v/>
      </c>
      <c r="AA25">
        <f t="shared" si="5"/>
        <v>105308160</v>
      </c>
      <c r="AB25" t="str">
        <f t="shared" si="6"/>
        <v/>
      </c>
      <c r="AC25">
        <f t="shared" si="7"/>
        <v>105308160</v>
      </c>
      <c r="AD25" t="str">
        <f t="shared" si="8"/>
        <v/>
      </c>
    </row>
    <row r="26" spans="2:30">
      <c r="D26" s="42" t="s">
        <v>73</v>
      </c>
      <c r="E26" s="42" t="s">
        <v>124</v>
      </c>
      <c r="F26" s="42" t="s">
        <v>120</v>
      </c>
      <c r="G26" s="42" t="s">
        <v>120</v>
      </c>
      <c r="H26" s="42" t="s">
        <v>73</v>
      </c>
      <c r="J26" t="s">
        <v>220</v>
      </c>
      <c r="K26" t="s">
        <v>112</v>
      </c>
      <c r="L26">
        <v>382525440</v>
      </c>
      <c r="M26" t="s">
        <v>227</v>
      </c>
      <c r="N26" t="s">
        <v>170</v>
      </c>
      <c r="O26" t="s">
        <v>228</v>
      </c>
      <c r="P26" t="str">
        <f>IF(ISNUMBER(SEARCH("_2x", J26)), "2x", IF(ISNUMBER(SEARCH("_5x", J26)), "5x", IF(ISNUMBER(SEARCH("_10x", J26)), "10x", "1x")))</f>
        <v>1x</v>
      </c>
      <c r="T26">
        <v>1</v>
      </c>
      <c r="V26">
        <v>1</v>
      </c>
      <c r="X26" t="str">
        <f t="shared" si="2"/>
        <v/>
      </c>
      <c r="Y26" t="str">
        <f t="shared" si="3"/>
        <v/>
      </c>
      <c r="Z26" t="str">
        <f t="shared" si="4"/>
        <v/>
      </c>
      <c r="AA26">
        <f t="shared" si="5"/>
        <v>382525440</v>
      </c>
      <c r="AB26" t="str">
        <f t="shared" si="6"/>
        <v/>
      </c>
      <c r="AC26">
        <f t="shared" si="7"/>
        <v>382525440</v>
      </c>
      <c r="AD26" t="str">
        <f t="shared" si="8"/>
        <v/>
      </c>
    </row>
    <row r="27" spans="2:30">
      <c r="D27" s="42" t="s">
        <v>124</v>
      </c>
      <c r="E27" s="42" t="s">
        <v>76</v>
      </c>
      <c r="F27" s="42" t="s">
        <v>73</v>
      </c>
      <c r="G27" s="42" t="s">
        <v>73</v>
      </c>
      <c r="H27" s="42" t="s">
        <v>258</v>
      </c>
      <c r="J27" t="s">
        <v>220</v>
      </c>
      <c r="K27" t="s">
        <v>116</v>
      </c>
      <c r="L27">
        <v>8945664</v>
      </c>
      <c r="M27" t="s">
        <v>229</v>
      </c>
      <c r="N27" t="s">
        <v>230</v>
      </c>
      <c r="O27" t="s">
        <v>215</v>
      </c>
      <c r="P27" t="str">
        <f>IF(ISNUMBER(SEARCH("_2x", J27)), "2x", IF(ISNUMBER(SEARCH("_5x", J27)), "5x", IF(ISNUMBER(SEARCH("_10x", J27)), "10x", "1x")))</f>
        <v>1x</v>
      </c>
      <c r="T27">
        <v>1</v>
      </c>
      <c r="V27">
        <v>1</v>
      </c>
      <c r="X27" t="str">
        <f t="shared" si="2"/>
        <v/>
      </c>
      <c r="Y27" t="str">
        <f t="shared" si="3"/>
        <v/>
      </c>
      <c r="Z27" t="str">
        <f t="shared" si="4"/>
        <v/>
      </c>
      <c r="AA27">
        <f t="shared" si="5"/>
        <v>8945664</v>
      </c>
      <c r="AB27" t="str">
        <f t="shared" si="6"/>
        <v/>
      </c>
      <c r="AC27">
        <f t="shared" si="7"/>
        <v>8945664</v>
      </c>
      <c r="AD27" t="str">
        <f t="shared" si="8"/>
        <v/>
      </c>
    </row>
    <row r="28" spans="2:30">
      <c r="D28" s="42" t="s">
        <v>126</v>
      </c>
      <c r="F28" s="42" t="s">
        <v>124</v>
      </c>
      <c r="G28" s="42" t="s">
        <v>124</v>
      </c>
      <c r="H28" s="42" t="s">
        <v>130</v>
      </c>
      <c r="J28" t="s">
        <v>220</v>
      </c>
      <c r="K28" t="s">
        <v>120</v>
      </c>
      <c r="L28">
        <v>135561216</v>
      </c>
      <c r="M28" t="s">
        <v>231</v>
      </c>
      <c r="N28" t="s">
        <v>232</v>
      </c>
      <c r="O28" t="s">
        <v>148</v>
      </c>
      <c r="P28" t="str">
        <f>IF(ISNUMBER(SEARCH("_2x", J28)), "2x", IF(ISNUMBER(SEARCH("_5x", J28)), "5x", IF(ISNUMBER(SEARCH("_10x", J28)), "10x", "1x")))</f>
        <v>1x</v>
      </c>
      <c r="T28">
        <v>1</v>
      </c>
      <c r="V28">
        <v>1</v>
      </c>
      <c r="X28" t="str">
        <f t="shared" si="2"/>
        <v/>
      </c>
      <c r="Y28" t="str">
        <f t="shared" si="3"/>
        <v/>
      </c>
      <c r="Z28" t="str">
        <f t="shared" si="4"/>
        <v/>
      </c>
      <c r="AA28">
        <f t="shared" si="5"/>
        <v>135561216</v>
      </c>
      <c r="AB28" t="str">
        <f t="shared" si="6"/>
        <v/>
      </c>
      <c r="AC28">
        <f t="shared" si="7"/>
        <v>135561216</v>
      </c>
      <c r="AD28" t="str">
        <f t="shared" si="8"/>
        <v/>
      </c>
    </row>
    <row r="29" spans="2:30">
      <c r="D29" s="42" t="s">
        <v>76</v>
      </c>
      <c r="F29" s="42" t="s">
        <v>130</v>
      </c>
      <c r="G29" s="42" t="s">
        <v>130</v>
      </c>
      <c r="H29" s="42" t="s">
        <v>76</v>
      </c>
      <c r="J29" t="s">
        <v>220</v>
      </c>
      <c r="K29" t="s">
        <v>73</v>
      </c>
      <c r="L29">
        <v>327680</v>
      </c>
      <c r="M29" t="s">
        <v>233</v>
      </c>
      <c r="N29" t="s">
        <v>234</v>
      </c>
      <c r="O29" t="s">
        <v>107</v>
      </c>
      <c r="P29" t="str">
        <f>IF(ISNUMBER(SEARCH("_2x", J29)), "2x", IF(ISNUMBER(SEARCH("_5x", J29)), "5x", IF(ISNUMBER(SEARCH("_10x", J29)), "10x", "1x")))</f>
        <v>1x</v>
      </c>
      <c r="T29">
        <v>1</v>
      </c>
      <c r="V29">
        <v>1</v>
      </c>
      <c r="X29" t="str">
        <f t="shared" si="2"/>
        <v/>
      </c>
      <c r="Y29" t="str">
        <f t="shared" si="3"/>
        <v/>
      </c>
      <c r="Z29" t="str">
        <f t="shared" si="4"/>
        <v/>
      </c>
      <c r="AA29">
        <f t="shared" si="5"/>
        <v>327680</v>
      </c>
      <c r="AB29" t="str">
        <f t="shared" si="6"/>
        <v/>
      </c>
      <c r="AC29">
        <f t="shared" si="7"/>
        <v>327680</v>
      </c>
      <c r="AD29" t="str">
        <f t="shared" si="8"/>
        <v/>
      </c>
    </row>
    <row r="30" spans="2:30">
      <c r="D30" s="42" t="s">
        <v>133</v>
      </c>
      <c r="F30" s="42" t="s">
        <v>76</v>
      </c>
      <c r="G30" s="42" t="s">
        <v>76</v>
      </c>
      <c r="H30" s="42" t="s">
        <v>261</v>
      </c>
      <c r="J30" t="s">
        <v>220</v>
      </c>
      <c r="K30" t="s">
        <v>124</v>
      </c>
      <c r="L30">
        <v>15589376</v>
      </c>
      <c r="M30" t="s">
        <v>88</v>
      </c>
      <c r="N30" t="s">
        <v>176</v>
      </c>
      <c r="O30" t="s">
        <v>223</v>
      </c>
      <c r="P30" t="str">
        <f>IF(ISNUMBER(SEARCH("_2x", J30)), "2x", IF(ISNUMBER(SEARCH("_5x", J30)), "5x", IF(ISNUMBER(SEARCH("_10x", J30)), "10x", "1x")))</f>
        <v>1x</v>
      </c>
      <c r="T30">
        <v>1</v>
      </c>
      <c r="V30">
        <v>1</v>
      </c>
      <c r="X30" t="str">
        <f t="shared" si="2"/>
        <v/>
      </c>
      <c r="Y30" t="str">
        <f t="shared" si="3"/>
        <v/>
      </c>
      <c r="Z30" t="str">
        <f t="shared" si="4"/>
        <v/>
      </c>
      <c r="AA30">
        <f t="shared" si="5"/>
        <v>15589376</v>
      </c>
      <c r="AB30" t="str">
        <f t="shared" si="6"/>
        <v/>
      </c>
      <c r="AC30">
        <f t="shared" si="7"/>
        <v>15589376</v>
      </c>
      <c r="AD30" t="str">
        <f t="shared" si="8"/>
        <v/>
      </c>
    </row>
    <row r="31" spans="2:30">
      <c r="F31" s="42" t="s">
        <v>133</v>
      </c>
      <c r="J31" t="s">
        <v>220</v>
      </c>
      <c r="K31" t="s">
        <v>126</v>
      </c>
      <c r="L31">
        <v>253952</v>
      </c>
      <c r="M31" t="s">
        <v>235</v>
      </c>
      <c r="N31" t="s">
        <v>236</v>
      </c>
      <c r="O31" t="s">
        <v>111</v>
      </c>
      <c r="P31" t="str">
        <f>IF(ISNUMBER(SEARCH("_2x", J31)), "2x", IF(ISNUMBER(SEARCH("_5x", J31)), "5x", IF(ISNUMBER(SEARCH("_10x", J31)), "10x", "1x")))</f>
        <v>1x</v>
      </c>
      <c r="X31" t="str">
        <f t="shared" si="2"/>
        <v/>
      </c>
      <c r="Y31" t="str">
        <f t="shared" si="3"/>
        <v/>
      </c>
      <c r="Z31" t="str">
        <f t="shared" si="4"/>
        <v/>
      </c>
      <c r="AA31" t="str">
        <f t="shared" si="5"/>
        <v/>
      </c>
      <c r="AB31" t="str">
        <f t="shared" si="6"/>
        <v/>
      </c>
      <c r="AC31" t="str">
        <f t="shared" si="7"/>
        <v/>
      </c>
      <c r="AD31" t="str">
        <f t="shared" si="8"/>
        <v/>
      </c>
    </row>
    <row r="32" spans="2:30">
      <c r="J32" t="s">
        <v>220</v>
      </c>
      <c r="K32" t="s">
        <v>198</v>
      </c>
      <c r="L32">
        <v>12836864</v>
      </c>
      <c r="M32" t="s">
        <v>188</v>
      </c>
      <c r="N32" t="s">
        <v>188</v>
      </c>
      <c r="O32" t="s">
        <v>223</v>
      </c>
      <c r="P32" t="str">
        <f>IF(ISNUMBER(SEARCH("_2x", J32)), "2x", IF(ISNUMBER(SEARCH("_5x", J32)), "5x", IF(ISNUMBER(SEARCH("_10x", J32)), "10x", "1x")))</f>
        <v>1x</v>
      </c>
      <c r="X32" t="str">
        <f t="shared" si="2"/>
        <v/>
      </c>
      <c r="Y32" t="str">
        <f t="shared" si="3"/>
        <v/>
      </c>
      <c r="Z32" t="str">
        <f t="shared" si="4"/>
        <v/>
      </c>
      <c r="AA32" t="str">
        <f t="shared" si="5"/>
        <v/>
      </c>
      <c r="AB32" t="str">
        <f t="shared" si="6"/>
        <v/>
      </c>
      <c r="AC32" t="str">
        <f t="shared" si="7"/>
        <v/>
      </c>
      <c r="AD32" t="str">
        <f t="shared" si="8"/>
        <v/>
      </c>
    </row>
    <row r="33" spans="10:30">
      <c r="J33" t="s">
        <v>220</v>
      </c>
      <c r="K33" t="s">
        <v>130</v>
      </c>
      <c r="L33">
        <v>745472</v>
      </c>
      <c r="M33" t="s">
        <v>131</v>
      </c>
      <c r="N33" t="s">
        <v>132</v>
      </c>
      <c r="O33" t="s">
        <v>111</v>
      </c>
      <c r="P33" t="str">
        <f>IF(ISNUMBER(SEARCH("_2x", J33)), "2x", IF(ISNUMBER(SEARCH("_5x", J33)), "5x", IF(ISNUMBER(SEARCH("_10x", J33)), "10x", "1x")))</f>
        <v>1x</v>
      </c>
      <c r="V33">
        <v>1</v>
      </c>
      <c r="X33" t="str">
        <f t="shared" si="2"/>
        <v/>
      </c>
      <c r="Y33" t="str">
        <f t="shared" si="3"/>
        <v/>
      </c>
      <c r="Z33" t="str">
        <f t="shared" si="4"/>
        <v/>
      </c>
      <c r="AA33" t="str">
        <f t="shared" si="5"/>
        <v/>
      </c>
      <c r="AB33" t="str">
        <f t="shared" si="6"/>
        <v/>
      </c>
      <c r="AC33">
        <f t="shared" si="7"/>
        <v>745472</v>
      </c>
      <c r="AD33" t="str">
        <f t="shared" si="8"/>
        <v/>
      </c>
    </row>
    <row r="34" spans="10:30">
      <c r="J34" t="s">
        <v>220</v>
      </c>
      <c r="K34" t="s">
        <v>76</v>
      </c>
      <c r="L34">
        <v>73523200</v>
      </c>
      <c r="M34" t="s">
        <v>237</v>
      </c>
      <c r="N34" t="s">
        <v>78</v>
      </c>
      <c r="O34" t="s">
        <v>238</v>
      </c>
      <c r="P34" t="str">
        <f>IF(ISNUMBER(SEARCH("_2x", J34)), "2x", IF(ISNUMBER(SEARCH("_5x", J34)), "5x", IF(ISNUMBER(SEARCH("_10x", J34)), "10x", "1x")))</f>
        <v>1x</v>
      </c>
      <c r="T34">
        <v>1</v>
      </c>
      <c r="V34">
        <v>1</v>
      </c>
      <c r="X34" t="str">
        <f t="shared" si="2"/>
        <v/>
      </c>
      <c r="Y34" t="str">
        <f t="shared" si="3"/>
        <v/>
      </c>
      <c r="Z34" t="str">
        <f t="shared" si="4"/>
        <v/>
      </c>
      <c r="AA34">
        <f t="shared" si="5"/>
        <v>73523200</v>
      </c>
      <c r="AB34" t="str">
        <f t="shared" si="6"/>
        <v/>
      </c>
      <c r="AC34">
        <f t="shared" si="7"/>
        <v>73523200</v>
      </c>
      <c r="AD34" t="str">
        <f t="shared" si="8"/>
        <v/>
      </c>
    </row>
    <row r="35" spans="10:30">
      <c r="J35" t="s">
        <v>278</v>
      </c>
      <c r="K35" t="s">
        <v>240</v>
      </c>
      <c r="L35">
        <v>16384</v>
      </c>
      <c r="M35" t="s">
        <v>111</v>
      </c>
      <c r="N35" t="s">
        <v>134</v>
      </c>
      <c r="O35" t="s">
        <v>110</v>
      </c>
      <c r="P35" t="str">
        <f>IF(ISNUMBER(SEARCH("_2x", J35)), "2x", IF(ISNUMBER(SEARCH("_5x", J35)), "5x", IF(ISNUMBER(SEARCH("_10x", J35)), "10x", "1x")))</f>
        <v>1x</v>
      </c>
      <c r="W35">
        <v>1</v>
      </c>
      <c r="X35" t="str">
        <f t="shared" si="2"/>
        <v/>
      </c>
      <c r="Y35" t="str">
        <f t="shared" si="3"/>
        <v/>
      </c>
      <c r="Z35" t="str">
        <f t="shared" si="4"/>
        <v/>
      </c>
      <c r="AA35" t="str">
        <f t="shared" si="5"/>
        <v/>
      </c>
      <c r="AB35" t="str">
        <f t="shared" si="6"/>
        <v/>
      </c>
      <c r="AC35" t="str">
        <f t="shared" si="7"/>
        <v/>
      </c>
      <c r="AD35">
        <f t="shared" si="8"/>
        <v>16384</v>
      </c>
    </row>
    <row r="36" spans="10:30">
      <c r="J36" t="s">
        <v>278</v>
      </c>
      <c r="K36" t="s">
        <v>241</v>
      </c>
      <c r="L36">
        <v>70574080</v>
      </c>
      <c r="M36" t="s">
        <v>92</v>
      </c>
      <c r="N36" t="s">
        <v>242</v>
      </c>
      <c r="O36" t="s">
        <v>243</v>
      </c>
      <c r="P36" t="str">
        <f>IF(ISNUMBER(SEARCH("_2x", J36)), "2x", IF(ISNUMBER(SEARCH("_5x", J36)), "5x", IF(ISNUMBER(SEARCH("_10x", J36)), "10x", "1x")))</f>
        <v>1x</v>
      </c>
      <c r="W36">
        <v>1</v>
      </c>
      <c r="X36" t="str">
        <f t="shared" si="2"/>
        <v/>
      </c>
      <c r="Y36" t="str">
        <f t="shared" si="3"/>
        <v/>
      </c>
      <c r="Z36" t="str">
        <f t="shared" si="4"/>
        <v/>
      </c>
      <c r="AA36" t="str">
        <f t="shared" si="5"/>
        <v/>
      </c>
      <c r="AB36" t="str">
        <f t="shared" si="6"/>
        <v/>
      </c>
      <c r="AC36" t="str">
        <f t="shared" si="7"/>
        <v/>
      </c>
      <c r="AD36">
        <f t="shared" si="8"/>
        <v>70574080</v>
      </c>
    </row>
    <row r="37" spans="10:30">
      <c r="J37" t="s">
        <v>278</v>
      </c>
      <c r="K37" t="s">
        <v>244</v>
      </c>
      <c r="L37">
        <v>23977984</v>
      </c>
      <c r="M37" t="s">
        <v>245</v>
      </c>
      <c r="N37" t="s">
        <v>122</v>
      </c>
      <c r="O37" t="s">
        <v>246</v>
      </c>
      <c r="P37" t="str">
        <f>IF(ISNUMBER(SEARCH("_2x", J37)), "2x", IF(ISNUMBER(SEARCH("_5x", J37)), "5x", IF(ISNUMBER(SEARCH("_10x", J37)), "10x", "1x")))</f>
        <v>1x</v>
      </c>
      <c r="W37">
        <v>1</v>
      </c>
      <c r="X37" t="str">
        <f t="shared" si="2"/>
        <v/>
      </c>
      <c r="Y37" t="str">
        <f t="shared" si="3"/>
        <v/>
      </c>
      <c r="Z37" t="str">
        <f t="shared" si="4"/>
        <v/>
      </c>
      <c r="AA37" t="str">
        <f t="shared" si="5"/>
        <v/>
      </c>
      <c r="AB37" t="str">
        <f t="shared" si="6"/>
        <v/>
      </c>
      <c r="AC37" t="str">
        <f t="shared" si="7"/>
        <v/>
      </c>
      <c r="AD37">
        <f t="shared" si="8"/>
        <v>23977984</v>
      </c>
    </row>
    <row r="38" spans="10:30">
      <c r="J38" t="s">
        <v>278</v>
      </c>
      <c r="K38" t="s">
        <v>99</v>
      </c>
      <c r="L38">
        <v>30597120</v>
      </c>
      <c r="M38" t="s">
        <v>97</v>
      </c>
      <c r="N38" t="s">
        <v>97</v>
      </c>
      <c r="O38" t="s">
        <v>166</v>
      </c>
      <c r="P38" t="str">
        <f>IF(ISNUMBER(SEARCH("_2x", J38)), "2x", IF(ISNUMBER(SEARCH("_5x", J38)), "5x", IF(ISNUMBER(SEARCH("_10x", J38)), "10x", "1x")))</f>
        <v>1x</v>
      </c>
      <c r="W38">
        <v>1</v>
      </c>
      <c r="X38" t="str">
        <f t="shared" si="2"/>
        <v/>
      </c>
      <c r="Y38" t="str">
        <f t="shared" si="3"/>
        <v/>
      </c>
      <c r="Z38" t="str">
        <f t="shared" si="4"/>
        <v/>
      </c>
      <c r="AA38" t="str">
        <f t="shared" si="5"/>
        <v/>
      </c>
      <c r="AB38" t="str">
        <f t="shared" si="6"/>
        <v/>
      </c>
      <c r="AC38" t="str">
        <f t="shared" si="7"/>
        <v/>
      </c>
      <c r="AD38">
        <f t="shared" si="8"/>
        <v>30597120</v>
      </c>
    </row>
    <row r="39" spans="10:30">
      <c r="J39" t="s">
        <v>278</v>
      </c>
      <c r="K39" t="s">
        <v>103</v>
      </c>
      <c r="L39">
        <v>62570496</v>
      </c>
      <c r="M39" t="s">
        <v>167</v>
      </c>
      <c r="N39" t="s">
        <v>168</v>
      </c>
      <c r="O39" t="s">
        <v>166</v>
      </c>
      <c r="P39" t="str">
        <f>IF(ISNUMBER(SEARCH("_2x", J39)), "2x", IF(ISNUMBER(SEARCH("_5x", J39)), "5x", IF(ISNUMBER(SEARCH("_10x", J39)), "10x", "1x")))</f>
        <v>1x</v>
      </c>
      <c r="W39">
        <v>1</v>
      </c>
      <c r="X39" t="str">
        <f t="shared" si="2"/>
        <v/>
      </c>
      <c r="Y39" t="str">
        <f t="shared" si="3"/>
        <v/>
      </c>
      <c r="Z39" t="str">
        <f t="shared" si="4"/>
        <v/>
      </c>
      <c r="AA39" t="str">
        <f t="shared" si="5"/>
        <v/>
      </c>
      <c r="AB39" t="str">
        <f t="shared" si="6"/>
        <v/>
      </c>
      <c r="AC39" t="str">
        <f t="shared" si="7"/>
        <v/>
      </c>
      <c r="AD39">
        <f t="shared" si="8"/>
        <v>62570496</v>
      </c>
    </row>
    <row r="40" spans="10:30">
      <c r="J40" t="s">
        <v>278</v>
      </c>
      <c r="K40" t="s">
        <v>105</v>
      </c>
      <c r="L40">
        <v>19431424</v>
      </c>
      <c r="M40" t="s">
        <v>279</v>
      </c>
      <c r="N40" t="s">
        <v>89</v>
      </c>
      <c r="O40" t="s">
        <v>280</v>
      </c>
      <c r="P40" t="str">
        <f>IF(ISNUMBER(SEARCH("_2x", J40)), "2x", IF(ISNUMBER(SEARCH("_5x", J40)), "5x", IF(ISNUMBER(SEARCH("_10x", J40)), "10x", "1x")))</f>
        <v>1x</v>
      </c>
      <c r="W40">
        <v>1</v>
      </c>
      <c r="X40" t="str">
        <f t="shared" si="2"/>
        <v/>
      </c>
      <c r="Y40" t="str">
        <f t="shared" si="3"/>
        <v/>
      </c>
      <c r="Z40" t="str">
        <f t="shared" si="4"/>
        <v/>
      </c>
      <c r="AA40" t="str">
        <f t="shared" si="5"/>
        <v/>
      </c>
      <c r="AB40" t="str">
        <f t="shared" si="6"/>
        <v/>
      </c>
      <c r="AC40" t="str">
        <f t="shared" si="7"/>
        <v/>
      </c>
      <c r="AD40">
        <f t="shared" si="8"/>
        <v>19431424</v>
      </c>
    </row>
    <row r="41" spans="10:30">
      <c r="J41" t="s">
        <v>278</v>
      </c>
      <c r="K41" t="s">
        <v>108</v>
      </c>
      <c r="L41">
        <v>255352832</v>
      </c>
      <c r="M41" t="s">
        <v>281</v>
      </c>
      <c r="N41" t="s">
        <v>282</v>
      </c>
      <c r="O41" t="s">
        <v>280</v>
      </c>
      <c r="P41" t="str">
        <f>IF(ISNUMBER(SEARCH("_2x", J41)), "2x", IF(ISNUMBER(SEARCH("_5x", J41)), "5x", IF(ISNUMBER(SEARCH("_10x", J41)), "10x", "1x")))</f>
        <v>1x</v>
      </c>
      <c r="W41">
        <v>1</v>
      </c>
      <c r="X41" t="str">
        <f t="shared" si="2"/>
        <v/>
      </c>
      <c r="Y41" t="str">
        <f t="shared" si="3"/>
        <v/>
      </c>
      <c r="Z41" t="str">
        <f t="shared" si="4"/>
        <v/>
      </c>
      <c r="AA41" t="str">
        <f t="shared" si="5"/>
        <v/>
      </c>
      <c r="AB41" t="str">
        <f t="shared" si="6"/>
        <v/>
      </c>
      <c r="AC41" t="str">
        <f t="shared" si="7"/>
        <v/>
      </c>
      <c r="AD41">
        <f t="shared" si="8"/>
        <v>255352832</v>
      </c>
    </row>
    <row r="42" spans="10:30">
      <c r="J42" t="s">
        <v>278</v>
      </c>
      <c r="K42" t="s">
        <v>112</v>
      </c>
      <c r="L42">
        <v>234848256</v>
      </c>
      <c r="M42" t="s">
        <v>283</v>
      </c>
      <c r="N42" t="s">
        <v>284</v>
      </c>
      <c r="O42" t="s">
        <v>285</v>
      </c>
      <c r="P42" t="str">
        <f>IF(ISNUMBER(SEARCH("_2x", J42)), "2x", IF(ISNUMBER(SEARCH("_5x", J42)), "5x", IF(ISNUMBER(SEARCH("_10x", J42)), "10x", "1x")))</f>
        <v>1x</v>
      </c>
      <c r="W42">
        <v>1</v>
      </c>
      <c r="X42" t="str">
        <f t="shared" si="2"/>
        <v/>
      </c>
      <c r="Y42" t="str">
        <f t="shared" si="3"/>
        <v/>
      </c>
      <c r="Z42" t="str">
        <f t="shared" si="4"/>
        <v/>
      </c>
      <c r="AA42" t="str">
        <f t="shared" si="5"/>
        <v/>
      </c>
      <c r="AB42" t="str">
        <f t="shared" si="6"/>
        <v/>
      </c>
      <c r="AC42" t="str">
        <f t="shared" si="7"/>
        <v/>
      </c>
      <c r="AD42">
        <f t="shared" si="8"/>
        <v>234848256</v>
      </c>
    </row>
    <row r="43" spans="10:30">
      <c r="J43" t="s">
        <v>278</v>
      </c>
      <c r="K43" t="s">
        <v>116</v>
      </c>
      <c r="L43">
        <v>9207808</v>
      </c>
      <c r="M43" t="s">
        <v>286</v>
      </c>
      <c r="N43" t="s">
        <v>287</v>
      </c>
      <c r="O43" t="s">
        <v>288</v>
      </c>
      <c r="P43" t="str">
        <f>IF(ISNUMBER(SEARCH("_2x", J43)), "2x", IF(ISNUMBER(SEARCH("_5x", J43)), "5x", IF(ISNUMBER(SEARCH("_10x", J43)), "10x", "1x")))</f>
        <v>1x</v>
      </c>
      <c r="W43">
        <v>1</v>
      </c>
      <c r="X43" t="str">
        <f t="shared" si="2"/>
        <v/>
      </c>
      <c r="Y43" t="str">
        <f t="shared" si="3"/>
        <v/>
      </c>
      <c r="Z43" t="str">
        <f t="shared" si="4"/>
        <v/>
      </c>
      <c r="AA43" t="str">
        <f t="shared" si="5"/>
        <v/>
      </c>
      <c r="AB43" t="str">
        <f t="shared" si="6"/>
        <v/>
      </c>
      <c r="AC43" t="str">
        <f t="shared" si="7"/>
        <v/>
      </c>
      <c r="AD43">
        <f t="shared" si="8"/>
        <v>9207808</v>
      </c>
    </row>
    <row r="44" spans="10:30">
      <c r="J44" t="s">
        <v>278</v>
      </c>
      <c r="K44" t="s">
        <v>120</v>
      </c>
      <c r="L44">
        <v>133341184</v>
      </c>
      <c r="M44" t="s">
        <v>289</v>
      </c>
      <c r="N44" t="s">
        <v>290</v>
      </c>
      <c r="O44" t="s">
        <v>288</v>
      </c>
      <c r="P44" t="str">
        <f>IF(ISNUMBER(SEARCH("_2x", J44)), "2x", IF(ISNUMBER(SEARCH("_5x", J44)), "5x", IF(ISNUMBER(SEARCH("_10x", J44)), "10x", "1x")))</f>
        <v>1x</v>
      </c>
      <c r="W44">
        <v>1</v>
      </c>
      <c r="X44" t="str">
        <f t="shared" si="2"/>
        <v/>
      </c>
      <c r="Y44" t="str">
        <f t="shared" si="3"/>
        <v/>
      </c>
      <c r="Z44" t="str">
        <f t="shared" si="4"/>
        <v/>
      </c>
      <c r="AA44" t="str">
        <f t="shared" si="5"/>
        <v/>
      </c>
      <c r="AB44" t="str">
        <f t="shared" si="6"/>
        <v/>
      </c>
      <c r="AC44" t="str">
        <f t="shared" si="7"/>
        <v/>
      </c>
      <c r="AD44">
        <f t="shared" si="8"/>
        <v>133341184</v>
      </c>
    </row>
    <row r="45" spans="10:30">
      <c r="J45" t="s">
        <v>278</v>
      </c>
      <c r="K45" t="s">
        <v>73</v>
      </c>
      <c r="L45">
        <v>49152</v>
      </c>
      <c r="M45" t="s">
        <v>125</v>
      </c>
      <c r="N45" t="s">
        <v>291</v>
      </c>
      <c r="O45" t="s">
        <v>111</v>
      </c>
      <c r="P45" t="str">
        <f>IF(ISNUMBER(SEARCH("_2x", J45)), "2x", IF(ISNUMBER(SEARCH("_5x", J45)), "5x", IF(ISNUMBER(SEARCH("_10x", J45)), "10x", "1x")))</f>
        <v>1x</v>
      </c>
      <c r="W45">
        <v>1</v>
      </c>
      <c r="X45" t="str">
        <f t="shared" si="2"/>
        <v/>
      </c>
      <c r="Y45" t="str">
        <f t="shared" si="3"/>
        <v/>
      </c>
      <c r="Z45" t="str">
        <f t="shared" si="4"/>
        <v/>
      </c>
      <c r="AA45" t="str">
        <f t="shared" si="5"/>
        <v/>
      </c>
      <c r="AB45" t="str">
        <f t="shared" si="6"/>
        <v/>
      </c>
      <c r="AC45" t="str">
        <f t="shared" si="7"/>
        <v/>
      </c>
      <c r="AD45">
        <f t="shared" si="8"/>
        <v>49152</v>
      </c>
    </row>
    <row r="46" spans="10:30">
      <c r="J46" t="s">
        <v>278</v>
      </c>
      <c r="K46" t="s">
        <v>258</v>
      </c>
      <c r="L46">
        <v>278528</v>
      </c>
      <c r="M46" t="s">
        <v>292</v>
      </c>
      <c r="N46" t="s">
        <v>235</v>
      </c>
      <c r="O46" t="s">
        <v>111</v>
      </c>
      <c r="P46" t="str">
        <f>IF(ISNUMBER(SEARCH("_2x", J46)), "2x", IF(ISNUMBER(SEARCH("_5x", J46)), "5x", IF(ISNUMBER(SEARCH("_10x", J46)), "10x", "1x")))</f>
        <v>1x</v>
      </c>
      <c r="W46">
        <v>1</v>
      </c>
      <c r="X46" t="str">
        <f t="shared" si="2"/>
        <v/>
      </c>
      <c r="Y46" t="str">
        <f t="shared" si="3"/>
        <v/>
      </c>
      <c r="Z46" t="str">
        <f t="shared" si="4"/>
        <v/>
      </c>
      <c r="AA46" t="str">
        <f t="shared" si="5"/>
        <v/>
      </c>
      <c r="AB46" t="str">
        <f t="shared" si="6"/>
        <v/>
      </c>
      <c r="AC46" t="str">
        <f t="shared" si="7"/>
        <v/>
      </c>
      <c r="AD46">
        <f t="shared" si="8"/>
        <v>278528</v>
      </c>
    </row>
    <row r="47" spans="10:30">
      <c r="J47" t="s">
        <v>278</v>
      </c>
      <c r="K47" t="s">
        <v>130</v>
      </c>
      <c r="L47">
        <v>745472</v>
      </c>
      <c r="M47" t="s">
        <v>131</v>
      </c>
      <c r="N47" t="s">
        <v>132</v>
      </c>
      <c r="O47" t="s">
        <v>111</v>
      </c>
      <c r="P47" t="str">
        <f>IF(ISNUMBER(SEARCH("_2x", J47)), "2x", IF(ISNUMBER(SEARCH("_5x", J47)), "5x", IF(ISNUMBER(SEARCH("_10x", J47)), "10x", "1x")))</f>
        <v>1x</v>
      </c>
      <c r="W47">
        <v>1</v>
      </c>
      <c r="X47" t="str">
        <f t="shared" si="2"/>
        <v/>
      </c>
      <c r="Y47" t="str">
        <f t="shared" si="3"/>
        <v/>
      </c>
      <c r="Z47" t="str">
        <f t="shared" si="4"/>
        <v/>
      </c>
      <c r="AA47" t="str">
        <f t="shared" si="5"/>
        <v/>
      </c>
      <c r="AB47" t="str">
        <f t="shared" si="6"/>
        <v/>
      </c>
      <c r="AC47" t="str">
        <f t="shared" si="7"/>
        <v/>
      </c>
      <c r="AD47">
        <f t="shared" si="8"/>
        <v>745472</v>
      </c>
    </row>
    <row r="48" spans="10:30">
      <c r="J48" t="s">
        <v>278</v>
      </c>
      <c r="K48" t="s">
        <v>76</v>
      </c>
      <c r="L48">
        <v>9076736</v>
      </c>
      <c r="M48" t="s">
        <v>293</v>
      </c>
      <c r="N48" t="s">
        <v>294</v>
      </c>
      <c r="O48" t="s">
        <v>295</v>
      </c>
      <c r="P48" t="str">
        <f>IF(ISNUMBER(SEARCH("_2x", J48)), "2x", IF(ISNUMBER(SEARCH("_5x", J48)), "5x", IF(ISNUMBER(SEARCH("_10x", J48)), "10x", "1x")))</f>
        <v>1x</v>
      </c>
      <c r="W48">
        <v>1</v>
      </c>
      <c r="X48" t="str">
        <f t="shared" si="2"/>
        <v/>
      </c>
      <c r="Y48" t="str">
        <f t="shared" si="3"/>
        <v/>
      </c>
      <c r="Z48" t="str">
        <f t="shared" si="4"/>
        <v/>
      </c>
      <c r="AA48" t="str">
        <f t="shared" si="5"/>
        <v/>
      </c>
      <c r="AB48" t="str">
        <f t="shared" si="6"/>
        <v/>
      </c>
      <c r="AC48" t="str">
        <f t="shared" si="7"/>
        <v/>
      </c>
      <c r="AD48">
        <f t="shared" si="8"/>
        <v>9076736</v>
      </c>
    </row>
    <row r="49" spans="1:30">
      <c r="J49" t="s">
        <v>278</v>
      </c>
      <c r="K49" t="s">
        <v>261</v>
      </c>
      <c r="L49">
        <v>70828032</v>
      </c>
      <c r="M49" t="s">
        <v>296</v>
      </c>
      <c r="N49" t="s">
        <v>78</v>
      </c>
      <c r="O49" t="s">
        <v>213</v>
      </c>
      <c r="P49" t="str">
        <f>IF(ISNUMBER(SEARCH("_2x", J49)), "2x", IF(ISNUMBER(SEARCH("_5x", J49)), "5x", IF(ISNUMBER(SEARCH("_10x", J49)), "10x", "1x")))</f>
        <v>1x</v>
      </c>
      <c r="W49">
        <v>1</v>
      </c>
      <c r="X49" t="str">
        <f t="shared" si="2"/>
        <v/>
      </c>
      <c r="Y49" t="str">
        <f t="shared" si="3"/>
        <v/>
      </c>
      <c r="Z49" t="str">
        <f t="shared" si="4"/>
        <v/>
      </c>
      <c r="AA49" t="str">
        <f t="shared" si="5"/>
        <v/>
      </c>
      <c r="AB49" t="str">
        <f t="shared" si="6"/>
        <v/>
      </c>
      <c r="AC49" t="str">
        <f t="shared" si="7"/>
        <v/>
      </c>
      <c r="AD49">
        <f t="shared" si="8"/>
        <v>70828032</v>
      </c>
    </row>
    <row r="50" spans="1:30" ht="14" customHeight="1">
      <c r="A50"/>
      <c r="B50"/>
      <c r="C50"/>
      <c r="D50"/>
      <c r="E50"/>
      <c r="F50"/>
      <c r="G50"/>
      <c r="H50"/>
      <c r="J50" t="s">
        <v>135</v>
      </c>
      <c r="K50" t="s">
        <v>69</v>
      </c>
      <c r="L50">
        <v>1250803712</v>
      </c>
      <c r="M50" t="s">
        <v>136</v>
      </c>
      <c r="N50" t="s">
        <v>137</v>
      </c>
      <c r="O50" t="s">
        <v>138</v>
      </c>
      <c r="P50" t="str">
        <f>IF(ISNUMBER(SEARCH("_2x", J50)), "2x", IF(ISNUMBER(SEARCH("_5x", J50)), "5x", IF(ISNUMBER(SEARCH("_10x", J50)), "10x", "1x")))</f>
        <v>2x</v>
      </c>
      <c r="Q50">
        <v>1</v>
      </c>
      <c r="X50">
        <f t="shared" ref="X50:X113" si="23">IF(Q50=1,$L50,"")</f>
        <v>1250803712</v>
      </c>
      <c r="Y50" t="str">
        <f t="shared" ref="Y50:Y113" si="24">IF(R50=1,$L50,"")</f>
        <v/>
      </c>
      <c r="Z50" t="str">
        <f t="shared" ref="Z50:Z113" si="25">IF(S50=1,$L50,"")</f>
        <v/>
      </c>
      <c r="AA50" t="str">
        <f t="shared" ref="AA50:AA113" si="26">IF(T50=1,$L50,"")</f>
        <v/>
      </c>
      <c r="AB50" t="str">
        <f t="shared" ref="AB50:AB113" si="27">IF(U50=1,$L50,"")</f>
        <v/>
      </c>
      <c r="AC50" t="str">
        <f t="shared" ref="AC50:AC113" si="28">IF(V50=1,$L50,"")</f>
        <v/>
      </c>
      <c r="AD50" t="str">
        <f t="shared" ref="AD50:AD113" si="29">IF(W50=1,$L50,"")</f>
        <v/>
      </c>
    </row>
    <row r="51" spans="1:30" ht="14" customHeight="1">
      <c r="A51"/>
      <c r="B51"/>
      <c r="C51"/>
      <c r="D51"/>
      <c r="E51"/>
      <c r="F51"/>
      <c r="G51"/>
      <c r="H51"/>
      <c r="J51" t="s">
        <v>135</v>
      </c>
      <c r="K51" t="s">
        <v>73</v>
      </c>
      <c r="L51">
        <v>36274176</v>
      </c>
      <c r="M51" t="s">
        <v>139</v>
      </c>
      <c r="N51" t="s">
        <v>140</v>
      </c>
      <c r="O51" t="s">
        <v>141</v>
      </c>
      <c r="P51" t="str">
        <f>IF(ISNUMBER(SEARCH("_2x", J51)), "2x", IF(ISNUMBER(SEARCH("_5x", J51)), "5x", IF(ISNUMBER(SEARCH("_10x", J51)), "10x", "1x")))</f>
        <v>2x</v>
      </c>
      <c r="Q51">
        <v>1</v>
      </c>
      <c r="R51">
        <v>1</v>
      </c>
      <c r="X51">
        <f t="shared" si="23"/>
        <v>36274176</v>
      </c>
      <c r="Y51">
        <f t="shared" si="24"/>
        <v>36274176</v>
      </c>
      <c r="Z51" t="str">
        <f t="shared" si="25"/>
        <v/>
      </c>
      <c r="AA51" t="str">
        <f t="shared" si="26"/>
        <v/>
      </c>
      <c r="AB51" t="str">
        <f t="shared" si="27"/>
        <v/>
      </c>
      <c r="AC51" t="str">
        <f t="shared" si="28"/>
        <v/>
      </c>
      <c r="AD51" t="str">
        <f t="shared" si="29"/>
        <v/>
      </c>
    </row>
    <row r="52" spans="1:30" ht="14" customHeight="1">
      <c r="A52"/>
      <c r="B52"/>
      <c r="C52"/>
      <c r="D52"/>
      <c r="E52"/>
      <c r="F52"/>
      <c r="G52"/>
      <c r="H52"/>
      <c r="J52" t="s">
        <v>135</v>
      </c>
      <c r="K52" t="s">
        <v>76</v>
      </c>
      <c r="L52">
        <v>144171008</v>
      </c>
      <c r="M52" t="s">
        <v>142</v>
      </c>
      <c r="N52" t="s">
        <v>143</v>
      </c>
      <c r="O52" t="s">
        <v>144</v>
      </c>
      <c r="P52" t="str">
        <f>IF(ISNUMBER(SEARCH("_2x", J52)), "2x", IF(ISNUMBER(SEARCH("_5x", J52)), "5x", IF(ISNUMBER(SEARCH("_10x", J52)), "10x", "1x")))</f>
        <v>2x</v>
      </c>
      <c r="Q52">
        <v>1</v>
      </c>
      <c r="X52">
        <f t="shared" si="23"/>
        <v>144171008</v>
      </c>
      <c r="Y52" t="str">
        <f t="shared" si="24"/>
        <v/>
      </c>
      <c r="Z52" t="str">
        <f t="shared" si="25"/>
        <v/>
      </c>
      <c r="AA52" t="str">
        <f t="shared" si="26"/>
        <v/>
      </c>
      <c r="AB52" t="str">
        <f t="shared" si="27"/>
        <v/>
      </c>
      <c r="AC52" t="str">
        <f t="shared" si="28"/>
        <v/>
      </c>
      <c r="AD52" t="str">
        <f t="shared" si="29"/>
        <v/>
      </c>
    </row>
    <row r="53" spans="1:30" ht="14" customHeight="1">
      <c r="A53"/>
      <c r="B53"/>
      <c r="C53"/>
      <c r="D53"/>
      <c r="E53"/>
      <c r="F53"/>
      <c r="G53"/>
      <c r="H53"/>
      <c r="J53" t="s">
        <v>145</v>
      </c>
      <c r="K53" t="s">
        <v>91</v>
      </c>
      <c r="L53">
        <v>70385664</v>
      </c>
      <c r="M53" t="s">
        <v>92</v>
      </c>
      <c r="N53" t="s">
        <v>93</v>
      </c>
      <c r="O53" t="s">
        <v>94</v>
      </c>
      <c r="P53" t="str">
        <f>IF(ISNUMBER(SEARCH("_2x", J53)), "2x", IF(ISNUMBER(SEARCH("_5x", J53)), "5x", IF(ISNUMBER(SEARCH("_10x", J53)), "10x", "1x")))</f>
        <v>2x</v>
      </c>
      <c r="S53">
        <v>1</v>
      </c>
      <c r="U53">
        <v>1</v>
      </c>
      <c r="X53" t="str">
        <f t="shared" si="23"/>
        <v/>
      </c>
      <c r="Y53" t="str">
        <f t="shared" si="24"/>
        <v/>
      </c>
      <c r="Z53">
        <f t="shared" si="25"/>
        <v>70385664</v>
      </c>
      <c r="AA53" t="str">
        <f t="shared" si="26"/>
        <v/>
      </c>
      <c r="AB53">
        <f t="shared" si="27"/>
        <v>70385664</v>
      </c>
      <c r="AC53" t="str">
        <f t="shared" si="28"/>
        <v/>
      </c>
      <c r="AD53" t="str">
        <f t="shared" si="29"/>
        <v/>
      </c>
    </row>
    <row r="54" spans="1:30" ht="14" customHeight="1">
      <c r="A54"/>
      <c r="B54"/>
      <c r="C54"/>
      <c r="D54"/>
      <c r="E54"/>
      <c r="F54"/>
      <c r="G54"/>
      <c r="H54"/>
      <c r="J54" t="s">
        <v>145</v>
      </c>
      <c r="K54" t="s">
        <v>95</v>
      </c>
      <c r="L54">
        <v>31948800</v>
      </c>
      <c r="M54" t="s">
        <v>96</v>
      </c>
      <c r="N54" t="s">
        <v>97</v>
      </c>
      <c r="O54" t="s">
        <v>98</v>
      </c>
      <c r="P54" t="str">
        <f>IF(ISNUMBER(SEARCH("_2x", J54)), "2x", IF(ISNUMBER(SEARCH("_5x", J54)), "5x", IF(ISNUMBER(SEARCH("_10x", J54)), "10x", "1x")))</f>
        <v>2x</v>
      </c>
      <c r="S54">
        <v>1</v>
      </c>
      <c r="U54">
        <v>1</v>
      </c>
      <c r="X54" t="str">
        <f t="shared" si="23"/>
        <v/>
      </c>
      <c r="Y54" t="str">
        <f t="shared" si="24"/>
        <v/>
      </c>
      <c r="Z54">
        <f t="shared" si="25"/>
        <v>31948800</v>
      </c>
      <c r="AA54" t="str">
        <f t="shared" si="26"/>
        <v/>
      </c>
      <c r="AB54">
        <f t="shared" si="27"/>
        <v>31948800</v>
      </c>
      <c r="AC54" t="str">
        <f t="shared" si="28"/>
        <v/>
      </c>
      <c r="AD54" t="str">
        <f t="shared" si="29"/>
        <v/>
      </c>
    </row>
    <row r="55" spans="1:30" ht="14" customHeight="1">
      <c r="A55"/>
      <c r="B55"/>
      <c r="C55"/>
      <c r="D55"/>
      <c r="E55"/>
      <c r="F55"/>
      <c r="G55"/>
      <c r="H55"/>
      <c r="J55" t="s">
        <v>145</v>
      </c>
      <c r="K55" t="s">
        <v>99</v>
      </c>
      <c r="L55">
        <v>61726720</v>
      </c>
      <c r="M55" t="s">
        <v>146</v>
      </c>
      <c r="N55" t="s">
        <v>147</v>
      </c>
      <c r="O55" t="s">
        <v>148</v>
      </c>
      <c r="P55" t="str">
        <f>IF(ISNUMBER(SEARCH("_2x", J55)), "2x", IF(ISNUMBER(SEARCH("_5x", J55)), "5x", IF(ISNUMBER(SEARCH("_10x", J55)), "10x", "1x")))</f>
        <v>2x</v>
      </c>
      <c r="U55">
        <v>1</v>
      </c>
      <c r="X55" t="str">
        <f t="shared" si="23"/>
        <v/>
      </c>
      <c r="Y55" t="str">
        <f t="shared" si="24"/>
        <v/>
      </c>
      <c r="Z55" t="str">
        <f t="shared" si="25"/>
        <v/>
      </c>
      <c r="AA55" t="str">
        <f t="shared" si="26"/>
        <v/>
      </c>
      <c r="AB55">
        <f t="shared" si="27"/>
        <v>61726720</v>
      </c>
      <c r="AC55" t="str">
        <f t="shared" si="28"/>
        <v/>
      </c>
      <c r="AD55" t="str">
        <f t="shared" si="29"/>
        <v/>
      </c>
    </row>
    <row r="56" spans="1:30" ht="14" customHeight="1">
      <c r="A56"/>
      <c r="B56"/>
      <c r="C56"/>
      <c r="D56"/>
      <c r="E56"/>
      <c r="F56"/>
      <c r="G56"/>
      <c r="H56"/>
      <c r="J56" t="s">
        <v>145</v>
      </c>
      <c r="K56" t="s">
        <v>103</v>
      </c>
      <c r="L56">
        <v>125034496</v>
      </c>
      <c r="M56" t="s">
        <v>149</v>
      </c>
      <c r="N56" t="s">
        <v>150</v>
      </c>
      <c r="O56" t="s">
        <v>148</v>
      </c>
      <c r="P56" t="str">
        <f>IF(ISNUMBER(SEARCH("_2x", J56)), "2x", IF(ISNUMBER(SEARCH("_5x", J56)), "5x", IF(ISNUMBER(SEARCH("_10x", J56)), "10x", "1x")))</f>
        <v>2x</v>
      </c>
      <c r="S56">
        <v>1</v>
      </c>
      <c r="U56">
        <v>1</v>
      </c>
      <c r="X56" t="str">
        <f t="shared" si="23"/>
        <v/>
      </c>
      <c r="Y56" t="str">
        <f t="shared" si="24"/>
        <v/>
      </c>
      <c r="Z56">
        <f t="shared" si="25"/>
        <v>125034496</v>
      </c>
      <c r="AA56" t="str">
        <f t="shared" si="26"/>
        <v/>
      </c>
      <c r="AB56">
        <f t="shared" si="27"/>
        <v>125034496</v>
      </c>
      <c r="AC56" t="str">
        <f t="shared" si="28"/>
        <v/>
      </c>
      <c r="AD56" t="str">
        <f t="shared" si="29"/>
        <v/>
      </c>
    </row>
    <row r="57" spans="1:30" ht="14" customHeight="1">
      <c r="A57"/>
      <c r="B57"/>
      <c r="C57"/>
      <c r="D57"/>
      <c r="E57"/>
      <c r="F57"/>
      <c r="G57"/>
      <c r="H57"/>
      <c r="J57" t="s">
        <v>145</v>
      </c>
      <c r="K57" t="s">
        <v>105</v>
      </c>
      <c r="L57">
        <v>49152</v>
      </c>
      <c r="M57" t="s">
        <v>125</v>
      </c>
      <c r="N57" t="s">
        <v>110</v>
      </c>
      <c r="O57" t="s">
        <v>107</v>
      </c>
      <c r="P57" t="str">
        <f>IF(ISNUMBER(SEARCH("_2x", J57)), "2x", IF(ISNUMBER(SEARCH("_5x", J57)), "5x", IF(ISNUMBER(SEARCH("_10x", J57)), "10x", "1x")))</f>
        <v>2x</v>
      </c>
      <c r="R57">
        <v>1</v>
      </c>
      <c r="S57">
        <v>1</v>
      </c>
      <c r="U57">
        <v>1</v>
      </c>
      <c r="X57" t="str">
        <f t="shared" si="23"/>
        <v/>
      </c>
      <c r="Y57">
        <f t="shared" si="24"/>
        <v>49152</v>
      </c>
      <c r="Z57">
        <f t="shared" si="25"/>
        <v>49152</v>
      </c>
      <c r="AA57" t="str">
        <f t="shared" si="26"/>
        <v/>
      </c>
      <c r="AB57">
        <f t="shared" si="27"/>
        <v>49152</v>
      </c>
      <c r="AC57" t="str">
        <f t="shared" si="28"/>
        <v/>
      </c>
      <c r="AD57" t="str">
        <f t="shared" si="29"/>
        <v/>
      </c>
    </row>
    <row r="58" spans="1:30" ht="14" customHeight="1">
      <c r="A58"/>
      <c r="B58"/>
      <c r="C58"/>
      <c r="D58"/>
      <c r="E58"/>
      <c r="F58"/>
      <c r="G58"/>
      <c r="H58"/>
      <c r="J58" t="s">
        <v>145</v>
      </c>
      <c r="K58" t="s">
        <v>108</v>
      </c>
      <c r="L58">
        <v>106496</v>
      </c>
      <c r="M58" t="s">
        <v>151</v>
      </c>
      <c r="N58" t="s">
        <v>110</v>
      </c>
      <c r="O58" t="s">
        <v>111</v>
      </c>
      <c r="P58" t="str">
        <f>IF(ISNUMBER(SEARCH("_2x", J58)), "2x", IF(ISNUMBER(SEARCH("_5x", J58)), "5x", IF(ISNUMBER(SEARCH("_10x", J58)), "10x", "1x")))</f>
        <v>2x</v>
      </c>
      <c r="R58">
        <v>1</v>
      </c>
      <c r="S58">
        <v>1</v>
      </c>
      <c r="U58">
        <v>1</v>
      </c>
      <c r="X58" t="str">
        <f t="shared" si="23"/>
        <v/>
      </c>
      <c r="Y58">
        <f t="shared" si="24"/>
        <v>106496</v>
      </c>
      <c r="Z58">
        <f t="shared" si="25"/>
        <v>106496</v>
      </c>
      <c r="AA58" t="str">
        <f t="shared" si="26"/>
        <v/>
      </c>
      <c r="AB58">
        <f t="shared" si="27"/>
        <v>106496</v>
      </c>
      <c r="AC58" t="str">
        <f t="shared" si="28"/>
        <v/>
      </c>
      <c r="AD58" t="str">
        <f t="shared" si="29"/>
        <v/>
      </c>
    </row>
    <row r="59" spans="1:30" ht="14" customHeight="1">
      <c r="A59"/>
      <c r="B59"/>
      <c r="C59"/>
      <c r="D59"/>
      <c r="E59"/>
      <c r="F59"/>
      <c r="G59"/>
      <c r="H59"/>
      <c r="J59" t="s">
        <v>145</v>
      </c>
      <c r="K59" t="s">
        <v>112</v>
      </c>
      <c r="L59">
        <v>768819200</v>
      </c>
      <c r="M59" t="s">
        <v>152</v>
      </c>
      <c r="N59" t="s">
        <v>153</v>
      </c>
      <c r="O59" t="s">
        <v>154</v>
      </c>
      <c r="P59" t="str">
        <f>IF(ISNUMBER(SEARCH("_2x", J59)), "2x", IF(ISNUMBER(SEARCH("_5x", J59)), "5x", IF(ISNUMBER(SEARCH("_10x", J59)), "10x", "1x")))</f>
        <v>2x</v>
      </c>
      <c r="R59">
        <v>1</v>
      </c>
      <c r="S59">
        <v>1</v>
      </c>
      <c r="U59">
        <v>1</v>
      </c>
      <c r="X59" t="str">
        <f t="shared" si="23"/>
        <v/>
      </c>
      <c r="Y59">
        <f t="shared" si="24"/>
        <v>768819200</v>
      </c>
      <c r="Z59">
        <f t="shared" si="25"/>
        <v>768819200</v>
      </c>
      <c r="AA59" t="str">
        <f t="shared" si="26"/>
        <v/>
      </c>
      <c r="AB59">
        <f t="shared" si="27"/>
        <v>768819200</v>
      </c>
      <c r="AC59" t="str">
        <f t="shared" si="28"/>
        <v/>
      </c>
      <c r="AD59" t="str">
        <f t="shared" si="29"/>
        <v/>
      </c>
    </row>
    <row r="60" spans="1:30" ht="14" customHeight="1">
      <c r="A60"/>
      <c r="B60"/>
      <c r="C60"/>
      <c r="D60"/>
      <c r="E60"/>
      <c r="F60"/>
      <c r="G60"/>
      <c r="H60"/>
      <c r="J60" t="s">
        <v>145</v>
      </c>
      <c r="K60" t="s">
        <v>116</v>
      </c>
      <c r="L60">
        <v>45801472</v>
      </c>
      <c r="M60" t="s">
        <v>155</v>
      </c>
      <c r="N60" t="s">
        <v>156</v>
      </c>
      <c r="O60" t="s">
        <v>157</v>
      </c>
      <c r="P60" t="str">
        <f>IF(ISNUMBER(SEARCH("_2x", J60)), "2x", IF(ISNUMBER(SEARCH("_5x", J60)), "5x", IF(ISNUMBER(SEARCH("_10x", J60)), "10x", "1x")))</f>
        <v>2x</v>
      </c>
      <c r="R60">
        <v>1</v>
      </c>
      <c r="S60">
        <v>1</v>
      </c>
      <c r="U60">
        <v>1</v>
      </c>
      <c r="X60" t="str">
        <f t="shared" si="23"/>
        <v/>
      </c>
      <c r="Y60">
        <f t="shared" si="24"/>
        <v>45801472</v>
      </c>
      <c r="Z60">
        <f t="shared" si="25"/>
        <v>45801472</v>
      </c>
      <c r="AA60" t="str">
        <f t="shared" si="26"/>
        <v/>
      </c>
      <c r="AB60">
        <f t="shared" si="27"/>
        <v>45801472</v>
      </c>
      <c r="AC60" t="str">
        <f t="shared" si="28"/>
        <v/>
      </c>
      <c r="AD60" t="str">
        <f t="shared" si="29"/>
        <v/>
      </c>
    </row>
    <row r="61" spans="1:30" ht="14" customHeight="1">
      <c r="A61"/>
      <c r="B61"/>
      <c r="C61"/>
      <c r="D61"/>
      <c r="E61"/>
      <c r="F61"/>
      <c r="G61"/>
      <c r="H61"/>
      <c r="J61" t="s">
        <v>145</v>
      </c>
      <c r="K61" t="s">
        <v>120</v>
      </c>
      <c r="L61">
        <v>481386496</v>
      </c>
      <c r="M61" t="s">
        <v>158</v>
      </c>
      <c r="N61" t="s">
        <v>159</v>
      </c>
      <c r="O61" t="s">
        <v>160</v>
      </c>
      <c r="P61" t="str">
        <f>IF(ISNUMBER(SEARCH("_2x", J61)), "2x", IF(ISNUMBER(SEARCH("_5x", J61)), "5x", IF(ISNUMBER(SEARCH("_10x", J61)), "10x", "1x")))</f>
        <v>2x</v>
      </c>
      <c r="R61">
        <v>1</v>
      </c>
      <c r="S61">
        <v>1</v>
      </c>
      <c r="U61">
        <v>1</v>
      </c>
      <c r="X61" t="str">
        <f t="shared" si="23"/>
        <v/>
      </c>
      <c r="Y61">
        <f t="shared" si="24"/>
        <v>481386496</v>
      </c>
      <c r="Z61">
        <f t="shared" si="25"/>
        <v>481386496</v>
      </c>
      <c r="AA61" t="str">
        <f t="shared" si="26"/>
        <v/>
      </c>
      <c r="AB61">
        <f t="shared" si="27"/>
        <v>481386496</v>
      </c>
      <c r="AC61" t="str">
        <f t="shared" si="28"/>
        <v/>
      </c>
      <c r="AD61" t="str">
        <f t="shared" si="29"/>
        <v/>
      </c>
    </row>
    <row r="62" spans="1:30" ht="14" customHeight="1">
      <c r="A62"/>
      <c r="B62"/>
      <c r="C62"/>
      <c r="D62"/>
      <c r="E62"/>
      <c r="F62"/>
      <c r="G62"/>
      <c r="H62"/>
      <c r="J62" t="s">
        <v>145</v>
      </c>
      <c r="K62" t="s">
        <v>73</v>
      </c>
      <c r="L62">
        <v>36257792</v>
      </c>
      <c r="M62" t="s">
        <v>139</v>
      </c>
      <c r="N62" t="s">
        <v>140</v>
      </c>
      <c r="O62" t="s">
        <v>141</v>
      </c>
      <c r="P62" t="str">
        <f>IF(ISNUMBER(SEARCH("_2x", J62)), "2x", IF(ISNUMBER(SEARCH("_5x", J62)), "5x", IF(ISNUMBER(SEARCH("_10x", J62)), "10x", "1x")))</f>
        <v>2x</v>
      </c>
      <c r="S62">
        <v>1</v>
      </c>
      <c r="U62">
        <v>1</v>
      </c>
      <c r="X62" t="str">
        <f t="shared" si="23"/>
        <v/>
      </c>
      <c r="Y62" t="str">
        <f t="shared" si="24"/>
        <v/>
      </c>
      <c r="Z62">
        <f t="shared" si="25"/>
        <v>36257792</v>
      </c>
      <c r="AA62" t="str">
        <f t="shared" si="26"/>
        <v/>
      </c>
      <c r="AB62">
        <f t="shared" si="27"/>
        <v>36257792</v>
      </c>
      <c r="AC62" t="str">
        <f t="shared" si="28"/>
        <v/>
      </c>
      <c r="AD62" t="str">
        <f t="shared" si="29"/>
        <v/>
      </c>
    </row>
    <row r="63" spans="1:30" ht="14" customHeight="1">
      <c r="A63"/>
      <c r="B63"/>
      <c r="C63"/>
      <c r="D63"/>
      <c r="E63"/>
      <c r="F63"/>
      <c r="G63"/>
      <c r="H63"/>
      <c r="J63" t="s">
        <v>145</v>
      </c>
      <c r="K63" t="s">
        <v>124</v>
      </c>
      <c r="L63">
        <v>40960</v>
      </c>
      <c r="M63" t="s">
        <v>161</v>
      </c>
      <c r="N63" t="s">
        <v>111</v>
      </c>
      <c r="O63" t="s">
        <v>111</v>
      </c>
      <c r="P63" t="str">
        <f>IF(ISNUMBER(SEARCH("_2x", J63)), "2x", IF(ISNUMBER(SEARCH("_5x", J63)), "5x", IF(ISNUMBER(SEARCH("_10x", J63)), "10x", "1x")))</f>
        <v>2x</v>
      </c>
      <c r="S63">
        <v>1</v>
      </c>
      <c r="U63">
        <v>1</v>
      </c>
      <c r="X63" t="str">
        <f t="shared" si="23"/>
        <v/>
      </c>
      <c r="Y63" t="str">
        <f t="shared" si="24"/>
        <v/>
      </c>
      <c r="Z63">
        <f t="shared" si="25"/>
        <v>40960</v>
      </c>
      <c r="AA63" t="str">
        <f t="shared" si="26"/>
        <v/>
      </c>
      <c r="AB63">
        <f t="shared" si="27"/>
        <v>40960</v>
      </c>
      <c r="AC63" t="str">
        <f t="shared" si="28"/>
        <v/>
      </c>
      <c r="AD63" t="str">
        <f t="shared" si="29"/>
        <v/>
      </c>
    </row>
    <row r="64" spans="1:30" ht="14" customHeight="1">
      <c r="A64"/>
      <c r="B64"/>
      <c r="C64"/>
      <c r="D64"/>
      <c r="E64"/>
      <c r="F64"/>
      <c r="G64"/>
      <c r="H64"/>
      <c r="J64" t="s">
        <v>145</v>
      </c>
      <c r="K64" t="s">
        <v>126</v>
      </c>
      <c r="L64">
        <v>28549120</v>
      </c>
      <c r="M64" t="s">
        <v>162</v>
      </c>
      <c r="N64" t="s">
        <v>163</v>
      </c>
      <c r="O64" t="s">
        <v>164</v>
      </c>
      <c r="P64" t="str">
        <f>IF(ISNUMBER(SEARCH("_2x", J64)), "2x", IF(ISNUMBER(SEARCH("_5x", J64)), "5x", IF(ISNUMBER(SEARCH("_10x", J64)), "10x", "1x")))</f>
        <v>2x</v>
      </c>
      <c r="S64">
        <v>1</v>
      </c>
      <c r="X64" t="str">
        <f t="shared" si="23"/>
        <v/>
      </c>
      <c r="Y64" t="str">
        <f t="shared" si="24"/>
        <v/>
      </c>
      <c r="Z64">
        <f t="shared" si="25"/>
        <v>28549120</v>
      </c>
      <c r="AA64" t="str">
        <f t="shared" si="26"/>
        <v/>
      </c>
      <c r="AB64" t="str">
        <f t="shared" si="27"/>
        <v/>
      </c>
      <c r="AC64" t="str">
        <f t="shared" si="28"/>
        <v/>
      </c>
      <c r="AD64" t="str">
        <f t="shared" si="29"/>
        <v/>
      </c>
    </row>
    <row r="65" spans="10:30" customFormat="1" ht="14" customHeight="1">
      <c r="J65" t="s">
        <v>145</v>
      </c>
      <c r="K65" t="s">
        <v>130</v>
      </c>
      <c r="L65">
        <v>745472</v>
      </c>
      <c r="M65" t="s">
        <v>131</v>
      </c>
      <c r="N65" t="s">
        <v>132</v>
      </c>
      <c r="O65" t="s">
        <v>111</v>
      </c>
      <c r="P65" t="str">
        <f>IF(ISNUMBER(SEARCH("_2x", J65)), "2x", IF(ISNUMBER(SEARCH("_5x", J65)), "5x", IF(ISNUMBER(SEARCH("_10x", J65)), "10x", "1x")))</f>
        <v>2x</v>
      </c>
      <c r="U65">
        <v>1</v>
      </c>
      <c r="X65" t="str">
        <f t="shared" si="23"/>
        <v/>
      </c>
      <c r="Y65" t="str">
        <f t="shared" si="24"/>
        <v/>
      </c>
      <c r="Z65" t="str">
        <f t="shared" si="25"/>
        <v/>
      </c>
      <c r="AA65" t="str">
        <f t="shared" si="26"/>
        <v/>
      </c>
      <c r="AB65">
        <f t="shared" si="27"/>
        <v>745472</v>
      </c>
      <c r="AC65" t="str">
        <f t="shared" si="28"/>
        <v/>
      </c>
      <c r="AD65" t="str">
        <f t="shared" si="29"/>
        <v/>
      </c>
    </row>
    <row r="66" spans="10:30" customFormat="1" ht="14" customHeight="1">
      <c r="J66" t="s">
        <v>145</v>
      </c>
      <c r="K66" t="s">
        <v>76</v>
      </c>
      <c r="L66">
        <v>144171008</v>
      </c>
      <c r="M66" t="s">
        <v>142</v>
      </c>
      <c r="N66" t="s">
        <v>143</v>
      </c>
      <c r="O66" t="s">
        <v>144</v>
      </c>
      <c r="P66" t="str">
        <f>IF(ISNUMBER(SEARCH("_2x", J66)), "2x", IF(ISNUMBER(SEARCH("_5x", J66)), "5x", IF(ISNUMBER(SEARCH("_10x", J66)), "10x", "1x")))</f>
        <v>2x</v>
      </c>
      <c r="R66">
        <v>1</v>
      </c>
      <c r="S66">
        <v>1</v>
      </c>
      <c r="U66">
        <v>1</v>
      </c>
      <c r="X66" t="str">
        <f t="shared" si="23"/>
        <v/>
      </c>
      <c r="Y66">
        <f t="shared" si="24"/>
        <v>144171008</v>
      </c>
      <c r="Z66">
        <f t="shared" si="25"/>
        <v>144171008</v>
      </c>
      <c r="AA66" t="str">
        <f t="shared" si="26"/>
        <v/>
      </c>
      <c r="AB66">
        <f t="shared" si="27"/>
        <v>144171008</v>
      </c>
      <c r="AC66" t="str">
        <f t="shared" si="28"/>
        <v/>
      </c>
      <c r="AD66" t="str">
        <f t="shared" si="29"/>
        <v/>
      </c>
    </row>
    <row r="67" spans="10:30" customFormat="1" ht="14" customHeight="1">
      <c r="J67" t="s">
        <v>145</v>
      </c>
      <c r="K67" t="s">
        <v>133</v>
      </c>
      <c r="L67">
        <v>16384</v>
      </c>
      <c r="M67" t="s">
        <v>111</v>
      </c>
      <c r="N67" t="s">
        <v>134</v>
      </c>
      <c r="O67" t="s">
        <v>110</v>
      </c>
      <c r="P67" t="str">
        <f>IF(ISNUMBER(SEARCH("_2x", J67)), "2x", IF(ISNUMBER(SEARCH("_5x", J67)), "5x", IF(ISNUMBER(SEARCH("_10x", J67)), "10x", "1x")))</f>
        <v>2x</v>
      </c>
      <c r="R67">
        <v>1</v>
      </c>
      <c r="S67">
        <v>1</v>
      </c>
      <c r="U67">
        <v>1</v>
      </c>
      <c r="X67" t="str">
        <f t="shared" si="23"/>
        <v/>
      </c>
      <c r="Y67">
        <f t="shared" si="24"/>
        <v>16384</v>
      </c>
      <c r="Z67">
        <f t="shared" si="25"/>
        <v>16384</v>
      </c>
      <c r="AA67" t="str">
        <f t="shared" si="26"/>
        <v/>
      </c>
      <c r="AB67">
        <f t="shared" si="27"/>
        <v>16384</v>
      </c>
      <c r="AC67" t="str">
        <f t="shared" si="28"/>
        <v/>
      </c>
      <c r="AD67" t="str">
        <f t="shared" si="29"/>
        <v/>
      </c>
    </row>
    <row r="68" spans="10:30" customFormat="1" ht="14" customHeight="1">
      <c r="J68" t="s">
        <v>202</v>
      </c>
      <c r="K68" t="s">
        <v>91</v>
      </c>
      <c r="L68">
        <v>70385664</v>
      </c>
      <c r="M68" t="s">
        <v>92</v>
      </c>
      <c r="N68" t="s">
        <v>93</v>
      </c>
      <c r="O68" t="s">
        <v>94</v>
      </c>
      <c r="P68" t="str">
        <f>IF(ISNUMBER(SEARCH("_2x", J68)), "2x", IF(ISNUMBER(SEARCH("_5x", J68)), "5x", IF(ISNUMBER(SEARCH("_10x", J68)), "10x", "1x")))</f>
        <v>2x</v>
      </c>
      <c r="T68">
        <v>1</v>
      </c>
      <c r="V68">
        <v>1</v>
      </c>
      <c r="X68" t="str">
        <f t="shared" si="23"/>
        <v/>
      </c>
      <c r="Y68" t="str">
        <f t="shared" si="24"/>
        <v/>
      </c>
      <c r="Z68" t="str">
        <f t="shared" si="25"/>
        <v/>
      </c>
      <c r="AA68">
        <f t="shared" si="26"/>
        <v>70385664</v>
      </c>
      <c r="AB68" t="str">
        <f t="shared" si="27"/>
        <v/>
      </c>
      <c r="AC68">
        <f t="shared" si="28"/>
        <v>70385664</v>
      </c>
      <c r="AD68" t="str">
        <f t="shared" si="29"/>
        <v/>
      </c>
    </row>
    <row r="69" spans="10:30" customFormat="1" ht="14" customHeight="1">
      <c r="J69" t="s">
        <v>202</v>
      </c>
      <c r="K69" t="s">
        <v>95</v>
      </c>
      <c r="L69">
        <v>31948800</v>
      </c>
      <c r="M69" t="s">
        <v>96</v>
      </c>
      <c r="N69" t="s">
        <v>97</v>
      </c>
      <c r="O69" t="s">
        <v>98</v>
      </c>
      <c r="P69" t="str">
        <f>IF(ISNUMBER(SEARCH("_2x", J69)), "2x", IF(ISNUMBER(SEARCH("_5x", J69)), "5x", IF(ISNUMBER(SEARCH("_10x", J69)), "10x", "1x")))</f>
        <v>2x</v>
      </c>
      <c r="T69">
        <v>1</v>
      </c>
      <c r="V69">
        <v>1</v>
      </c>
      <c r="X69" t="str">
        <f t="shared" si="23"/>
        <v/>
      </c>
      <c r="Y69" t="str">
        <f t="shared" si="24"/>
        <v/>
      </c>
      <c r="Z69" t="str">
        <f t="shared" si="25"/>
        <v/>
      </c>
      <c r="AA69">
        <f t="shared" si="26"/>
        <v>31948800</v>
      </c>
      <c r="AB69" t="str">
        <f t="shared" si="27"/>
        <v/>
      </c>
      <c r="AC69">
        <f t="shared" si="28"/>
        <v>31948800</v>
      </c>
      <c r="AD69" t="str">
        <f t="shared" si="29"/>
        <v/>
      </c>
    </row>
    <row r="70" spans="10:30" customFormat="1" ht="14" customHeight="1">
      <c r="J70" t="s">
        <v>202</v>
      </c>
      <c r="K70" t="s">
        <v>99</v>
      </c>
      <c r="L70">
        <v>61726720</v>
      </c>
      <c r="M70" t="s">
        <v>146</v>
      </c>
      <c r="N70" t="s">
        <v>147</v>
      </c>
      <c r="O70" t="s">
        <v>148</v>
      </c>
      <c r="P70" t="str">
        <f>IF(ISNUMBER(SEARCH("_2x", J70)), "2x", IF(ISNUMBER(SEARCH("_5x", J70)), "5x", IF(ISNUMBER(SEARCH("_10x", J70)), "10x", "1x")))</f>
        <v>2x</v>
      </c>
      <c r="V70">
        <v>1</v>
      </c>
      <c r="X70" t="str">
        <f t="shared" si="23"/>
        <v/>
      </c>
      <c r="Y70" t="str">
        <f t="shared" si="24"/>
        <v/>
      </c>
      <c r="Z70" t="str">
        <f t="shared" si="25"/>
        <v/>
      </c>
      <c r="AA70" t="str">
        <f t="shared" si="26"/>
        <v/>
      </c>
      <c r="AB70" t="str">
        <f t="shared" si="27"/>
        <v/>
      </c>
      <c r="AC70">
        <f t="shared" si="28"/>
        <v>61726720</v>
      </c>
      <c r="AD70" t="str">
        <f t="shared" si="29"/>
        <v/>
      </c>
    </row>
    <row r="71" spans="10:30" customFormat="1" ht="14" customHeight="1">
      <c r="J71" t="s">
        <v>202</v>
      </c>
      <c r="K71" t="s">
        <v>103</v>
      </c>
      <c r="L71">
        <v>125034496</v>
      </c>
      <c r="M71" t="s">
        <v>149</v>
      </c>
      <c r="N71" t="s">
        <v>150</v>
      </c>
      <c r="O71" t="s">
        <v>148</v>
      </c>
      <c r="P71" t="str">
        <f>IF(ISNUMBER(SEARCH("_2x", J71)), "2x", IF(ISNUMBER(SEARCH("_5x", J71)), "5x", IF(ISNUMBER(SEARCH("_10x", J71)), "10x", "1x")))</f>
        <v>2x</v>
      </c>
      <c r="T71">
        <v>1</v>
      </c>
      <c r="V71">
        <v>1</v>
      </c>
      <c r="X71" t="str">
        <f t="shared" si="23"/>
        <v/>
      </c>
      <c r="Y71" t="str">
        <f t="shared" si="24"/>
        <v/>
      </c>
      <c r="Z71" t="str">
        <f t="shared" si="25"/>
        <v/>
      </c>
      <c r="AA71">
        <f t="shared" si="26"/>
        <v>125034496</v>
      </c>
      <c r="AB71" t="str">
        <f t="shared" si="27"/>
        <v/>
      </c>
      <c r="AC71">
        <f t="shared" si="28"/>
        <v>125034496</v>
      </c>
      <c r="AD71" t="str">
        <f t="shared" si="29"/>
        <v/>
      </c>
    </row>
    <row r="72" spans="10:30" customFormat="1" ht="14" customHeight="1">
      <c r="J72" t="s">
        <v>202</v>
      </c>
      <c r="K72" t="s">
        <v>105</v>
      </c>
      <c r="L72">
        <v>14442496</v>
      </c>
      <c r="M72" t="s">
        <v>176</v>
      </c>
      <c r="N72" t="s">
        <v>104</v>
      </c>
      <c r="O72" t="s">
        <v>203</v>
      </c>
      <c r="P72" t="str">
        <f>IF(ISNUMBER(SEARCH("_2x", J72)), "2x", IF(ISNUMBER(SEARCH("_5x", J72)), "5x", IF(ISNUMBER(SEARCH("_10x", J72)), "10x", "1x")))</f>
        <v>2x</v>
      </c>
      <c r="T72">
        <v>1</v>
      </c>
      <c r="V72">
        <v>1</v>
      </c>
      <c r="X72" t="str">
        <f t="shared" si="23"/>
        <v/>
      </c>
      <c r="Y72" t="str">
        <f t="shared" si="24"/>
        <v/>
      </c>
      <c r="Z72" t="str">
        <f t="shared" si="25"/>
        <v/>
      </c>
      <c r="AA72">
        <f t="shared" si="26"/>
        <v>14442496</v>
      </c>
      <c r="AB72" t="str">
        <f t="shared" si="27"/>
        <v/>
      </c>
      <c r="AC72">
        <f t="shared" si="28"/>
        <v>14442496</v>
      </c>
      <c r="AD72" t="str">
        <f t="shared" si="29"/>
        <v/>
      </c>
    </row>
    <row r="73" spans="10:30" customFormat="1" ht="14" customHeight="1">
      <c r="J73" t="s">
        <v>202</v>
      </c>
      <c r="K73" t="s">
        <v>108</v>
      </c>
      <c r="L73">
        <v>210460672</v>
      </c>
      <c r="M73" t="s">
        <v>204</v>
      </c>
      <c r="N73" t="s">
        <v>205</v>
      </c>
      <c r="O73" t="s">
        <v>78</v>
      </c>
      <c r="P73" t="str">
        <f>IF(ISNUMBER(SEARCH("_2x", J73)), "2x", IF(ISNUMBER(SEARCH("_5x", J73)), "5x", IF(ISNUMBER(SEARCH("_10x", J73)), "10x", "1x")))</f>
        <v>2x</v>
      </c>
      <c r="T73">
        <v>1</v>
      </c>
      <c r="V73">
        <v>1</v>
      </c>
      <c r="X73" t="str">
        <f t="shared" si="23"/>
        <v/>
      </c>
      <c r="Y73" t="str">
        <f t="shared" si="24"/>
        <v/>
      </c>
      <c r="Z73" t="str">
        <f t="shared" si="25"/>
        <v/>
      </c>
      <c r="AA73">
        <f t="shared" si="26"/>
        <v>210460672</v>
      </c>
      <c r="AB73" t="str">
        <f t="shared" si="27"/>
        <v/>
      </c>
      <c r="AC73">
        <f t="shared" si="28"/>
        <v>210460672</v>
      </c>
      <c r="AD73" t="str">
        <f t="shared" si="29"/>
        <v/>
      </c>
    </row>
    <row r="74" spans="10:30" customFormat="1" ht="14" customHeight="1">
      <c r="J74" t="s">
        <v>202</v>
      </c>
      <c r="K74" t="s">
        <v>112</v>
      </c>
      <c r="L74">
        <v>764952576</v>
      </c>
      <c r="M74" t="s">
        <v>206</v>
      </c>
      <c r="N74" t="s">
        <v>153</v>
      </c>
      <c r="O74" t="s">
        <v>207</v>
      </c>
      <c r="P74" t="str">
        <f>IF(ISNUMBER(SEARCH("_2x", J74)), "2x", IF(ISNUMBER(SEARCH("_5x", J74)), "5x", IF(ISNUMBER(SEARCH("_10x", J74)), "10x", "1x")))</f>
        <v>2x</v>
      </c>
      <c r="T74">
        <v>1</v>
      </c>
      <c r="V74">
        <v>1</v>
      </c>
      <c r="X74" t="str">
        <f t="shared" si="23"/>
        <v/>
      </c>
      <c r="Y74" t="str">
        <f t="shared" si="24"/>
        <v/>
      </c>
      <c r="Z74" t="str">
        <f t="shared" si="25"/>
        <v/>
      </c>
      <c r="AA74">
        <f t="shared" si="26"/>
        <v>764952576</v>
      </c>
      <c r="AB74" t="str">
        <f t="shared" si="27"/>
        <v/>
      </c>
      <c r="AC74">
        <f t="shared" si="28"/>
        <v>764952576</v>
      </c>
      <c r="AD74" t="str">
        <f t="shared" si="29"/>
        <v/>
      </c>
    </row>
    <row r="75" spans="10:30" customFormat="1" ht="14" customHeight="1">
      <c r="J75" t="s">
        <v>202</v>
      </c>
      <c r="K75" t="s">
        <v>116</v>
      </c>
      <c r="L75">
        <v>17776640</v>
      </c>
      <c r="M75" t="s">
        <v>74</v>
      </c>
      <c r="N75" t="s">
        <v>123</v>
      </c>
      <c r="O75" t="s">
        <v>208</v>
      </c>
      <c r="P75" t="str">
        <f>IF(ISNUMBER(SEARCH("_2x", J75)), "2x", IF(ISNUMBER(SEARCH("_5x", J75)), "5x", IF(ISNUMBER(SEARCH("_10x", J75)), "10x", "1x")))</f>
        <v>2x</v>
      </c>
      <c r="T75">
        <v>1</v>
      </c>
      <c r="V75">
        <v>1</v>
      </c>
      <c r="X75" t="str">
        <f t="shared" si="23"/>
        <v/>
      </c>
      <c r="Y75" t="str">
        <f t="shared" si="24"/>
        <v/>
      </c>
      <c r="Z75" t="str">
        <f t="shared" si="25"/>
        <v/>
      </c>
      <c r="AA75">
        <f t="shared" si="26"/>
        <v>17776640</v>
      </c>
      <c r="AB75" t="str">
        <f t="shared" si="27"/>
        <v/>
      </c>
      <c r="AC75">
        <f t="shared" si="28"/>
        <v>17776640</v>
      </c>
      <c r="AD75" t="str">
        <f t="shared" si="29"/>
        <v/>
      </c>
    </row>
    <row r="76" spans="10:30" customFormat="1" ht="14" customHeight="1">
      <c r="J76" t="s">
        <v>202</v>
      </c>
      <c r="K76" t="s">
        <v>120</v>
      </c>
      <c r="L76">
        <v>271007744</v>
      </c>
      <c r="M76" t="s">
        <v>209</v>
      </c>
      <c r="N76" t="s">
        <v>210</v>
      </c>
      <c r="O76" t="s">
        <v>211</v>
      </c>
      <c r="P76" t="str">
        <f>IF(ISNUMBER(SEARCH("_2x", J76)), "2x", IF(ISNUMBER(SEARCH("_5x", J76)), "5x", IF(ISNUMBER(SEARCH("_10x", J76)), "10x", "1x")))</f>
        <v>2x</v>
      </c>
      <c r="T76">
        <v>1</v>
      </c>
      <c r="V76">
        <v>1</v>
      </c>
      <c r="X76" t="str">
        <f t="shared" si="23"/>
        <v/>
      </c>
      <c r="Y76" t="str">
        <f t="shared" si="24"/>
        <v/>
      </c>
      <c r="Z76" t="str">
        <f t="shared" si="25"/>
        <v/>
      </c>
      <c r="AA76">
        <f t="shared" si="26"/>
        <v>271007744</v>
      </c>
      <c r="AB76" t="str">
        <f t="shared" si="27"/>
        <v/>
      </c>
      <c r="AC76">
        <f t="shared" si="28"/>
        <v>271007744</v>
      </c>
      <c r="AD76" t="str">
        <f t="shared" si="29"/>
        <v/>
      </c>
    </row>
    <row r="77" spans="10:30" customFormat="1" ht="14" customHeight="1">
      <c r="J77" t="s">
        <v>202</v>
      </c>
      <c r="K77" t="s">
        <v>73</v>
      </c>
      <c r="L77">
        <v>647168</v>
      </c>
      <c r="M77" t="s">
        <v>212</v>
      </c>
      <c r="N77" t="s">
        <v>213</v>
      </c>
      <c r="O77" t="s">
        <v>214</v>
      </c>
      <c r="P77" t="str">
        <f>IF(ISNUMBER(SEARCH("_2x", J77)), "2x", IF(ISNUMBER(SEARCH("_5x", J77)), "5x", IF(ISNUMBER(SEARCH("_10x", J77)), "10x", "1x")))</f>
        <v>2x</v>
      </c>
      <c r="T77">
        <v>1</v>
      </c>
      <c r="V77">
        <v>1</v>
      </c>
      <c r="X77" t="str">
        <f t="shared" si="23"/>
        <v/>
      </c>
      <c r="Y77" t="str">
        <f t="shared" si="24"/>
        <v/>
      </c>
      <c r="Z77" t="str">
        <f t="shared" si="25"/>
        <v/>
      </c>
      <c r="AA77">
        <f t="shared" si="26"/>
        <v>647168</v>
      </c>
      <c r="AB77" t="str">
        <f t="shared" si="27"/>
        <v/>
      </c>
      <c r="AC77">
        <f t="shared" si="28"/>
        <v>647168</v>
      </c>
      <c r="AD77" t="str">
        <f t="shared" si="29"/>
        <v/>
      </c>
    </row>
    <row r="78" spans="10:30" customFormat="1" ht="14" customHeight="1">
      <c r="J78" t="s">
        <v>202</v>
      </c>
      <c r="K78" t="s">
        <v>124</v>
      </c>
      <c r="L78">
        <v>31113216</v>
      </c>
      <c r="M78" t="s">
        <v>96</v>
      </c>
      <c r="N78" t="s">
        <v>97</v>
      </c>
      <c r="O78" t="s">
        <v>203</v>
      </c>
      <c r="P78" t="str">
        <f>IF(ISNUMBER(SEARCH("_2x", J78)), "2x", IF(ISNUMBER(SEARCH("_5x", J78)), "5x", IF(ISNUMBER(SEARCH("_10x", J78)), "10x", "1x")))</f>
        <v>2x</v>
      </c>
      <c r="T78">
        <v>1</v>
      </c>
      <c r="V78">
        <v>1</v>
      </c>
      <c r="X78" t="str">
        <f t="shared" si="23"/>
        <v/>
      </c>
      <c r="Y78" t="str">
        <f t="shared" si="24"/>
        <v/>
      </c>
      <c r="Z78" t="str">
        <f t="shared" si="25"/>
        <v/>
      </c>
      <c r="AA78">
        <f t="shared" si="26"/>
        <v>31113216</v>
      </c>
      <c r="AB78" t="str">
        <f t="shared" si="27"/>
        <v/>
      </c>
      <c r="AC78">
        <f t="shared" si="28"/>
        <v>31113216</v>
      </c>
      <c r="AD78" t="str">
        <f t="shared" si="29"/>
        <v/>
      </c>
    </row>
    <row r="79" spans="10:30" customFormat="1" ht="14" customHeight="1">
      <c r="J79" t="s">
        <v>202</v>
      </c>
      <c r="K79" t="s">
        <v>126</v>
      </c>
      <c r="L79">
        <v>499712</v>
      </c>
      <c r="M79" t="s">
        <v>215</v>
      </c>
      <c r="N79" t="s">
        <v>216</v>
      </c>
      <c r="O79" t="s">
        <v>107</v>
      </c>
      <c r="P79" t="str">
        <f>IF(ISNUMBER(SEARCH("_2x", J79)), "2x", IF(ISNUMBER(SEARCH("_5x", J79)), "5x", IF(ISNUMBER(SEARCH("_10x", J79)), "10x", "1x")))</f>
        <v>2x</v>
      </c>
      <c r="X79" t="str">
        <f t="shared" si="23"/>
        <v/>
      </c>
      <c r="Y79" t="str">
        <f t="shared" si="24"/>
        <v/>
      </c>
      <c r="Z79" t="str">
        <f t="shared" si="25"/>
        <v/>
      </c>
      <c r="AA79" t="str">
        <f t="shared" si="26"/>
        <v/>
      </c>
      <c r="AB79" t="str">
        <f t="shared" si="27"/>
        <v/>
      </c>
      <c r="AC79" t="str">
        <f t="shared" si="28"/>
        <v/>
      </c>
      <c r="AD79" t="str">
        <f t="shared" si="29"/>
        <v/>
      </c>
    </row>
    <row r="80" spans="10:30" customFormat="1" ht="14" customHeight="1">
      <c r="J80" t="s">
        <v>202</v>
      </c>
      <c r="K80" t="s">
        <v>198</v>
      </c>
      <c r="L80">
        <v>25600000</v>
      </c>
      <c r="M80" t="s">
        <v>217</v>
      </c>
      <c r="N80" t="s">
        <v>217</v>
      </c>
      <c r="O80" t="s">
        <v>203</v>
      </c>
      <c r="P80" t="str">
        <f>IF(ISNUMBER(SEARCH("_2x", J80)), "2x", IF(ISNUMBER(SEARCH("_5x", J80)), "5x", IF(ISNUMBER(SEARCH("_10x", J80)), "10x", "1x")))</f>
        <v>2x</v>
      </c>
      <c r="X80" t="str">
        <f t="shared" si="23"/>
        <v/>
      </c>
      <c r="Y80" t="str">
        <f t="shared" si="24"/>
        <v/>
      </c>
      <c r="Z80" t="str">
        <f t="shared" si="25"/>
        <v/>
      </c>
      <c r="AA80" t="str">
        <f t="shared" si="26"/>
        <v/>
      </c>
      <c r="AB80" t="str">
        <f t="shared" si="27"/>
        <v/>
      </c>
      <c r="AC80" t="str">
        <f t="shared" si="28"/>
        <v/>
      </c>
      <c r="AD80" t="str">
        <f t="shared" si="29"/>
        <v/>
      </c>
    </row>
    <row r="81" spans="1:30" ht="14" customHeight="1">
      <c r="A81"/>
      <c r="B81"/>
      <c r="C81"/>
      <c r="D81"/>
      <c r="E81"/>
      <c r="F81"/>
      <c r="G81"/>
      <c r="H81"/>
      <c r="J81" t="s">
        <v>202</v>
      </c>
      <c r="K81" t="s">
        <v>130</v>
      </c>
      <c r="L81">
        <v>745472</v>
      </c>
      <c r="M81" t="s">
        <v>131</v>
      </c>
      <c r="N81" t="s">
        <v>132</v>
      </c>
      <c r="O81" t="s">
        <v>111</v>
      </c>
      <c r="P81" t="str">
        <f>IF(ISNUMBER(SEARCH("_2x", J81)), "2x", IF(ISNUMBER(SEARCH("_5x", J81)), "5x", IF(ISNUMBER(SEARCH("_10x", J81)), "10x", "1x")))</f>
        <v>2x</v>
      </c>
      <c r="V81">
        <v>1</v>
      </c>
      <c r="X81" t="str">
        <f t="shared" si="23"/>
        <v/>
      </c>
      <c r="Y81" t="str">
        <f t="shared" si="24"/>
        <v/>
      </c>
      <c r="Z81" t="str">
        <f t="shared" si="25"/>
        <v/>
      </c>
      <c r="AA81" t="str">
        <f t="shared" si="26"/>
        <v/>
      </c>
      <c r="AB81" t="str">
        <f t="shared" si="27"/>
        <v/>
      </c>
      <c r="AC81">
        <f t="shared" si="28"/>
        <v>745472</v>
      </c>
      <c r="AD81" t="str">
        <f t="shared" si="29"/>
        <v/>
      </c>
    </row>
    <row r="82" spans="1:30" ht="14" customHeight="1">
      <c r="A82"/>
      <c r="B82"/>
      <c r="C82"/>
      <c r="D82"/>
      <c r="E82"/>
      <c r="F82"/>
      <c r="G82"/>
      <c r="H82"/>
      <c r="J82" t="s">
        <v>202</v>
      </c>
      <c r="K82" t="s">
        <v>76</v>
      </c>
      <c r="L82">
        <v>146890752</v>
      </c>
      <c r="M82" t="s">
        <v>218</v>
      </c>
      <c r="N82" t="s">
        <v>143</v>
      </c>
      <c r="O82" t="s">
        <v>219</v>
      </c>
      <c r="P82" t="str">
        <f>IF(ISNUMBER(SEARCH("_2x", J82)), "2x", IF(ISNUMBER(SEARCH("_5x", J82)), "5x", IF(ISNUMBER(SEARCH("_10x", J82)), "10x", "1x")))</f>
        <v>2x</v>
      </c>
      <c r="T82">
        <v>1</v>
      </c>
      <c r="V82">
        <v>1</v>
      </c>
      <c r="X82" t="str">
        <f t="shared" si="23"/>
        <v/>
      </c>
      <c r="Y82" t="str">
        <f t="shared" si="24"/>
        <v/>
      </c>
      <c r="Z82" t="str">
        <f t="shared" si="25"/>
        <v/>
      </c>
      <c r="AA82">
        <f t="shared" si="26"/>
        <v>146890752</v>
      </c>
      <c r="AB82" t="str">
        <f t="shared" si="27"/>
        <v/>
      </c>
      <c r="AC82">
        <f t="shared" si="28"/>
        <v>146890752</v>
      </c>
      <c r="AD82" t="str">
        <f t="shared" si="29"/>
        <v/>
      </c>
    </row>
    <row r="83" spans="1:30" ht="14" customHeight="1">
      <c r="A83"/>
      <c r="B83"/>
      <c r="C83"/>
      <c r="D83"/>
      <c r="E83"/>
      <c r="F83"/>
      <c r="G83"/>
      <c r="H83"/>
      <c r="J83" t="s">
        <v>264</v>
      </c>
      <c r="K83" t="s">
        <v>240</v>
      </c>
      <c r="L83">
        <v>16384</v>
      </c>
      <c r="M83" t="s">
        <v>111</v>
      </c>
      <c r="N83" t="s">
        <v>134</v>
      </c>
      <c r="O83" t="s">
        <v>110</v>
      </c>
      <c r="P83" t="str">
        <f>IF(ISNUMBER(SEARCH("_2x", J83)), "2x", IF(ISNUMBER(SEARCH("_5x", J83)), "5x", IF(ISNUMBER(SEARCH("_10x", J83)), "10x", "1x")))</f>
        <v>2x</v>
      </c>
      <c r="W83">
        <v>1</v>
      </c>
      <c r="X83" t="str">
        <f t="shared" si="23"/>
        <v/>
      </c>
      <c r="Y83" t="str">
        <f t="shared" si="24"/>
        <v/>
      </c>
      <c r="Z83" t="str">
        <f t="shared" si="25"/>
        <v/>
      </c>
      <c r="AA83" t="str">
        <f t="shared" si="26"/>
        <v/>
      </c>
      <c r="AB83" t="str">
        <f t="shared" si="27"/>
        <v/>
      </c>
      <c r="AC83" t="str">
        <f t="shared" si="28"/>
        <v/>
      </c>
      <c r="AD83">
        <f t="shared" si="29"/>
        <v>16384</v>
      </c>
    </row>
    <row r="84" spans="1:30" ht="14" customHeight="1">
      <c r="A84"/>
      <c r="B84"/>
      <c r="C84"/>
      <c r="D84"/>
      <c r="E84"/>
      <c r="F84"/>
      <c r="G84"/>
      <c r="H84"/>
      <c r="J84" t="s">
        <v>264</v>
      </c>
      <c r="K84" t="s">
        <v>241</v>
      </c>
      <c r="L84">
        <v>70574080</v>
      </c>
      <c r="M84" t="s">
        <v>92</v>
      </c>
      <c r="N84" t="s">
        <v>242</v>
      </c>
      <c r="O84" t="s">
        <v>243</v>
      </c>
      <c r="P84" t="str">
        <f>IF(ISNUMBER(SEARCH("_2x", J84)), "2x", IF(ISNUMBER(SEARCH("_5x", J84)), "5x", IF(ISNUMBER(SEARCH("_10x", J84)), "10x", "1x")))</f>
        <v>2x</v>
      </c>
      <c r="W84">
        <v>1</v>
      </c>
      <c r="X84" t="str">
        <f t="shared" si="23"/>
        <v/>
      </c>
      <c r="Y84" t="str">
        <f t="shared" si="24"/>
        <v/>
      </c>
      <c r="Z84" t="str">
        <f t="shared" si="25"/>
        <v/>
      </c>
      <c r="AA84" t="str">
        <f t="shared" si="26"/>
        <v/>
      </c>
      <c r="AB84" t="str">
        <f t="shared" si="27"/>
        <v/>
      </c>
      <c r="AC84" t="str">
        <f t="shared" si="28"/>
        <v/>
      </c>
      <c r="AD84">
        <f t="shared" si="29"/>
        <v>70574080</v>
      </c>
    </row>
    <row r="85" spans="1:30" ht="14" customHeight="1">
      <c r="A85"/>
      <c r="B85"/>
      <c r="C85"/>
      <c r="D85"/>
      <c r="E85"/>
      <c r="F85"/>
      <c r="G85"/>
      <c r="H85"/>
      <c r="J85" t="s">
        <v>264</v>
      </c>
      <c r="K85" t="s">
        <v>244</v>
      </c>
      <c r="L85">
        <v>23977984</v>
      </c>
      <c r="M85" t="s">
        <v>245</v>
      </c>
      <c r="N85" t="s">
        <v>122</v>
      </c>
      <c r="O85" t="s">
        <v>246</v>
      </c>
      <c r="P85" t="str">
        <f>IF(ISNUMBER(SEARCH("_2x", J85)), "2x", IF(ISNUMBER(SEARCH("_5x", J85)), "5x", IF(ISNUMBER(SEARCH("_10x", J85)), "10x", "1x")))</f>
        <v>2x</v>
      </c>
      <c r="W85">
        <v>1</v>
      </c>
      <c r="X85" t="str">
        <f t="shared" si="23"/>
        <v/>
      </c>
      <c r="Y85" t="str">
        <f t="shared" si="24"/>
        <v/>
      </c>
      <c r="Z85" t="str">
        <f t="shared" si="25"/>
        <v/>
      </c>
      <c r="AA85" t="str">
        <f t="shared" si="26"/>
        <v/>
      </c>
      <c r="AB85" t="str">
        <f t="shared" si="27"/>
        <v/>
      </c>
      <c r="AC85" t="str">
        <f t="shared" si="28"/>
        <v/>
      </c>
      <c r="AD85">
        <f t="shared" si="29"/>
        <v>23977984</v>
      </c>
    </row>
    <row r="86" spans="1:30" ht="14" customHeight="1">
      <c r="A86"/>
      <c r="B86"/>
      <c r="C86"/>
      <c r="D86"/>
      <c r="E86"/>
      <c r="F86"/>
      <c r="G86"/>
      <c r="H86"/>
      <c r="J86" t="s">
        <v>264</v>
      </c>
      <c r="K86" t="s">
        <v>99</v>
      </c>
      <c r="L86">
        <v>61726720</v>
      </c>
      <c r="M86" t="s">
        <v>146</v>
      </c>
      <c r="N86" t="s">
        <v>147</v>
      </c>
      <c r="O86" t="s">
        <v>148</v>
      </c>
      <c r="P86" t="str">
        <f>IF(ISNUMBER(SEARCH("_2x", J86)), "2x", IF(ISNUMBER(SEARCH("_5x", J86)), "5x", IF(ISNUMBER(SEARCH("_10x", J86)), "10x", "1x")))</f>
        <v>2x</v>
      </c>
      <c r="W86">
        <v>1</v>
      </c>
      <c r="X86" t="str">
        <f t="shared" si="23"/>
        <v/>
      </c>
      <c r="Y86" t="str">
        <f t="shared" si="24"/>
        <v/>
      </c>
      <c r="Z86" t="str">
        <f t="shared" si="25"/>
        <v/>
      </c>
      <c r="AA86" t="str">
        <f t="shared" si="26"/>
        <v/>
      </c>
      <c r="AB86" t="str">
        <f t="shared" si="27"/>
        <v/>
      </c>
      <c r="AC86" t="str">
        <f t="shared" si="28"/>
        <v/>
      </c>
      <c r="AD86">
        <f t="shared" si="29"/>
        <v>61726720</v>
      </c>
    </row>
    <row r="87" spans="1:30" ht="14" customHeight="1">
      <c r="A87"/>
      <c r="B87"/>
      <c r="C87"/>
      <c r="D87"/>
      <c r="E87"/>
      <c r="F87"/>
      <c r="G87"/>
      <c r="H87"/>
      <c r="J87" t="s">
        <v>264</v>
      </c>
      <c r="K87" t="s">
        <v>103</v>
      </c>
      <c r="L87">
        <v>125034496</v>
      </c>
      <c r="M87" t="s">
        <v>149</v>
      </c>
      <c r="N87" t="s">
        <v>150</v>
      </c>
      <c r="O87" t="s">
        <v>148</v>
      </c>
      <c r="P87" t="str">
        <f>IF(ISNUMBER(SEARCH("_2x", J87)), "2x", IF(ISNUMBER(SEARCH("_5x", J87)), "5x", IF(ISNUMBER(SEARCH("_10x", J87)), "10x", "1x")))</f>
        <v>2x</v>
      </c>
      <c r="W87">
        <v>1</v>
      </c>
      <c r="X87" t="str">
        <f t="shared" si="23"/>
        <v/>
      </c>
      <c r="Y87" t="str">
        <f t="shared" si="24"/>
        <v/>
      </c>
      <c r="Z87" t="str">
        <f t="shared" si="25"/>
        <v/>
      </c>
      <c r="AA87" t="str">
        <f t="shared" si="26"/>
        <v/>
      </c>
      <c r="AB87" t="str">
        <f t="shared" si="27"/>
        <v/>
      </c>
      <c r="AC87" t="str">
        <f t="shared" si="28"/>
        <v/>
      </c>
      <c r="AD87">
        <f t="shared" si="29"/>
        <v>125034496</v>
      </c>
    </row>
    <row r="88" spans="1:30" ht="14" customHeight="1">
      <c r="A88"/>
      <c r="B88"/>
      <c r="C88"/>
      <c r="D88"/>
      <c r="E88"/>
      <c r="F88"/>
      <c r="G88"/>
      <c r="H88"/>
      <c r="J88" t="s">
        <v>264</v>
      </c>
      <c r="K88" t="s">
        <v>105</v>
      </c>
      <c r="L88">
        <v>38813696</v>
      </c>
      <c r="M88" t="s">
        <v>265</v>
      </c>
      <c r="N88" t="s">
        <v>139</v>
      </c>
      <c r="O88" t="s">
        <v>266</v>
      </c>
      <c r="P88" t="str">
        <f>IF(ISNUMBER(SEARCH("_2x", J88)), "2x", IF(ISNUMBER(SEARCH("_5x", J88)), "5x", IF(ISNUMBER(SEARCH("_10x", J88)), "10x", "1x")))</f>
        <v>2x</v>
      </c>
      <c r="W88">
        <v>1</v>
      </c>
      <c r="X88" t="str">
        <f t="shared" si="23"/>
        <v/>
      </c>
      <c r="Y88" t="str">
        <f t="shared" si="24"/>
        <v/>
      </c>
      <c r="Z88" t="str">
        <f t="shared" si="25"/>
        <v/>
      </c>
      <c r="AA88" t="str">
        <f t="shared" si="26"/>
        <v/>
      </c>
      <c r="AB88" t="str">
        <f t="shared" si="27"/>
        <v/>
      </c>
      <c r="AC88" t="str">
        <f t="shared" si="28"/>
        <v/>
      </c>
      <c r="AD88">
        <f t="shared" si="29"/>
        <v>38813696</v>
      </c>
    </row>
    <row r="89" spans="1:30">
      <c r="J89" t="s">
        <v>264</v>
      </c>
      <c r="K89" t="s">
        <v>108</v>
      </c>
      <c r="L89">
        <v>510656512</v>
      </c>
      <c r="M89" t="s">
        <v>267</v>
      </c>
      <c r="N89" t="s">
        <v>268</v>
      </c>
      <c r="O89" t="s">
        <v>266</v>
      </c>
      <c r="P89" t="str">
        <f>IF(ISNUMBER(SEARCH("_2x", J89)), "2x", IF(ISNUMBER(SEARCH("_5x", J89)), "5x", IF(ISNUMBER(SEARCH("_10x", J89)), "10x", "1x")))</f>
        <v>2x</v>
      </c>
      <c r="W89">
        <v>1</v>
      </c>
      <c r="X89" t="str">
        <f t="shared" si="23"/>
        <v/>
      </c>
      <c r="Y89" t="str">
        <f t="shared" si="24"/>
        <v/>
      </c>
      <c r="Z89" t="str">
        <f t="shared" si="25"/>
        <v/>
      </c>
      <c r="AA89" t="str">
        <f t="shared" si="26"/>
        <v/>
      </c>
      <c r="AB89" t="str">
        <f t="shared" si="27"/>
        <v/>
      </c>
      <c r="AC89" t="str">
        <f t="shared" si="28"/>
        <v/>
      </c>
      <c r="AD89">
        <f t="shared" si="29"/>
        <v>510656512</v>
      </c>
    </row>
    <row r="90" spans="1:30">
      <c r="J90" t="s">
        <v>264</v>
      </c>
      <c r="K90" t="s">
        <v>112</v>
      </c>
      <c r="L90">
        <v>469647360</v>
      </c>
      <c r="M90" t="s">
        <v>269</v>
      </c>
      <c r="N90" t="s">
        <v>270</v>
      </c>
      <c r="O90" t="s">
        <v>271</v>
      </c>
      <c r="P90" t="str">
        <f>IF(ISNUMBER(SEARCH("_2x", J90)), "2x", IF(ISNUMBER(SEARCH("_5x", J90)), "5x", IF(ISNUMBER(SEARCH("_10x", J90)), "10x", "1x")))</f>
        <v>2x</v>
      </c>
      <c r="W90">
        <v>1</v>
      </c>
      <c r="X90" t="str">
        <f t="shared" si="23"/>
        <v/>
      </c>
      <c r="Y90" t="str">
        <f t="shared" si="24"/>
        <v/>
      </c>
      <c r="Z90" t="str">
        <f t="shared" si="25"/>
        <v/>
      </c>
      <c r="AA90" t="str">
        <f t="shared" si="26"/>
        <v/>
      </c>
      <c r="AB90" t="str">
        <f t="shared" si="27"/>
        <v/>
      </c>
      <c r="AC90" t="str">
        <f t="shared" si="28"/>
        <v/>
      </c>
      <c r="AD90">
        <f t="shared" si="29"/>
        <v>469647360</v>
      </c>
    </row>
    <row r="91" spans="1:30">
      <c r="J91" t="s">
        <v>264</v>
      </c>
      <c r="K91" t="s">
        <v>116</v>
      </c>
      <c r="L91">
        <v>18350080</v>
      </c>
      <c r="M91" t="s">
        <v>89</v>
      </c>
      <c r="N91" t="s">
        <v>74</v>
      </c>
      <c r="O91" t="s">
        <v>272</v>
      </c>
      <c r="P91" t="str">
        <f>IF(ISNUMBER(SEARCH("_2x", J91)), "2x", IF(ISNUMBER(SEARCH("_5x", J91)), "5x", IF(ISNUMBER(SEARCH("_10x", J91)), "10x", "1x")))</f>
        <v>2x</v>
      </c>
      <c r="W91">
        <v>1</v>
      </c>
      <c r="X91" t="str">
        <f t="shared" si="23"/>
        <v/>
      </c>
      <c r="Y91" t="str">
        <f t="shared" si="24"/>
        <v/>
      </c>
      <c r="Z91" t="str">
        <f t="shared" si="25"/>
        <v/>
      </c>
      <c r="AA91" t="str">
        <f t="shared" si="26"/>
        <v/>
      </c>
      <c r="AB91" t="str">
        <f t="shared" si="27"/>
        <v/>
      </c>
      <c r="AC91" t="str">
        <f t="shared" si="28"/>
        <v/>
      </c>
      <c r="AD91">
        <f t="shared" si="29"/>
        <v>18350080</v>
      </c>
    </row>
    <row r="92" spans="1:30">
      <c r="J92" t="s">
        <v>264</v>
      </c>
      <c r="K92" t="s">
        <v>120</v>
      </c>
      <c r="L92">
        <v>266584064</v>
      </c>
      <c r="M92" t="s">
        <v>273</v>
      </c>
      <c r="N92" t="s">
        <v>274</v>
      </c>
      <c r="O92" t="s">
        <v>272</v>
      </c>
      <c r="P92" t="str">
        <f>IF(ISNUMBER(SEARCH("_2x", J92)), "2x", IF(ISNUMBER(SEARCH("_5x", J92)), "5x", IF(ISNUMBER(SEARCH("_10x", J92)), "10x", "1x")))</f>
        <v>2x</v>
      </c>
      <c r="W92">
        <v>1</v>
      </c>
      <c r="X92" t="str">
        <f t="shared" si="23"/>
        <v/>
      </c>
      <c r="Y92" t="str">
        <f t="shared" si="24"/>
        <v/>
      </c>
      <c r="Z92" t="str">
        <f t="shared" si="25"/>
        <v/>
      </c>
      <c r="AA92" t="str">
        <f t="shared" si="26"/>
        <v/>
      </c>
      <c r="AB92" t="str">
        <f t="shared" si="27"/>
        <v/>
      </c>
      <c r="AC92" t="str">
        <f t="shared" si="28"/>
        <v/>
      </c>
      <c r="AD92">
        <f t="shared" si="29"/>
        <v>266584064</v>
      </c>
    </row>
    <row r="93" spans="1:30">
      <c r="J93" t="s">
        <v>264</v>
      </c>
      <c r="K93" t="s">
        <v>73</v>
      </c>
      <c r="L93">
        <v>81920</v>
      </c>
      <c r="M93" t="s">
        <v>197</v>
      </c>
      <c r="N93" t="s">
        <v>161</v>
      </c>
      <c r="O93" t="s">
        <v>107</v>
      </c>
      <c r="P93" t="str">
        <f>IF(ISNUMBER(SEARCH("_2x", J93)), "2x", IF(ISNUMBER(SEARCH("_5x", J93)), "5x", IF(ISNUMBER(SEARCH("_10x", J93)), "10x", "1x")))</f>
        <v>2x</v>
      </c>
      <c r="W93">
        <v>1</v>
      </c>
      <c r="X93" t="str">
        <f t="shared" si="23"/>
        <v/>
      </c>
      <c r="Y93" t="str">
        <f t="shared" si="24"/>
        <v/>
      </c>
      <c r="Z93" t="str">
        <f t="shared" si="25"/>
        <v/>
      </c>
      <c r="AA93" t="str">
        <f t="shared" si="26"/>
        <v/>
      </c>
      <c r="AB93" t="str">
        <f t="shared" si="27"/>
        <v/>
      </c>
      <c r="AC93" t="str">
        <f t="shared" si="28"/>
        <v/>
      </c>
      <c r="AD93">
        <f t="shared" si="29"/>
        <v>81920</v>
      </c>
    </row>
    <row r="94" spans="1:30">
      <c r="J94" t="s">
        <v>264</v>
      </c>
      <c r="K94" t="s">
        <v>258</v>
      </c>
      <c r="L94">
        <v>548864</v>
      </c>
      <c r="M94" t="s">
        <v>275</v>
      </c>
      <c r="N94" t="s">
        <v>166</v>
      </c>
      <c r="O94" t="s">
        <v>107</v>
      </c>
      <c r="P94" t="str">
        <f>IF(ISNUMBER(SEARCH("_2x", J94)), "2x", IF(ISNUMBER(SEARCH("_5x", J94)), "5x", IF(ISNUMBER(SEARCH("_10x", J94)), "10x", "1x")))</f>
        <v>2x</v>
      </c>
      <c r="W94">
        <v>1</v>
      </c>
      <c r="X94" t="str">
        <f t="shared" si="23"/>
        <v/>
      </c>
      <c r="Y94" t="str">
        <f t="shared" si="24"/>
        <v/>
      </c>
      <c r="Z94" t="str">
        <f t="shared" si="25"/>
        <v/>
      </c>
      <c r="AA94" t="str">
        <f t="shared" si="26"/>
        <v/>
      </c>
      <c r="AB94" t="str">
        <f t="shared" si="27"/>
        <v/>
      </c>
      <c r="AC94" t="str">
        <f t="shared" si="28"/>
        <v/>
      </c>
      <c r="AD94">
        <f t="shared" si="29"/>
        <v>548864</v>
      </c>
    </row>
    <row r="95" spans="1:30">
      <c r="J95" t="s">
        <v>264</v>
      </c>
      <c r="K95" t="s">
        <v>130</v>
      </c>
      <c r="L95">
        <v>745472</v>
      </c>
      <c r="M95" t="s">
        <v>131</v>
      </c>
      <c r="N95" t="s">
        <v>132</v>
      </c>
      <c r="O95" t="s">
        <v>111</v>
      </c>
      <c r="P95" t="str">
        <f>IF(ISNUMBER(SEARCH("_2x", J95)), "2x", IF(ISNUMBER(SEARCH("_5x", J95)), "5x", IF(ISNUMBER(SEARCH("_10x", J95)), "10x", "1x")))</f>
        <v>2x</v>
      </c>
      <c r="W95">
        <v>1</v>
      </c>
      <c r="X95" t="str">
        <f t="shared" si="23"/>
        <v/>
      </c>
      <c r="Y95" t="str">
        <f t="shared" si="24"/>
        <v/>
      </c>
      <c r="Z95" t="str">
        <f t="shared" si="25"/>
        <v/>
      </c>
      <c r="AA95" t="str">
        <f t="shared" si="26"/>
        <v/>
      </c>
      <c r="AB95" t="str">
        <f t="shared" si="27"/>
        <v/>
      </c>
      <c r="AC95" t="str">
        <f t="shared" si="28"/>
        <v/>
      </c>
      <c r="AD95">
        <f t="shared" si="29"/>
        <v>745472</v>
      </c>
    </row>
    <row r="96" spans="1:30">
      <c r="J96" t="s">
        <v>264</v>
      </c>
      <c r="K96" t="s">
        <v>76</v>
      </c>
      <c r="L96">
        <v>17760256</v>
      </c>
      <c r="M96" t="s">
        <v>74</v>
      </c>
      <c r="N96" t="s">
        <v>188</v>
      </c>
      <c r="O96" t="s">
        <v>268</v>
      </c>
      <c r="P96" t="str">
        <f>IF(ISNUMBER(SEARCH("_2x", J96)), "2x", IF(ISNUMBER(SEARCH("_5x", J96)), "5x", IF(ISNUMBER(SEARCH("_10x", J96)), "10x", "1x")))</f>
        <v>2x</v>
      </c>
      <c r="W96">
        <v>1</v>
      </c>
      <c r="X96" t="str">
        <f t="shared" si="23"/>
        <v/>
      </c>
      <c r="Y96" t="str">
        <f t="shared" si="24"/>
        <v/>
      </c>
      <c r="Z96" t="str">
        <f t="shared" si="25"/>
        <v/>
      </c>
      <c r="AA96" t="str">
        <f t="shared" si="26"/>
        <v/>
      </c>
      <c r="AB96" t="str">
        <f t="shared" si="27"/>
        <v/>
      </c>
      <c r="AC96" t="str">
        <f t="shared" si="28"/>
        <v/>
      </c>
      <c r="AD96">
        <f t="shared" si="29"/>
        <v>17760256</v>
      </c>
    </row>
    <row r="97" spans="10:30">
      <c r="J97" t="s">
        <v>264</v>
      </c>
      <c r="K97" t="s">
        <v>261</v>
      </c>
      <c r="L97">
        <v>141541376</v>
      </c>
      <c r="M97" t="s">
        <v>276</v>
      </c>
      <c r="N97" t="s">
        <v>143</v>
      </c>
      <c r="O97" t="s">
        <v>277</v>
      </c>
      <c r="P97" t="str">
        <f>IF(ISNUMBER(SEARCH("_2x", J97)), "2x", IF(ISNUMBER(SEARCH("_5x", J97)), "5x", IF(ISNUMBER(SEARCH("_10x", J97)), "10x", "1x")))</f>
        <v>2x</v>
      </c>
      <c r="W97">
        <v>1</v>
      </c>
      <c r="X97" t="str">
        <f t="shared" si="23"/>
        <v/>
      </c>
      <c r="Y97" t="str">
        <f t="shared" si="24"/>
        <v/>
      </c>
      <c r="Z97" t="str">
        <f t="shared" si="25"/>
        <v/>
      </c>
      <c r="AA97" t="str">
        <f t="shared" si="26"/>
        <v/>
      </c>
      <c r="AB97" t="str">
        <f t="shared" si="27"/>
        <v/>
      </c>
      <c r="AC97" t="str">
        <f t="shared" si="28"/>
        <v/>
      </c>
      <c r="AD97">
        <f t="shared" si="29"/>
        <v>141541376</v>
      </c>
    </row>
    <row r="98" spans="10:30">
      <c r="J98" t="s">
        <v>373</v>
      </c>
      <c r="K98" t="s">
        <v>69</v>
      </c>
      <c r="L98">
        <v>3126829056</v>
      </c>
      <c r="M98" t="s">
        <v>374</v>
      </c>
      <c r="N98" t="s">
        <v>97</v>
      </c>
      <c r="O98" t="s">
        <v>163</v>
      </c>
      <c r="P98" t="str">
        <f>IF(ISNUMBER(SEARCH("_2x", J98)), "2x", IF(ISNUMBER(SEARCH("_5x", J98)), "5x", IF(ISNUMBER(SEARCH("_10x", J98)), "10x", "1x")))</f>
        <v>5x</v>
      </c>
      <c r="Q98">
        <v>1</v>
      </c>
      <c r="X98">
        <f t="shared" si="23"/>
        <v>3126829056</v>
      </c>
      <c r="Y98" t="str">
        <f t="shared" si="24"/>
        <v/>
      </c>
      <c r="Z98" t="str">
        <f t="shared" si="25"/>
        <v/>
      </c>
      <c r="AA98" t="str">
        <f t="shared" si="26"/>
        <v/>
      </c>
      <c r="AB98" t="str">
        <f t="shared" si="27"/>
        <v/>
      </c>
      <c r="AC98" t="str">
        <f t="shared" si="28"/>
        <v/>
      </c>
      <c r="AD98" t="str">
        <f t="shared" si="29"/>
        <v/>
      </c>
    </row>
    <row r="99" spans="10:30">
      <c r="J99" t="s">
        <v>373</v>
      </c>
      <c r="K99" t="s">
        <v>73</v>
      </c>
      <c r="L99">
        <v>90570752</v>
      </c>
      <c r="M99" t="s">
        <v>375</v>
      </c>
      <c r="N99" t="s">
        <v>253</v>
      </c>
      <c r="O99" t="s">
        <v>376</v>
      </c>
      <c r="P99" t="str">
        <f>IF(ISNUMBER(SEARCH("_2x", J99)), "2x", IF(ISNUMBER(SEARCH("_5x", J99)), "5x", IF(ISNUMBER(SEARCH("_10x", J99)), "10x", "1x")))</f>
        <v>5x</v>
      </c>
      <c r="Q99">
        <v>1</v>
      </c>
      <c r="R99">
        <v>1</v>
      </c>
      <c r="X99">
        <f t="shared" si="23"/>
        <v>90570752</v>
      </c>
      <c r="Y99">
        <f t="shared" si="24"/>
        <v>90570752</v>
      </c>
      <c r="Z99" t="str">
        <f t="shared" si="25"/>
        <v/>
      </c>
      <c r="AA99" t="str">
        <f t="shared" si="26"/>
        <v/>
      </c>
      <c r="AB99" t="str">
        <f t="shared" si="27"/>
        <v/>
      </c>
      <c r="AC99" t="str">
        <f t="shared" si="28"/>
        <v/>
      </c>
      <c r="AD99" t="str">
        <f t="shared" si="29"/>
        <v/>
      </c>
    </row>
    <row r="100" spans="10:30">
      <c r="J100" t="s">
        <v>373</v>
      </c>
      <c r="K100" t="s">
        <v>76</v>
      </c>
      <c r="L100">
        <v>360235008</v>
      </c>
      <c r="M100" t="s">
        <v>377</v>
      </c>
      <c r="N100" t="s">
        <v>378</v>
      </c>
      <c r="O100" t="s">
        <v>379</v>
      </c>
      <c r="P100" t="str">
        <f>IF(ISNUMBER(SEARCH("_2x", J100)), "2x", IF(ISNUMBER(SEARCH("_5x", J100)), "5x", IF(ISNUMBER(SEARCH("_10x", J100)), "10x", "1x")))</f>
        <v>5x</v>
      </c>
      <c r="Q100">
        <v>1</v>
      </c>
      <c r="X100">
        <f t="shared" si="23"/>
        <v>360235008</v>
      </c>
      <c r="Y100" t="str">
        <f t="shared" si="24"/>
        <v/>
      </c>
      <c r="Z100" t="str">
        <f t="shared" si="25"/>
        <v/>
      </c>
      <c r="AA100" t="str">
        <f t="shared" si="26"/>
        <v/>
      </c>
      <c r="AB100" t="str">
        <f t="shared" si="27"/>
        <v/>
      </c>
      <c r="AC100" t="str">
        <f t="shared" si="28"/>
        <v/>
      </c>
      <c r="AD100" t="str">
        <f t="shared" si="29"/>
        <v/>
      </c>
    </row>
    <row r="101" spans="10:30">
      <c r="J101" t="s">
        <v>380</v>
      </c>
      <c r="K101" t="s">
        <v>91</v>
      </c>
      <c r="L101">
        <v>70385664</v>
      </c>
      <c r="M101" t="s">
        <v>92</v>
      </c>
      <c r="N101" t="s">
        <v>93</v>
      </c>
      <c r="O101" t="s">
        <v>94</v>
      </c>
      <c r="P101" t="str">
        <f>IF(ISNUMBER(SEARCH("_2x", J101)), "2x", IF(ISNUMBER(SEARCH("_5x", J101)), "5x", IF(ISNUMBER(SEARCH("_10x", J101)), "10x", "1x")))</f>
        <v>5x</v>
      </c>
      <c r="S101">
        <v>1</v>
      </c>
      <c r="U101">
        <v>1</v>
      </c>
      <c r="X101" t="str">
        <f t="shared" si="23"/>
        <v/>
      </c>
      <c r="Y101" t="str">
        <f t="shared" si="24"/>
        <v/>
      </c>
      <c r="Z101">
        <f t="shared" si="25"/>
        <v>70385664</v>
      </c>
      <c r="AA101" t="str">
        <f t="shared" si="26"/>
        <v/>
      </c>
      <c r="AB101">
        <f t="shared" si="27"/>
        <v>70385664</v>
      </c>
      <c r="AC101" t="str">
        <f t="shared" si="28"/>
        <v/>
      </c>
      <c r="AD101" t="str">
        <f t="shared" si="29"/>
        <v/>
      </c>
    </row>
    <row r="102" spans="10:30">
      <c r="J102" t="s">
        <v>380</v>
      </c>
      <c r="K102" t="s">
        <v>95</v>
      </c>
      <c r="L102">
        <v>31948800</v>
      </c>
      <c r="M102" t="s">
        <v>96</v>
      </c>
      <c r="N102" t="s">
        <v>97</v>
      </c>
      <c r="O102" t="s">
        <v>98</v>
      </c>
      <c r="P102" t="str">
        <f>IF(ISNUMBER(SEARCH("_2x", J102)), "2x", IF(ISNUMBER(SEARCH("_5x", J102)), "5x", IF(ISNUMBER(SEARCH("_10x", J102)), "10x", "1x")))</f>
        <v>5x</v>
      </c>
      <c r="S102">
        <v>1</v>
      </c>
      <c r="U102">
        <v>1</v>
      </c>
      <c r="X102" t="str">
        <f t="shared" si="23"/>
        <v/>
      </c>
      <c r="Y102" t="str">
        <f t="shared" si="24"/>
        <v/>
      </c>
      <c r="Z102">
        <f t="shared" si="25"/>
        <v>31948800</v>
      </c>
      <c r="AA102" t="str">
        <f t="shared" si="26"/>
        <v/>
      </c>
      <c r="AB102">
        <f t="shared" si="27"/>
        <v>31948800</v>
      </c>
      <c r="AC102" t="str">
        <f t="shared" si="28"/>
        <v/>
      </c>
      <c r="AD102" t="str">
        <f t="shared" si="29"/>
        <v/>
      </c>
    </row>
    <row r="103" spans="10:30">
      <c r="J103" t="s">
        <v>380</v>
      </c>
      <c r="K103" t="s">
        <v>99</v>
      </c>
      <c r="L103">
        <v>156729344</v>
      </c>
      <c r="M103" t="s">
        <v>381</v>
      </c>
      <c r="N103" t="s">
        <v>382</v>
      </c>
      <c r="O103" t="s">
        <v>383</v>
      </c>
      <c r="P103" t="str">
        <f>IF(ISNUMBER(SEARCH("_2x", J103)), "2x", IF(ISNUMBER(SEARCH("_5x", J103)), "5x", IF(ISNUMBER(SEARCH("_10x", J103)), "10x", "1x")))</f>
        <v>5x</v>
      </c>
      <c r="U103">
        <v>1</v>
      </c>
      <c r="X103" t="str">
        <f t="shared" si="23"/>
        <v/>
      </c>
      <c r="Y103" t="str">
        <f t="shared" si="24"/>
        <v/>
      </c>
      <c r="Z103" t="str">
        <f t="shared" si="25"/>
        <v/>
      </c>
      <c r="AA103" t="str">
        <f t="shared" si="26"/>
        <v/>
      </c>
      <c r="AB103">
        <f t="shared" si="27"/>
        <v>156729344</v>
      </c>
      <c r="AC103" t="str">
        <f t="shared" si="28"/>
        <v/>
      </c>
      <c r="AD103" t="str">
        <f t="shared" si="29"/>
        <v/>
      </c>
    </row>
    <row r="104" spans="10:30">
      <c r="J104" t="s">
        <v>380</v>
      </c>
      <c r="K104" t="s">
        <v>103</v>
      </c>
      <c r="L104">
        <v>312451072</v>
      </c>
      <c r="M104" t="s">
        <v>384</v>
      </c>
      <c r="N104" t="s">
        <v>385</v>
      </c>
      <c r="O104" t="s">
        <v>383</v>
      </c>
      <c r="P104" t="str">
        <f>IF(ISNUMBER(SEARCH("_2x", J104)), "2x", IF(ISNUMBER(SEARCH("_5x", J104)), "5x", IF(ISNUMBER(SEARCH("_10x", J104)), "10x", "1x")))</f>
        <v>5x</v>
      </c>
      <c r="S104">
        <v>1</v>
      </c>
      <c r="U104">
        <v>1</v>
      </c>
      <c r="X104" t="str">
        <f t="shared" si="23"/>
        <v/>
      </c>
      <c r="Y104" t="str">
        <f t="shared" si="24"/>
        <v/>
      </c>
      <c r="Z104">
        <f t="shared" si="25"/>
        <v>312451072</v>
      </c>
      <c r="AA104" t="str">
        <f t="shared" si="26"/>
        <v/>
      </c>
      <c r="AB104">
        <f t="shared" si="27"/>
        <v>312451072</v>
      </c>
      <c r="AC104" t="str">
        <f t="shared" si="28"/>
        <v/>
      </c>
      <c r="AD104" t="str">
        <f t="shared" si="29"/>
        <v/>
      </c>
    </row>
    <row r="105" spans="10:30">
      <c r="J105" t="s">
        <v>380</v>
      </c>
      <c r="K105" t="s">
        <v>105</v>
      </c>
      <c r="L105">
        <v>57344</v>
      </c>
      <c r="M105" t="s">
        <v>386</v>
      </c>
      <c r="N105" t="s">
        <v>111</v>
      </c>
      <c r="O105" t="s">
        <v>107</v>
      </c>
      <c r="P105" t="str">
        <f>IF(ISNUMBER(SEARCH("_2x", J105)), "2x", IF(ISNUMBER(SEARCH("_5x", J105)), "5x", IF(ISNUMBER(SEARCH("_10x", J105)), "10x", "1x")))</f>
        <v>5x</v>
      </c>
      <c r="R105">
        <v>1</v>
      </c>
      <c r="S105">
        <v>1</v>
      </c>
      <c r="U105">
        <v>1</v>
      </c>
      <c r="X105" t="str">
        <f t="shared" si="23"/>
        <v/>
      </c>
      <c r="Y105">
        <f t="shared" si="24"/>
        <v>57344</v>
      </c>
      <c r="Z105">
        <f t="shared" si="25"/>
        <v>57344</v>
      </c>
      <c r="AA105" t="str">
        <f t="shared" si="26"/>
        <v/>
      </c>
      <c r="AB105">
        <f t="shared" si="27"/>
        <v>57344</v>
      </c>
      <c r="AC105" t="str">
        <f t="shared" si="28"/>
        <v/>
      </c>
      <c r="AD105" t="str">
        <f t="shared" si="29"/>
        <v/>
      </c>
    </row>
    <row r="106" spans="10:30">
      <c r="J106" t="s">
        <v>380</v>
      </c>
      <c r="K106" t="s">
        <v>108</v>
      </c>
      <c r="L106">
        <v>196608</v>
      </c>
      <c r="M106" t="s">
        <v>387</v>
      </c>
      <c r="N106" t="s">
        <v>110</v>
      </c>
      <c r="O106" t="s">
        <v>111</v>
      </c>
      <c r="P106" t="str">
        <f>IF(ISNUMBER(SEARCH("_2x", J106)), "2x", IF(ISNUMBER(SEARCH("_5x", J106)), "5x", IF(ISNUMBER(SEARCH("_10x", J106)), "10x", "1x")))</f>
        <v>5x</v>
      </c>
      <c r="R106">
        <v>1</v>
      </c>
      <c r="S106">
        <v>1</v>
      </c>
      <c r="U106">
        <v>1</v>
      </c>
      <c r="X106" t="str">
        <f t="shared" si="23"/>
        <v/>
      </c>
      <c r="Y106">
        <f t="shared" si="24"/>
        <v>196608</v>
      </c>
      <c r="Z106">
        <f t="shared" si="25"/>
        <v>196608</v>
      </c>
      <c r="AA106" t="str">
        <f t="shared" si="26"/>
        <v/>
      </c>
      <c r="AB106">
        <f t="shared" si="27"/>
        <v>196608</v>
      </c>
      <c r="AC106" t="str">
        <f t="shared" si="28"/>
        <v/>
      </c>
      <c r="AD106" t="str">
        <f t="shared" si="29"/>
        <v/>
      </c>
    </row>
    <row r="107" spans="10:30">
      <c r="J107" t="s">
        <v>380</v>
      </c>
      <c r="K107" t="s">
        <v>112</v>
      </c>
      <c r="L107">
        <v>1921777664</v>
      </c>
      <c r="M107" t="s">
        <v>388</v>
      </c>
      <c r="N107" t="s">
        <v>89</v>
      </c>
      <c r="O107" t="s">
        <v>123</v>
      </c>
      <c r="P107" t="str">
        <f>IF(ISNUMBER(SEARCH("_2x", J107)), "2x", IF(ISNUMBER(SEARCH("_5x", J107)), "5x", IF(ISNUMBER(SEARCH("_10x", J107)), "10x", "1x")))</f>
        <v>5x</v>
      </c>
      <c r="R107">
        <v>1</v>
      </c>
      <c r="S107">
        <v>1</v>
      </c>
      <c r="U107">
        <v>1</v>
      </c>
      <c r="X107" t="str">
        <f t="shared" si="23"/>
        <v/>
      </c>
      <c r="Y107">
        <f t="shared" si="24"/>
        <v>1921777664</v>
      </c>
      <c r="Z107">
        <f t="shared" si="25"/>
        <v>1921777664</v>
      </c>
      <c r="AA107" t="str">
        <f t="shared" si="26"/>
        <v/>
      </c>
      <c r="AB107">
        <f t="shared" si="27"/>
        <v>1921777664</v>
      </c>
      <c r="AC107" t="str">
        <f t="shared" si="28"/>
        <v/>
      </c>
      <c r="AD107" t="str">
        <f t="shared" si="29"/>
        <v/>
      </c>
    </row>
    <row r="108" spans="10:30">
      <c r="J108" t="s">
        <v>380</v>
      </c>
      <c r="K108" t="s">
        <v>116</v>
      </c>
      <c r="L108">
        <v>114401280</v>
      </c>
      <c r="M108" t="s">
        <v>389</v>
      </c>
      <c r="N108" t="s">
        <v>390</v>
      </c>
      <c r="O108" t="s">
        <v>391</v>
      </c>
      <c r="P108" t="str">
        <f>IF(ISNUMBER(SEARCH("_2x", J108)), "2x", IF(ISNUMBER(SEARCH("_5x", J108)), "5x", IF(ISNUMBER(SEARCH("_10x", J108)), "10x", "1x")))</f>
        <v>5x</v>
      </c>
      <c r="R108">
        <v>1</v>
      </c>
      <c r="S108">
        <v>1</v>
      </c>
      <c r="U108">
        <v>1</v>
      </c>
      <c r="X108" t="str">
        <f t="shared" si="23"/>
        <v/>
      </c>
      <c r="Y108">
        <f t="shared" si="24"/>
        <v>114401280</v>
      </c>
      <c r="Z108">
        <f t="shared" si="25"/>
        <v>114401280</v>
      </c>
      <c r="AA108" t="str">
        <f t="shared" si="26"/>
        <v/>
      </c>
      <c r="AB108">
        <f t="shared" si="27"/>
        <v>114401280</v>
      </c>
      <c r="AC108" t="str">
        <f t="shared" si="28"/>
        <v/>
      </c>
      <c r="AD108" t="str">
        <f t="shared" si="29"/>
        <v/>
      </c>
    </row>
    <row r="109" spans="10:30">
      <c r="J109" t="s">
        <v>380</v>
      </c>
      <c r="K109" t="s">
        <v>120</v>
      </c>
      <c r="L109">
        <v>1203298304</v>
      </c>
      <c r="M109" t="s">
        <v>392</v>
      </c>
      <c r="N109" t="s">
        <v>137</v>
      </c>
      <c r="O109" t="s">
        <v>393</v>
      </c>
      <c r="P109" t="str">
        <f>IF(ISNUMBER(SEARCH("_2x", J109)), "2x", IF(ISNUMBER(SEARCH("_5x", J109)), "5x", IF(ISNUMBER(SEARCH("_10x", J109)), "10x", "1x")))</f>
        <v>5x</v>
      </c>
      <c r="R109">
        <v>1</v>
      </c>
      <c r="S109">
        <v>1</v>
      </c>
      <c r="U109">
        <v>1</v>
      </c>
      <c r="X109" t="str">
        <f t="shared" si="23"/>
        <v/>
      </c>
      <c r="Y109">
        <f t="shared" si="24"/>
        <v>1203298304</v>
      </c>
      <c r="Z109">
        <f t="shared" si="25"/>
        <v>1203298304</v>
      </c>
      <c r="AA109" t="str">
        <f t="shared" si="26"/>
        <v/>
      </c>
      <c r="AB109">
        <f t="shared" si="27"/>
        <v>1203298304</v>
      </c>
      <c r="AC109" t="str">
        <f t="shared" si="28"/>
        <v/>
      </c>
      <c r="AD109" t="str">
        <f t="shared" si="29"/>
        <v/>
      </c>
    </row>
    <row r="110" spans="10:30">
      <c r="J110" t="s">
        <v>380</v>
      </c>
      <c r="K110" t="s">
        <v>73</v>
      </c>
      <c r="L110">
        <v>90537984</v>
      </c>
      <c r="M110" t="s">
        <v>375</v>
      </c>
      <c r="N110" t="s">
        <v>253</v>
      </c>
      <c r="O110" t="s">
        <v>376</v>
      </c>
      <c r="P110" t="str">
        <f>IF(ISNUMBER(SEARCH("_2x", J110)), "2x", IF(ISNUMBER(SEARCH("_5x", J110)), "5x", IF(ISNUMBER(SEARCH("_10x", J110)), "10x", "1x")))</f>
        <v>5x</v>
      </c>
      <c r="S110">
        <v>1</v>
      </c>
      <c r="U110">
        <v>1</v>
      </c>
      <c r="X110" t="str">
        <f t="shared" si="23"/>
        <v/>
      </c>
      <c r="Y110" t="str">
        <f t="shared" si="24"/>
        <v/>
      </c>
      <c r="Z110">
        <f t="shared" si="25"/>
        <v>90537984</v>
      </c>
      <c r="AA110" t="str">
        <f t="shared" si="26"/>
        <v/>
      </c>
      <c r="AB110">
        <f t="shared" si="27"/>
        <v>90537984</v>
      </c>
      <c r="AC110" t="str">
        <f t="shared" si="28"/>
        <v/>
      </c>
      <c r="AD110" t="str">
        <f t="shared" si="29"/>
        <v/>
      </c>
    </row>
    <row r="111" spans="10:30">
      <c r="J111" t="s">
        <v>380</v>
      </c>
      <c r="K111" t="s">
        <v>124</v>
      </c>
      <c r="L111">
        <v>49152</v>
      </c>
      <c r="M111" t="s">
        <v>125</v>
      </c>
      <c r="N111" t="s">
        <v>291</v>
      </c>
      <c r="O111" t="s">
        <v>111</v>
      </c>
      <c r="P111" t="str">
        <f>IF(ISNUMBER(SEARCH("_2x", J111)), "2x", IF(ISNUMBER(SEARCH("_5x", J111)), "5x", IF(ISNUMBER(SEARCH("_10x", J111)), "10x", "1x")))</f>
        <v>5x</v>
      </c>
      <c r="S111">
        <v>1</v>
      </c>
      <c r="U111">
        <v>1</v>
      </c>
      <c r="X111" t="str">
        <f t="shared" si="23"/>
        <v/>
      </c>
      <c r="Y111" t="str">
        <f t="shared" si="24"/>
        <v/>
      </c>
      <c r="Z111">
        <f t="shared" si="25"/>
        <v>49152</v>
      </c>
      <c r="AA111" t="str">
        <f t="shared" si="26"/>
        <v/>
      </c>
      <c r="AB111">
        <f t="shared" si="27"/>
        <v>49152</v>
      </c>
      <c r="AC111" t="str">
        <f t="shared" si="28"/>
        <v/>
      </c>
      <c r="AD111" t="str">
        <f t="shared" si="29"/>
        <v/>
      </c>
    </row>
    <row r="112" spans="10:30">
      <c r="J112" t="s">
        <v>380</v>
      </c>
      <c r="K112" t="s">
        <v>126</v>
      </c>
      <c r="L112">
        <v>71303168</v>
      </c>
      <c r="M112" t="s">
        <v>296</v>
      </c>
      <c r="N112" t="s">
        <v>394</v>
      </c>
      <c r="O112" t="s">
        <v>395</v>
      </c>
      <c r="P112" t="str">
        <f>IF(ISNUMBER(SEARCH("_2x", J112)), "2x", IF(ISNUMBER(SEARCH("_5x", J112)), "5x", IF(ISNUMBER(SEARCH("_10x", J112)), "10x", "1x")))</f>
        <v>5x</v>
      </c>
      <c r="S112">
        <v>1</v>
      </c>
      <c r="X112" t="str">
        <f t="shared" si="23"/>
        <v/>
      </c>
      <c r="Y112" t="str">
        <f t="shared" si="24"/>
        <v/>
      </c>
      <c r="Z112">
        <f t="shared" si="25"/>
        <v>71303168</v>
      </c>
      <c r="AA112" t="str">
        <f t="shared" si="26"/>
        <v/>
      </c>
      <c r="AB112" t="str">
        <f t="shared" si="27"/>
        <v/>
      </c>
      <c r="AC112" t="str">
        <f t="shared" si="28"/>
        <v/>
      </c>
      <c r="AD112" t="str">
        <f t="shared" si="29"/>
        <v/>
      </c>
    </row>
    <row r="113" spans="10:30">
      <c r="J113" t="s">
        <v>380</v>
      </c>
      <c r="K113" t="s">
        <v>130</v>
      </c>
      <c r="L113">
        <v>745472</v>
      </c>
      <c r="M113" t="s">
        <v>131</v>
      </c>
      <c r="N113" t="s">
        <v>132</v>
      </c>
      <c r="O113" t="s">
        <v>111</v>
      </c>
      <c r="P113" t="str">
        <f>IF(ISNUMBER(SEARCH("_2x", J113)), "2x", IF(ISNUMBER(SEARCH("_5x", J113)), "5x", IF(ISNUMBER(SEARCH("_10x", J113)), "10x", "1x")))</f>
        <v>5x</v>
      </c>
      <c r="U113">
        <v>1</v>
      </c>
      <c r="X113" t="str">
        <f t="shared" si="23"/>
        <v/>
      </c>
      <c r="Y113" t="str">
        <f t="shared" si="24"/>
        <v/>
      </c>
      <c r="Z113" t="str">
        <f t="shared" si="25"/>
        <v/>
      </c>
      <c r="AA113" t="str">
        <f t="shared" si="26"/>
        <v/>
      </c>
      <c r="AB113">
        <f t="shared" si="27"/>
        <v>745472</v>
      </c>
      <c r="AC113" t="str">
        <f t="shared" si="28"/>
        <v/>
      </c>
      <c r="AD113" t="str">
        <f t="shared" si="29"/>
        <v/>
      </c>
    </row>
    <row r="114" spans="10:30">
      <c r="J114" t="s">
        <v>380</v>
      </c>
      <c r="K114" t="s">
        <v>76</v>
      </c>
      <c r="L114">
        <v>360235008</v>
      </c>
      <c r="M114" t="s">
        <v>377</v>
      </c>
      <c r="N114" t="s">
        <v>378</v>
      </c>
      <c r="O114" t="s">
        <v>379</v>
      </c>
      <c r="P114" t="str">
        <f>IF(ISNUMBER(SEARCH("_2x", J114)), "2x", IF(ISNUMBER(SEARCH("_5x", J114)), "5x", IF(ISNUMBER(SEARCH("_10x", J114)), "10x", "1x")))</f>
        <v>5x</v>
      </c>
      <c r="R114">
        <v>1</v>
      </c>
      <c r="S114">
        <v>1</v>
      </c>
      <c r="U114">
        <v>1</v>
      </c>
      <c r="X114" t="str">
        <f t="shared" ref="X114:X177" si="30">IF(Q114=1,$L114,"")</f>
        <v/>
      </c>
      <c r="Y114">
        <f t="shared" ref="Y114:Y177" si="31">IF(R114=1,$L114,"")</f>
        <v>360235008</v>
      </c>
      <c r="Z114">
        <f t="shared" ref="Z114:Z177" si="32">IF(S114=1,$L114,"")</f>
        <v>360235008</v>
      </c>
      <c r="AA114" t="str">
        <f t="shared" ref="AA114:AA177" si="33">IF(T114=1,$L114,"")</f>
        <v/>
      </c>
      <c r="AB114">
        <f t="shared" ref="AB114:AB177" si="34">IF(U114=1,$L114,"")</f>
        <v>360235008</v>
      </c>
      <c r="AC114" t="str">
        <f t="shared" ref="AC114:AC177" si="35">IF(V114=1,$L114,"")</f>
        <v/>
      </c>
      <c r="AD114" t="str">
        <f t="shared" ref="AD114:AD177" si="36">IF(W114=1,$L114,"")</f>
        <v/>
      </c>
    </row>
    <row r="115" spans="10:30">
      <c r="J115" t="s">
        <v>380</v>
      </c>
      <c r="K115" t="s">
        <v>133</v>
      </c>
      <c r="L115">
        <v>16384</v>
      </c>
      <c r="M115" t="s">
        <v>111</v>
      </c>
      <c r="N115" t="s">
        <v>134</v>
      </c>
      <c r="O115" t="s">
        <v>110</v>
      </c>
      <c r="P115" t="str">
        <f>IF(ISNUMBER(SEARCH("_2x", J115)), "2x", IF(ISNUMBER(SEARCH("_5x", J115)), "5x", IF(ISNUMBER(SEARCH("_10x", J115)), "10x", "1x")))</f>
        <v>5x</v>
      </c>
      <c r="R115">
        <v>1</v>
      </c>
      <c r="S115">
        <v>1</v>
      </c>
      <c r="U115">
        <v>1</v>
      </c>
      <c r="X115" t="str">
        <f t="shared" si="30"/>
        <v/>
      </c>
      <c r="Y115">
        <f t="shared" si="31"/>
        <v>16384</v>
      </c>
      <c r="Z115">
        <f t="shared" si="32"/>
        <v>16384</v>
      </c>
      <c r="AA115" t="str">
        <f t="shared" si="33"/>
        <v/>
      </c>
      <c r="AB115">
        <f t="shared" si="34"/>
        <v>16384</v>
      </c>
      <c r="AC115" t="str">
        <f t="shared" si="35"/>
        <v/>
      </c>
      <c r="AD115" t="str">
        <f t="shared" si="36"/>
        <v/>
      </c>
    </row>
    <row r="116" spans="10:30">
      <c r="J116" t="s">
        <v>396</v>
      </c>
      <c r="K116" t="s">
        <v>91</v>
      </c>
      <c r="L116">
        <v>70385664</v>
      </c>
      <c r="M116" t="s">
        <v>92</v>
      </c>
      <c r="N116" t="s">
        <v>93</v>
      </c>
      <c r="O116" t="s">
        <v>94</v>
      </c>
      <c r="P116" t="str">
        <f>IF(ISNUMBER(SEARCH("_2x", J116)), "2x", IF(ISNUMBER(SEARCH("_5x", J116)), "5x", IF(ISNUMBER(SEARCH("_10x", J116)), "10x", "1x")))</f>
        <v>5x</v>
      </c>
      <c r="T116">
        <v>1</v>
      </c>
      <c r="V116">
        <v>1</v>
      </c>
      <c r="X116" t="str">
        <f t="shared" si="30"/>
        <v/>
      </c>
      <c r="Y116" t="str">
        <f t="shared" si="31"/>
        <v/>
      </c>
      <c r="Z116" t="str">
        <f t="shared" si="32"/>
        <v/>
      </c>
      <c r="AA116">
        <f t="shared" si="33"/>
        <v>70385664</v>
      </c>
      <c r="AB116" t="str">
        <f t="shared" si="34"/>
        <v/>
      </c>
      <c r="AC116">
        <f t="shared" si="35"/>
        <v>70385664</v>
      </c>
      <c r="AD116" t="str">
        <f t="shared" si="36"/>
        <v/>
      </c>
    </row>
    <row r="117" spans="10:30">
      <c r="J117" t="s">
        <v>396</v>
      </c>
      <c r="K117" t="s">
        <v>95</v>
      </c>
      <c r="L117">
        <v>31948800</v>
      </c>
      <c r="M117" t="s">
        <v>96</v>
      </c>
      <c r="N117" t="s">
        <v>97</v>
      </c>
      <c r="O117" t="s">
        <v>98</v>
      </c>
      <c r="P117" t="str">
        <f>IF(ISNUMBER(SEARCH("_2x", J117)), "2x", IF(ISNUMBER(SEARCH("_5x", J117)), "5x", IF(ISNUMBER(SEARCH("_10x", J117)), "10x", "1x")))</f>
        <v>5x</v>
      </c>
      <c r="T117">
        <v>1</v>
      </c>
      <c r="V117">
        <v>1</v>
      </c>
      <c r="X117" t="str">
        <f t="shared" si="30"/>
        <v/>
      </c>
      <c r="Y117" t="str">
        <f t="shared" si="31"/>
        <v/>
      </c>
      <c r="Z117" t="str">
        <f t="shared" si="32"/>
        <v/>
      </c>
      <c r="AA117">
        <f t="shared" si="33"/>
        <v>31948800</v>
      </c>
      <c r="AB117" t="str">
        <f t="shared" si="34"/>
        <v/>
      </c>
      <c r="AC117">
        <f t="shared" si="35"/>
        <v>31948800</v>
      </c>
      <c r="AD117" t="str">
        <f t="shared" si="36"/>
        <v/>
      </c>
    </row>
    <row r="118" spans="10:30">
      <c r="J118" t="s">
        <v>396</v>
      </c>
      <c r="K118" t="s">
        <v>99</v>
      </c>
      <c r="L118">
        <v>156729344</v>
      </c>
      <c r="M118" t="s">
        <v>381</v>
      </c>
      <c r="N118" t="s">
        <v>382</v>
      </c>
      <c r="O118" t="s">
        <v>383</v>
      </c>
      <c r="P118" t="str">
        <f>IF(ISNUMBER(SEARCH("_2x", J118)), "2x", IF(ISNUMBER(SEARCH("_5x", J118)), "5x", IF(ISNUMBER(SEARCH("_10x", J118)), "10x", "1x")))</f>
        <v>5x</v>
      </c>
      <c r="V118">
        <v>1</v>
      </c>
      <c r="X118" t="str">
        <f t="shared" si="30"/>
        <v/>
      </c>
      <c r="Y118" t="str">
        <f t="shared" si="31"/>
        <v/>
      </c>
      <c r="Z118" t="str">
        <f t="shared" si="32"/>
        <v/>
      </c>
      <c r="AA118" t="str">
        <f t="shared" si="33"/>
        <v/>
      </c>
      <c r="AB118" t="str">
        <f t="shared" si="34"/>
        <v/>
      </c>
      <c r="AC118">
        <f t="shared" si="35"/>
        <v>156729344</v>
      </c>
      <c r="AD118" t="str">
        <f t="shared" si="36"/>
        <v/>
      </c>
    </row>
    <row r="119" spans="10:30">
      <c r="J119" t="s">
        <v>396</v>
      </c>
      <c r="K119" t="s">
        <v>103</v>
      </c>
      <c r="L119">
        <v>312451072</v>
      </c>
      <c r="M119" t="s">
        <v>384</v>
      </c>
      <c r="N119" t="s">
        <v>385</v>
      </c>
      <c r="O119" t="s">
        <v>383</v>
      </c>
      <c r="P119" t="str">
        <f>IF(ISNUMBER(SEARCH("_2x", J119)), "2x", IF(ISNUMBER(SEARCH("_5x", J119)), "5x", IF(ISNUMBER(SEARCH("_10x", J119)), "10x", "1x")))</f>
        <v>5x</v>
      </c>
      <c r="T119">
        <v>1</v>
      </c>
      <c r="V119">
        <v>1</v>
      </c>
      <c r="X119" t="str">
        <f t="shared" si="30"/>
        <v/>
      </c>
      <c r="Y119" t="str">
        <f t="shared" si="31"/>
        <v/>
      </c>
      <c r="Z119" t="str">
        <f t="shared" si="32"/>
        <v/>
      </c>
      <c r="AA119">
        <f t="shared" si="33"/>
        <v>312451072</v>
      </c>
      <c r="AB119" t="str">
        <f t="shared" si="34"/>
        <v/>
      </c>
      <c r="AC119">
        <f t="shared" si="35"/>
        <v>312451072</v>
      </c>
      <c r="AD119" t="str">
        <f t="shared" si="36"/>
        <v/>
      </c>
    </row>
    <row r="120" spans="10:30">
      <c r="J120" t="s">
        <v>396</v>
      </c>
      <c r="K120" t="s">
        <v>105</v>
      </c>
      <c r="L120">
        <v>36028416</v>
      </c>
      <c r="M120" t="s">
        <v>397</v>
      </c>
      <c r="N120" t="s">
        <v>140</v>
      </c>
      <c r="O120" t="s">
        <v>398</v>
      </c>
      <c r="P120" t="str">
        <f>IF(ISNUMBER(SEARCH("_2x", J120)), "2x", IF(ISNUMBER(SEARCH("_5x", J120)), "5x", IF(ISNUMBER(SEARCH("_10x", J120)), "10x", "1x")))</f>
        <v>5x</v>
      </c>
      <c r="T120">
        <v>1</v>
      </c>
      <c r="V120">
        <v>1</v>
      </c>
      <c r="X120" t="str">
        <f t="shared" si="30"/>
        <v/>
      </c>
      <c r="Y120" t="str">
        <f t="shared" si="31"/>
        <v/>
      </c>
      <c r="Z120" t="str">
        <f t="shared" si="32"/>
        <v/>
      </c>
      <c r="AA120">
        <f t="shared" si="33"/>
        <v>36028416</v>
      </c>
      <c r="AB120" t="str">
        <f t="shared" si="34"/>
        <v/>
      </c>
      <c r="AC120">
        <f t="shared" si="35"/>
        <v>36028416</v>
      </c>
      <c r="AD120" t="str">
        <f t="shared" si="36"/>
        <v/>
      </c>
    </row>
    <row r="121" spans="10:30">
      <c r="J121" t="s">
        <v>396</v>
      </c>
      <c r="K121" t="s">
        <v>108</v>
      </c>
      <c r="L121">
        <v>526032896</v>
      </c>
      <c r="M121" t="s">
        <v>399</v>
      </c>
      <c r="N121" t="s">
        <v>400</v>
      </c>
      <c r="O121" t="s">
        <v>401</v>
      </c>
      <c r="P121" t="str">
        <f>IF(ISNUMBER(SEARCH("_2x", J121)), "2x", IF(ISNUMBER(SEARCH("_5x", J121)), "5x", IF(ISNUMBER(SEARCH("_10x", J121)), "10x", "1x")))</f>
        <v>5x</v>
      </c>
      <c r="T121">
        <v>1</v>
      </c>
      <c r="V121">
        <v>1</v>
      </c>
      <c r="X121" t="str">
        <f t="shared" si="30"/>
        <v/>
      </c>
      <c r="Y121" t="str">
        <f t="shared" si="31"/>
        <v/>
      </c>
      <c r="Z121" t="str">
        <f t="shared" si="32"/>
        <v/>
      </c>
      <c r="AA121">
        <f t="shared" si="33"/>
        <v>526032896</v>
      </c>
      <c r="AB121" t="str">
        <f t="shared" si="34"/>
        <v/>
      </c>
      <c r="AC121">
        <f t="shared" si="35"/>
        <v>526032896</v>
      </c>
      <c r="AD121" t="str">
        <f t="shared" si="36"/>
        <v/>
      </c>
    </row>
    <row r="122" spans="10:30">
      <c r="J122" t="s">
        <v>396</v>
      </c>
      <c r="K122" t="s">
        <v>112</v>
      </c>
      <c r="L122">
        <v>1912143872</v>
      </c>
      <c r="M122" t="s">
        <v>402</v>
      </c>
      <c r="N122" t="s">
        <v>89</v>
      </c>
      <c r="O122" t="s">
        <v>403</v>
      </c>
      <c r="P122" t="str">
        <f>IF(ISNUMBER(SEARCH("_2x", J122)), "2x", IF(ISNUMBER(SEARCH("_5x", J122)), "5x", IF(ISNUMBER(SEARCH("_10x", J122)), "10x", "1x")))</f>
        <v>5x</v>
      </c>
      <c r="T122">
        <v>1</v>
      </c>
      <c r="V122">
        <v>1</v>
      </c>
      <c r="X122" t="str">
        <f t="shared" si="30"/>
        <v/>
      </c>
      <c r="Y122" t="str">
        <f t="shared" si="31"/>
        <v/>
      </c>
      <c r="Z122" t="str">
        <f t="shared" si="32"/>
        <v/>
      </c>
      <c r="AA122">
        <f t="shared" si="33"/>
        <v>1912143872</v>
      </c>
      <c r="AB122" t="str">
        <f t="shared" si="34"/>
        <v/>
      </c>
      <c r="AC122">
        <f t="shared" si="35"/>
        <v>1912143872</v>
      </c>
      <c r="AD122" t="str">
        <f t="shared" si="36"/>
        <v/>
      </c>
    </row>
    <row r="123" spans="10:30">
      <c r="J123" t="s">
        <v>396</v>
      </c>
      <c r="K123" t="s">
        <v>116</v>
      </c>
      <c r="L123">
        <v>44326912</v>
      </c>
      <c r="M123" t="s">
        <v>335</v>
      </c>
      <c r="N123" t="s">
        <v>156</v>
      </c>
      <c r="O123" t="s">
        <v>404</v>
      </c>
      <c r="P123" t="str">
        <f>IF(ISNUMBER(SEARCH("_2x", J123)), "2x", IF(ISNUMBER(SEARCH("_5x", J123)), "5x", IF(ISNUMBER(SEARCH("_10x", J123)), "10x", "1x")))</f>
        <v>5x</v>
      </c>
      <c r="T123">
        <v>1</v>
      </c>
      <c r="V123">
        <v>1</v>
      </c>
      <c r="X123" t="str">
        <f t="shared" si="30"/>
        <v/>
      </c>
      <c r="Y123" t="str">
        <f t="shared" si="31"/>
        <v/>
      </c>
      <c r="Z123" t="str">
        <f t="shared" si="32"/>
        <v/>
      </c>
      <c r="AA123">
        <f t="shared" si="33"/>
        <v>44326912</v>
      </c>
      <c r="AB123" t="str">
        <f t="shared" si="34"/>
        <v/>
      </c>
      <c r="AC123">
        <f t="shared" si="35"/>
        <v>44326912</v>
      </c>
      <c r="AD123" t="str">
        <f t="shared" si="36"/>
        <v/>
      </c>
    </row>
    <row r="124" spans="10:30">
      <c r="J124" t="s">
        <v>396</v>
      </c>
      <c r="K124" t="s">
        <v>120</v>
      </c>
      <c r="L124">
        <v>677388288</v>
      </c>
      <c r="M124" t="s">
        <v>405</v>
      </c>
      <c r="N124" t="s">
        <v>406</v>
      </c>
      <c r="O124" t="s">
        <v>407</v>
      </c>
      <c r="P124" t="str">
        <f>IF(ISNUMBER(SEARCH("_2x", J124)), "2x", IF(ISNUMBER(SEARCH("_5x", J124)), "5x", IF(ISNUMBER(SEARCH("_10x", J124)), "10x", "1x")))</f>
        <v>5x</v>
      </c>
      <c r="T124">
        <v>1</v>
      </c>
      <c r="V124">
        <v>1</v>
      </c>
      <c r="X124" t="str">
        <f t="shared" si="30"/>
        <v/>
      </c>
      <c r="Y124" t="str">
        <f t="shared" si="31"/>
        <v/>
      </c>
      <c r="Z124" t="str">
        <f t="shared" si="32"/>
        <v/>
      </c>
      <c r="AA124">
        <f t="shared" si="33"/>
        <v>677388288</v>
      </c>
      <c r="AB124" t="str">
        <f t="shared" si="34"/>
        <v/>
      </c>
      <c r="AC124">
        <f t="shared" si="35"/>
        <v>677388288</v>
      </c>
      <c r="AD124" t="str">
        <f t="shared" si="36"/>
        <v/>
      </c>
    </row>
    <row r="125" spans="10:30">
      <c r="J125" t="s">
        <v>396</v>
      </c>
      <c r="K125" t="s">
        <v>73</v>
      </c>
      <c r="L125">
        <v>1564672</v>
      </c>
      <c r="M125" t="s">
        <v>408</v>
      </c>
      <c r="N125" t="s">
        <v>98</v>
      </c>
      <c r="O125" t="s">
        <v>409</v>
      </c>
      <c r="P125" t="str">
        <f>IF(ISNUMBER(SEARCH("_2x", J125)), "2x", IF(ISNUMBER(SEARCH("_5x", J125)), "5x", IF(ISNUMBER(SEARCH("_10x", J125)), "10x", "1x")))</f>
        <v>5x</v>
      </c>
      <c r="T125">
        <v>1</v>
      </c>
      <c r="V125">
        <v>1</v>
      </c>
      <c r="X125" t="str">
        <f t="shared" si="30"/>
        <v/>
      </c>
      <c r="Y125" t="str">
        <f t="shared" si="31"/>
        <v/>
      </c>
      <c r="Z125" t="str">
        <f t="shared" si="32"/>
        <v/>
      </c>
      <c r="AA125">
        <f t="shared" si="33"/>
        <v>1564672</v>
      </c>
      <c r="AB125" t="str">
        <f t="shared" si="34"/>
        <v/>
      </c>
      <c r="AC125">
        <f t="shared" si="35"/>
        <v>1564672</v>
      </c>
      <c r="AD125" t="str">
        <f t="shared" si="36"/>
        <v/>
      </c>
    </row>
    <row r="126" spans="10:30">
      <c r="J126" t="s">
        <v>396</v>
      </c>
      <c r="K126" t="s">
        <v>124</v>
      </c>
      <c r="L126">
        <v>77709312</v>
      </c>
      <c r="M126" t="s">
        <v>410</v>
      </c>
      <c r="N126" t="s">
        <v>411</v>
      </c>
      <c r="O126" t="s">
        <v>398</v>
      </c>
      <c r="P126" t="str">
        <f>IF(ISNUMBER(SEARCH("_2x", J126)), "2x", IF(ISNUMBER(SEARCH("_5x", J126)), "5x", IF(ISNUMBER(SEARCH("_10x", J126)), "10x", "1x")))</f>
        <v>5x</v>
      </c>
      <c r="T126">
        <v>1</v>
      </c>
      <c r="V126">
        <v>1</v>
      </c>
      <c r="X126" t="str">
        <f t="shared" si="30"/>
        <v/>
      </c>
      <c r="Y126" t="str">
        <f t="shared" si="31"/>
        <v/>
      </c>
      <c r="Z126" t="str">
        <f t="shared" si="32"/>
        <v/>
      </c>
      <c r="AA126">
        <f t="shared" si="33"/>
        <v>77709312</v>
      </c>
      <c r="AB126" t="str">
        <f t="shared" si="34"/>
        <v/>
      </c>
      <c r="AC126">
        <f t="shared" si="35"/>
        <v>77709312</v>
      </c>
      <c r="AD126" t="str">
        <f t="shared" si="36"/>
        <v/>
      </c>
    </row>
    <row r="127" spans="10:30">
      <c r="J127" t="s">
        <v>396</v>
      </c>
      <c r="K127" t="s">
        <v>126</v>
      </c>
      <c r="L127">
        <v>1228800</v>
      </c>
      <c r="M127" t="s">
        <v>412</v>
      </c>
      <c r="N127" t="s">
        <v>413</v>
      </c>
      <c r="O127" t="s">
        <v>125</v>
      </c>
      <c r="P127" t="str">
        <f>IF(ISNUMBER(SEARCH("_2x", J127)), "2x", IF(ISNUMBER(SEARCH("_5x", J127)), "5x", IF(ISNUMBER(SEARCH("_10x", J127)), "10x", "1x")))</f>
        <v>5x</v>
      </c>
      <c r="X127" t="str">
        <f t="shared" si="30"/>
        <v/>
      </c>
      <c r="Y127" t="str">
        <f t="shared" si="31"/>
        <v/>
      </c>
      <c r="Z127" t="str">
        <f t="shared" si="32"/>
        <v/>
      </c>
      <c r="AA127" t="str">
        <f t="shared" si="33"/>
        <v/>
      </c>
      <c r="AB127" t="str">
        <f t="shared" si="34"/>
        <v/>
      </c>
      <c r="AC127" t="str">
        <f t="shared" si="35"/>
        <v/>
      </c>
      <c r="AD127" t="str">
        <f t="shared" si="36"/>
        <v/>
      </c>
    </row>
    <row r="128" spans="10:30">
      <c r="J128" t="s">
        <v>396</v>
      </c>
      <c r="K128" t="s">
        <v>198</v>
      </c>
      <c r="L128">
        <v>63922176</v>
      </c>
      <c r="M128" t="s">
        <v>260</v>
      </c>
      <c r="N128" t="s">
        <v>146</v>
      </c>
      <c r="O128" t="s">
        <v>398</v>
      </c>
      <c r="P128" t="str">
        <f>IF(ISNUMBER(SEARCH("_2x", J128)), "2x", IF(ISNUMBER(SEARCH("_5x", J128)), "5x", IF(ISNUMBER(SEARCH("_10x", J128)), "10x", "1x")))</f>
        <v>5x</v>
      </c>
      <c r="X128" t="str">
        <f t="shared" si="30"/>
        <v/>
      </c>
      <c r="Y128" t="str">
        <f t="shared" si="31"/>
        <v/>
      </c>
      <c r="Z128" t="str">
        <f t="shared" si="32"/>
        <v/>
      </c>
      <c r="AA128" t="str">
        <f t="shared" si="33"/>
        <v/>
      </c>
      <c r="AB128" t="str">
        <f t="shared" si="34"/>
        <v/>
      </c>
      <c r="AC128" t="str">
        <f t="shared" si="35"/>
        <v/>
      </c>
      <c r="AD128" t="str">
        <f t="shared" si="36"/>
        <v/>
      </c>
    </row>
    <row r="129" spans="1:30">
      <c r="J129" t="s">
        <v>396</v>
      </c>
      <c r="K129" t="s">
        <v>130</v>
      </c>
      <c r="L129">
        <v>745472</v>
      </c>
      <c r="M129" t="s">
        <v>131</v>
      </c>
      <c r="N129" t="s">
        <v>132</v>
      </c>
      <c r="O129" t="s">
        <v>111</v>
      </c>
      <c r="P129" t="str">
        <f>IF(ISNUMBER(SEARCH("_2x", J129)), "2x", IF(ISNUMBER(SEARCH("_5x", J129)), "5x", IF(ISNUMBER(SEARCH("_10x", J129)), "10x", "1x")))</f>
        <v>5x</v>
      </c>
      <c r="V129">
        <v>1</v>
      </c>
      <c r="X129" t="str">
        <f t="shared" si="30"/>
        <v/>
      </c>
      <c r="Y129" t="str">
        <f t="shared" si="31"/>
        <v/>
      </c>
      <c r="Z129" t="str">
        <f t="shared" si="32"/>
        <v/>
      </c>
      <c r="AA129" t="str">
        <f t="shared" si="33"/>
        <v/>
      </c>
      <c r="AB129" t="str">
        <f t="shared" si="34"/>
        <v/>
      </c>
      <c r="AC129">
        <f t="shared" si="35"/>
        <v>745472</v>
      </c>
      <c r="AD129" t="str">
        <f t="shared" si="36"/>
        <v/>
      </c>
    </row>
    <row r="130" spans="1:30">
      <c r="J130" t="s">
        <v>396</v>
      </c>
      <c r="K130" t="s">
        <v>76</v>
      </c>
      <c r="L130">
        <v>366960640</v>
      </c>
      <c r="M130" t="s">
        <v>414</v>
      </c>
      <c r="N130" t="s">
        <v>378</v>
      </c>
      <c r="O130" t="s">
        <v>88</v>
      </c>
      <c r="P130" t="str">
        <f>IF(ISNUMBER(SEARCH("_2x", J130)), "2x", IF(ISNUMBER(SEARCH("_5x", J130)), "5x", IF(ISNUMBER(SEARCH("_10x", J130)), "10x", "1x")))</f>
        <v>5x</v>
      </c>
      <c r="T130">
        <v>1</v>
      </c>
      <c r="V130">
        <v>1</v>
      </c>
      <c r="X130" t="str">
        <f t="shared" si="30"/>
        <v/>
      </c>
      <c r="Y130" t="str">
        <f t="shared" si="31"/>
        <v/>
      </c>
      <c r="Z130" t="str">
        <f t="shared" si="32"/>
        <v/>
      </c>
      <c r="AA130">
        <f t="shared" si="33"/>
        <v>366960640</v>
      </c>
      <c r="AB130" t="str">
        <f t="shared" si="34"/>
        <v/>
      </c>
      <c r="AC130">
        <f t="shared" si="35"/>
        <v>366960640</v>
      </c>
      <c r="AD130" t="str">
        <f t="shared" si="36"/>
        <v/>
      </c>
    </row>
    <row r="131" spans="1:30">
      <c r="J131" t="s">
        <v>415</v>
      </c>
      <c r="K131" t="s">
        <v>240</v>
      </c>
      <c r="L131">
        <v>16384</v>
      </c>
      <c r="M131" t="s">
        <v>111</v>
      </c>
      <c r="N131" t="s">
        <v>134</v>
      </c>
      <c r="O131" t="s">
        <v>110</v>
      </c>
      <c r="P131" t="str">
        <f>IF(ISNUMBER(SEARCH("_2x", J131)), "2x", IF(ISNUMBER(SEARCH("_5x", J131)), "5x", IF(ISNUMBER(SEARCH("_10x", J131)), "10x", "1x")))</f>
        <v>5x</v>
      </c>
      <c r="W131">
        <v>1</v>
      </c>
      <c r="X131" t="str">
        <f t="shared" si="30"/>
        <v/>
      </c>
      <c r="Y131" t="str">
        <f t="shared" si="31"/>
        <v/>
      </c>
      <c r="Z131" t="str">
        <f t="shared" si="32"/>
        <v/>
      </c>
      <c r="AA131" t="str">
        <f t="shared" si="33"/>
        <v/>
      </c>
      <c r="AB131" t="str">
        <f t="shared" si="34"/>
        <v/>
      </c>
      <c r="AC131" t="str">
        <f t="shared" si="35"/>
        <v/>
      </c>
      <c r="AD131">
        <f t="shared" si="36"/>
        <v>16384</v>
      </c>
    </row>
    <row r="132" spans="1:30">
      <c r="J132" t="s">
        <v>415</v>
      </c>
      <c r="K132" t="s">
        <v>241</v>
      </c>
      <c r="L132">
        <v>70574080</v>
      </c>
      <c r="M132" t="s">
        <v>92</v>
      </c>
      <c r="N132" t="s">
        <v>242</v>
      </c>
      <c r="O132" t="s">
        <v>243</v>
      </c>
      <c r="P132" t="str">
        <f>IF(ISNUMBER(SEARCH("_2x", J132)), "2x", IF(ISNUMBER(SEARCH("_5x", J132)), "5x", IF(ISNUMBER(SEARCH("_10x", J132)), "10x", "1x")))</f>
        <v>5x</v>
      </c>
      <c r="W132">
        <v>1</v>
      </c>
      <c r="X132" t="str">
        <f t="shared" si="30"/>
        <v/>
      </c>
      <c r="Y132" t="str">
        <f t="shared" si="31"/>
        <v/>
      </c>
      <c r="Z132" t="str">
        <f t="shared" si="32"/>
        <v/>
      </c>
      <c r="AA132" t="str">
        <f t="shared" si="33"/>
        <v/>
      </c>
      <c r="AB132" t="str">
        <f t="shared" si="34"/>
        <v/>
      </c>
      <c r="AC132" t="str">
        <f t="shared" si="35"/>
        <v/>
      </c>
      <c r="AD132">
        <f t="shared" si="36"/>
        <v>70574080</v>
      </c>
    </row>
    <row r="133" spans="1:30">
      <c r="J133" t="s">
        <v>415</v>
      </c>
      <c r="K133" t="s">
        <v>244</v>
      </c>
      <c r="L133">
        <v>23977984</v>
      </c>
      <c r="M133" t="s">
        <v>245</v>
      </c>
      <c r="N133" t="s">
        <v>122</v>
      </c>
      <c r="O133" t="s">
        <v>246</v>
      </c>
      <c r="P133" t="str">
        <f>IF(ISNUMBER(SEARCH("_2x", J133)), "2x", IF(ISNUMBER(SEARCH("_5x", J133)), "5x", IF(ISNUMBER(SEARCH("_10x", J133)), "10x", "1x")))</f>
        <v>5x</v>
      </c>
      <c r="W133">
        <v>1</v>
      </c>
      <c r="X133" t="str">
        <f t="shared" si="30"/>
        <v/>
      </c>
      <c r="Y133" t="str">
        <f t="shared" si="31"/>
        <v/>
      </c>
      <c r="Z133" t="str">
        <f t="shared" si="32"/>
        <v/>
      </c>
      <c r="AA133" t="str">
        <f t="shared" si="33"/>
        <v/>
      </c>
      <c r="AB133" t="str">
        <f t="shared" si="34"/>
        <v/>
      </c>
      <c r="AC133" t="str">
        <f t="shared" si="35"/>
        <v/>
      </c>
      <c r="AD133">
        <f t="shared" si="36"/>
        <v>23977984</v>
      </c>
    </row>
    <row r="134" spans="1:30">
      <c r="J134" t="s">
        <v>415</v>
      </c>
      <c r="K134" t="s">
        <v>99</v>
      </c>
      <c r="L134">
        <v>156729344</v>
      </c>
      <c r="M134" t="s">
        <v>381</v>
      </c>
      <c r="N134" t="s">
        <v>382</v>
      </c>
      <c r="O134" t="s">
        <v>383</v>
      </c>
      <c r="P134" t="str">
        <f>IF(ISNUMBER(SEARCH("_2x", J134)), "2x", IF(ISNUMBER(SEARCH("_5x", J134)), "5x", IF(ISNUMBER(SEARCH("_10x", J134)), "10x", "1x")))</f>
        <v>5x</v>
      </c>
      <c r="W134">
        <v>1</v>
      </c>
      <c r="X134" t="str">
        <f t="shared" si="30"/>
        <v/>
      </c>
      <c r="Y134" t="str">
        <f t="shared" si="31"/>
        <v/>
      </c>
      <c r="Z134" t="str">
        <f t="shared" si="32"/>
        <v/>
      </c>
      <c r="AA134" t="str">
        <f t="shared" si="33"/>
        <v/>
      </c>
      <c r="AB134" t="str">
        <f t="shared" si="34"/>
        <v/>
      </c>
      <c r="AC134" t="str">
        <f t="shared" si="35"/>
        <v/>
      </c>
      <c r="AD134">
        <f t="shared" si="36"/>
        <v>156729344</v>
      </c>
    </row>
    <row r="135" spans="1:30">
      <c r="J135" t="s">
        <v>415</v>
      </c>
      <c r="K135" t="s">
        <v>103</v>
      </c>
      <c r="L135">
        <v>312451072</v>
      </c>
      <c r="M135" t="s">
        <v>384</v>
      </c>
      <c r="N135" t="s">
        <v>385</v>
      </c>
      <c r="O135" t="s">
        <v>383</v>
      </c>
      <c r="P135" t="str">
        <f>IF(ISNUMBER(SEARCH("_2x", J135)), "2x", IF(ISNUMBER(SEARCH("_5x", J135)), "5x", IF(ISNUMBER(SEARCH("_10x", J135)), "10x", "1x")))</f>
        <v>5x</v>
      </c>
      <c r="W135">
        <v>1</v>
      </c>
      <c r="X135" t="str">
        <f t="shared" si="30"/>
        <v/>
      </c>
      <c r="Y135" t="str">
        <f t="shared" si="31"/>
        <v/>
      </c>
      <c r="Z135" t="str">
        <f t="shared" si="32"/>
        <v/>
      </c>
      <c r="AA135" t="str">
        <f t="shared" si="33"/>
        <v/>
      </c>
      <c r="AB135" t="str">
        <f t="shared" si="34"/>
        <v/>
      </c>
      <c r="AC135" t="str">
        <f t="shared" si="35"/>
        <v/>
      </c>
      <c r="AD135">
        <f t="shared" si="36"/>
        <v>312451072</v>
      </c>
    </row>
    <row r="136" spans="1:30">
      <c r="J136" t="s">
        <v>415</v>
      </c>
      <c r="K136" t="s">
        <v>105</v>
      </c>
      <c r="L136">
        <v>96960512</v>
      </c>
      <c r="M136" t="s">
        <v>416</v>
      </c>
      <c r="N136" t="s">
        <v>417</v>
      </c>
      <c r="O136" t="s">
        <v>418</v>
      </c>
      <c r="P136" t="str">
        <f>IF(ISNUMBER(SEARCH("_2x", J136)), "2x", IF(ISNUMBER(SEARCH("_5x", J136)), "5x", IF(ISNUMBER(SEARCH("_10x", J136)), "10x", "1x")))</f>
        <v>5x</v>
      </c>
      <c r="W136">
        <v>1</v>
      </c>
      <c r="X136" t="str">
        <f t="shared" si="30"/>
        <v/>
      </c>
      <c r="Y136" t="str">
        <f t="shared" si="31"/>
        <v/>
      </c>
      <c r="Z136" t="str">
        <f t="shared" si="32"/>
        <v/>
      </c>
      <c r="AA136" t="str">
        <f t="shared" si="33"/>
        <v/>
      </c>
      <c r="AB136" t="str">
        <f t="shared" si="34"/>
        <v/>
      </c>
      <c r="AC136" t="str">
        <f t="shared" si="35"/>
        <v/>
      </c>
      <c r="AD136">
        <f t="shared" si="36"/>
        <v>96960512</v>
      </c>
    </row>
    <row r="137" spans="1:30" ht="14" customHeight="1">
      <c r="A137"/>
      <c r="B137"/>
      <c r="C137"/>
      <c r="D137"/>
      <c r="E137"/>
      <c r="F137"/>
      <c r="G137"/>
      <c r="H137"/>
      <c r="J137" t="s">
        <v>415</v>
      </c>
      <c r="K137" t="s">
        <v>108</v>
      </c>
      <c r="L137">
        <v>1276510208</v>
      </c>
      <c r="M137" t="s">
        <v>419</v>
      </c>
      <c r="N137" t="s">
        <v>188</v>
      </c>
      <c r="O137" t="s">
        <v>418</v>
      </c>
      <c r="P137" t="str">
        <f>IF(ISNUMBER(SEARCH("_2x", J137)), "2x", IF(ISNUMBER(SEARCH("_5x", J137)), "5x", IF(ISNUMBER(SEARCH("_10x", J137)), "10x", "1x")))</f>
        <v>5x</v>
      </c>
      <c r="W137">
        <v>1</v>
      </c>
      <c r="X137" t="str">
        <f t="shared" si="30"/>
        <v/>
      </c>
      <c r="Y137" t="str">
        <f t="shared" si="31"/>
        <v/>
      </c>
      <c r="Z137" t="str">
        <f t="shared" si="32"/>
        <v/>
      </c>
      <c r="AA137" t="str">
        <f t="shared" si="33"/>
        <v/>
      </c>
      <c r="AB137" t="str">
        <f t="shared" si="34"/>
        <v/>
      </c>
      <c r="AC137" t="str">
        <f t="shared" si="35"/>
        <v/>
      </c>
      <c r="AD137">
        <f t="shared" si="36"/>
        <v>1276510208</v>
      </c>
    </row>
    <row r="138" spans="1:30" ht="14" customHeight="1">
      <c r="A138"/>
      <c r="B138"/>
      <c r="C138"/>
      <c r="D138"/>
      <c r="E138"/>
      <c r="F138"/>
      <c r="G138"/>
      <c r="H138"/>
      <c r="J138" t="s">
        <v>415</v>
      </c>
      <c r="K138" t="s">
        <v>112</v>
      </c>
      <c r="L138">
        <v>1174028288</v>
      </c>
      <c r="M138" t="s">
        <v>420</v>
      </c>
      <c r="N138" t="s">
        <v>137</v>
      </c>
      <c r="O138" t="s">
        <v>421</v>
      </c>
      <c r="P138" t="str">
        <f>IF(ISNUMBER(SEARCH("_2x", J138)), "2x", IF(ISNUMBER(SEARCH("_5x", J138)), "5x", IF(ISNUMBER(SEARCH("_10x", J138)), "10x", "1x")))</f>
        <v>5x</v>
      </c>
      <c r="W138">
        <v>1</v>
      </c>
      <c r="X138" t="str">
        <f t="shared" si="30"/>
        <v/>
      </c>
      <c r="Y138" t="str">
        <f t="shared" si="31"/>
        <v/>
      </c>
      <c r="Z138" t="str">
        <f t="shared" si="32"/>
        <v/>
      </c>
      <c r="AA138" t="str">
        <f t="shared" si="33"/>
        <v/>
      </c>
      <c r="AB138" t="str">
        <f t="shared" si="34"/>
        <v/>
      </c>
      <c r="AC138" t="str">
        <f t="shared" si="35"/>
        <v/>
      </c>
      <c r="AD138">
        <f t="shared" si="36"/>
        <v>1174028288</v>
      </c>
    </row>
    <row r="139" spans="1:30" ht="14" customHeight="1">
      <c r="A139"/>
      <c r="B139"/>
      <c r="C139"/>
      <c r="D139"/>
      <c r="E139"/>
      <c r="F139"/>
      <c r="G139"/>
      <c r="H139"/>
      <c r="J139" t="s">
        <v>415</v>
      </c>
      <c r="K139" t="s">
        <v>116</v>
      </c>
      <c r="L139">
        <v>45809664</v>
      </c>
      <c r="M139" t="s">
        <v>155</v>
      </c>
      <c r="N139" t="s">
        <v>339</v>
      </c>
      <c r="O139" t="s">
        <v>422</v>
      </c>
      <c r="P139" t="str">
        <f>IF(ISNUMBER(SEARCH("_2x", J139)), "2x", IF(ISNUMBER(SEARCH("_5x", J139)), "5x", IF(ISNUMBER(SEARCH("_10x", J139)), "10x", "1x")))</f>
        <v>5x</v>
      </c>
      <c r="W139">
        <v>1</v>
      </c>
      <c r="X139" t="str">
        <f t="shared" si="30"/>
        <v/>
      </c>
      <c r="Y139" t="str">
        <f t="shared" si="31"/>
        <v/>
      </c>
      <c r="Z139" t="str">
        <f t="shared" si="32"/>
        <v/>
      </c>
      <c r="AA139" t="str">
        <f t="shared" si="33"/>
        <v/>
      </c>
      <c r="AB139" t="str">
        <f t="shared" si="34"/>
        <v/>
      </c>
      <c r="AC139" t="str">
        <f t="shared" si="35"/>
        <v/>
      </c>
      <c r="AD139">
        <f t="shared" si="36"/>
        <v>45809664</v>
      </c>
    </row>
    <row r="140" spans="1:30" ht="14" customHeight="1">
      <c r="A140"/>
      <c r="B140"/>
      <c r="C140"/>
      <c r="D140"/>
      <c r="E140"/>
      <c r="F140"/>
      <c r="G140"/>
      <c r="H140"/>
      <c r="J140" t="s">
        <v>415</v>
      </c>
      <c r="K140" t="s">
        <v>120</v>
      </c>
      <c r="L140">
        <v>666370048</v>
      </c>
      <c r="M140" t="s">
        <v>423</v>
      </c>
      <c r="N140" t="s">
        <v>424</v>
      </c>
      <c r="O140" t="s">
        <v>422</v>
      </c>
      <c r="P140" t="str">
        <f>IF(ISNUMBER(SEARCH("_2x", J140)), "2x", IF(ISNUMBER(SEARCH("_5x", J140)), "5x", IF(ISNUMBER(SEARCH("_10x", J140)), "10x", "1x")))</f>
        <v>5x</v>
      </c>
      <c r="W140">
        <v>1</v>
      </c>
      <c r="X140" t="str">
        <f t="shared" si="30"/>
        <v/>
      </c>
      <c r="Y140" t="str">
        <f t="shared" si="31"/>
        <v/>
      </c>
      <c r="Z140" t="str">
        <f t="shared" si="32"/>
        <v/>
      </c>
      <c r="AA140" t="str">
        <f t="shared" si="33"/>
        <v/>
      </c>
      <c r="AB140" t="str">
        <f t="shared" si="34"/>
        <v/>
      </c>
      <c r="AC140" t="str">
        <f t="shared" si="35"/>
        <v/>
      </c>
      <c r="AD140">
        <f t="shared" si="36"/>
        <v>666370048</v>
      </c>
    </row>
    <row r="141" spans="1:30" ht="14" customHeight="1">
      <c r="A141"/>
      <c r="B141"/>
      <c r="C141"/>
      <c r="D141"/>
      <c r="E141"/>
      <c r="F141"/>
      <c r="G141"/>
      <c r="H141"/>
      <c r="J141" t="s">
        <v>415</v>
      </c>
      <c r="K141" t="s">
        <v>73</v>
      </c>
      <c r="L141">
        <v>180224</v>
      </c>
      <c r="M141" t="s">
        <v>425</v>
      </c>
      <c r="N141" t="s">
        <v>426</v>
      </c>
      <c r="O141" t="s">
        <v>125</v>
      </c>
      <c r="P141" t="str">
        <f>IF(ISNUMBER(SEARCH("_2x", J141)), "2x", IF(ISNUMBER(SEARCH("_5x", J141)), "5x", IF(ISNUMBER(SEARCH("_10x", J141)), "10x", "1x")))</f>
        <v>5x</v>
      </c>
      <c r="W141">
        <v>1</v>
      </c>
      <c r="X141" t="str">
        <f t="shared" si="30"/>
        <v/>
      </c>
      <c r="Y141" t="str">
        <f t="shared" si="31"/>
        <v/>
      </c>
      <c r="Z141" t="str">
        <f t="shared" si="32"/>
        <v/>
      </c>
      <c r="AA141" t="str">
        <f t="shared" si="33"/>
        <v/>
      </c>
      <c r="AB141" t="str">
        <f t="shared" si="34"/>
        <v/>
      </c>
      <c r="AC141" t="str">
        <f t="shared" si="35"/>
        <v/>
      </c>
      <c r="AD141">
        <f t="shared" si="36"/>
        <v>180224</v>
      </c>
    </row>
    <row r="142" spans="1:30" ht="14" customHeight="1">
      <c r="A142"/>
      <c r="B142"/>
      <c r="C142"/>
      <c r="D142"/>
      <c r="E142"/>
      <c r="F142"/>
      <c r="G142"/>
      <c r="H142"/>
      <c r="J142" t="s">
        <v>415</v>
      </c>
      <c r="K142" t="s">
        <v>258</v>
      </c>
      <c r="L142">
        <v>1359872</v>
      </c>
      <c r="M142" t="s">
        <v>427</v>
      </c>
      <c r="N142" t="s">
        <v>428</v>
      </c>
      <c r="O142" t="s">
        <v>125</v>
      </c>
      <c r="P142" t="str">
        <f>IF(ISNUMBER(SEARCH("_2x", J142)), "2x", IF(ISNUMBER(SEARCH("_5x", J142)), "5x", IF(ISNUMBER(SEARCH("_10x", J142)), "10x", "1x")))</f>
        <v>5x</v>
      </c>
      <c r="W142">
        <v>1</v>
      </c>
      <c r="X142" t="str">
        <f t="shared" si="30"/>
        <v/>
      </c>
      <c r="Y142" t="str">
        <f t="shared" si="31"/>
        <v/>
      </c>
      <c r="Z142" t="str">
        <f t="shared" si="32"/>
        <v/>
      </c>
      <c r="AA142" t="str">
        <f t="shared" si="33"/>
        <v/>
      </c>
      <c r="AB142" t="str">
        <f t="shared" si="34"/>
        <v/>
      </c>
      <c r="AC142" t="str">
        <f t="shared" si="35"/>
        <v/>
      </c>
      <c r="AD142">
        <f t="shared" si="36"/>
        <v>1359872</v>
      </c>
    </row>
    <row r="143" spans="1:30" ht="14" customHeight="1">
      <c r="A143"/>
      <c r="B143"/>
      <c r="C143"/>
      <c r="D143"/>
      <c r="E143"/>
      <c r="F143"/>
      <c r="G143"/>
      <c r="H143"/>
      <c r="J143" t="s">
        <v>415</v>
      </c>
      <c r="K143" t="s">
        <v>130</v>
      </c>
      <c r="L143">
        <v>745472</v>
      </c>
      <c r="M143" t="s">
        <v>131</v>
      </c>
      <c r="N143" t="s">
        <v>132</v>
      </c>
      <c r="O143" t="s">
        <v>111</v>
      </c>
      <c r="P143" t="str">
        <f>IF(ISNUMBER(SEARCH("_2x", J143)), "2x", IF(ISNUMBER(SEARCH("_5x", J143)), "5x", IF(ISNUMBER(SEARCH("_10x", J143)), "10x", "1x")))</f>
        <v>5x</v>
      </c>
      <c r="W143">
        <v>1</v>
      </c>
      <c r="X143" t="str">
        <f t="shared" si="30"/>
        <v/>
      </c>
      <c r="Y143" t="str">
        <f t="shared" si="31"/>
        <v/>
      </c>
      <c r="Z143" t="str">
        <f t="shared" si="32"/>
        <v/>
      </c>
      <c r="AA143" t="str">
        <f t="shared" si="33"/>
        <v/>
      </c>
      <c r="AB143" t="str">
        <f t="shared" si="34"/>
        <v/>
      </c>
      <c r="AC143" t="str">
        <f t="shared" si="35"/>
        <v/>
      </c>
      <c r="AD143">
        <f t="shared" si="36"/>
        <v>745472</v>
      </c>
    </row>
    <row r="144" spans="1:30" ht="14" customHeight="1">
      <c r="A144"/>
      <c r="B144"/>
      <c r="C144"/>
      <c r="D144"/>
      <c r="E144"/>
      <c r="F144"/>
      <c r="G144"/>
      <c r="H144"/>
      <c r="J144" t="s">
        <v>415</v>
      </c>
      <c r="K144" t="s">
        <v>76</v>
      </c>
      <c r="L144">
        <v>44023808</v>
      </c>
      <c r="M144" t="s">
        <v>335</v>
      </c>
      <c r="N144" t="s">
        <v>96</v>
      </c>
      <c r="O144" t="s">
        <v>188</v>
      </c>
      <c r="P144" t="str">
        <f>IF(ISNUMBER(SEARCH("_2x", J144)), "2x", IF(ISNUMBER(SEARCH("_5x", J144)), "5x", IF(ISNUMBER(SEARCH("_10x", J144)), "10x", "1x")))</f>
        <v>5x</v>
      </c>
      <c r="W144">
        <v>1</v>
      </c>
      <c r="X144" t="str">
        <f t="shared" si="30"/>
        <v/>
      </c>
      <c r="Y144" t="str">
        <f t="shared" si="31"/>
        <v/>
      </c>
      <c r="Z144" t="str">
        <f t="shared" si="32"/>
        <v/>
      </c>
      <c r="AA144" t="str">
        <f t="shared" si="33"/>
        <v/>
      </c>
      <c r="AB144" t="str">
        <f t="shared" si="34"/>
        <v/>
      </c>
      <c r="AC144" t="str">
        <f t="shared" si="35"/>
        <v/>
      </c>
      <c r="AD144">
        <f t="shared" si="36"/>
        <v>44023808</v>
      </c>
    </row>
    <row r="145" spans="1:30" ht="14" customHeight="1">
      <c r="A145"/>
      <c r="B145"/>
      <c r="C145"/>
      <c r="D145"/>
      <c r="E145"/>
      <c r="F145"/>
      <c r="G145"/>
      <c r="H145"/>
      <c r="J145" t="s">
        <v>415</v>
      </c>
      <c r="K145" t="s">
        <v>261</v>
      </c>
      <c r="L145">
        <v>353714176</v>
      </c>
      <c r="M145" t="s">
        <v>429</v>
      </c>
      <c r="N145" t="s">
        <v>430</v>
      </c>
      <c r="O145" t="s">
        <v>431</v>
      </c>
      <c r="P145" t="str">
        <f>IF(ISNUMBER(SEARCH("_2x", J145)), "2x", IF(ISNUMBER(SEARCH("_5x", J145)), "5x", IF(ISNUMBER(SEARCH("_10x", J145)), "10x", "1x")))</f>
        <v>5x</v>
      </c>
      <c r="W145">
        <v>1</v>
      </c>
      <c r="X145" t="str">
        <f t="shared" si="30"/>
        <v/>
      </c>
      <c r="Y145" t="str">
        <f t="shared" si="31"/>
        <v/>
      </c>
      <c r="Z145" t="str">
        <f t="shared" si="32"/>
        <v/>
      </c>
      <c r="AA145" t="str">
        <f t="shared" si="33"/>
        <v/>
      </c>
      <c r="AB145" t="str">
        <f t="shared" si="34"/>
        <v/>
      </c>
      <c r="AC145" t="str">
        <f t="shared" si="35"/>
        <v/>
      </c>
      <c r="AD145">
        <f t="shared" si="36"/>
        <v>353714176</v>
      </c>
    </row>
    <row r="146" spans="1:30" ht="14" customHeight="1">
      <c r="A146"/>
      <c r="B146"/>
      <c r="C146"/>
      <c r="D146"/>
      <c r="E146"/>
      <c r="F146"/>
      <c r="G146"/>
      <c r="H146"/>
      <c r="J146" t="s">
        <v>80</v>
      </c>
      <c r="K146" t="s">
        <v>69</v>
      </c>
      <c r="L146">
        <v>6253584384</v>
      </c>
      <c r="M146" t="s">
        <v>81</v>
      </c>
      <c r="N146" t="s">
        <v>82</v>
      </c>
      <c r="O146" t="s">
        <v>83</v>
      </c>
      <c r="P146" t="str">
        <f>IF(ISNUMBER(SEARCH("_2x", J146)), "2x", IF(ISNUMBER(SEARCH("_5x", J146)), "5x", IF(ISNUMBER(SEARCH("_10x", J146)), "10x", "1x")))</f>
        <v>10x</v>
      </c>
      <c r="Q146">
        <v>1</v>
      </c>
      <c r="X146">
        <f t="shared" si="30"/>
        <v>6253584384</v>
      </c>
      <c r="Y146" t="str">
        <f t="shared" si="31"/>
        <v/>
      </c>
      <c r="Z146" t="str">
        <f t="shared" si="32"/>
        <v/>
      </c>
      <c r="AA146" t="str">
        <f t="shared" si="33"/>
        <v/>
      </c>
      <c r="AB146" t="str">
        <f t="shared" si="34"/>
        <v/>
      </c>
      <c r="AC146" t="str">
        <f t="shared" si="35"/>
        <v/>
      </c>
      <c r="AD146" t="str">
        <f t="shared" si="36"/>
        <v/>
      </c>
    </row>
    <row r="147" spans="1:30" ht="14" customHeight="1">
      <c r="A147"/>
      <c r="B147"/>
      <c r="C147"/>
      <c r="D147"/>
      <c r="E147"/>
      <c r="F147"/>
      <c r="G147"/>
      <c r="H147"/>
      <c r="J147" t="s">
        <v>80</v>
      </c>
      <c r="K147" t="s">
        <v>73</v>
      </c>
      <c r="L147">
        <v>181059584</v>
      </c>
      <c r="M147" t="s">
        <v>84</v>
      </c>
      <c r="N147" t="s">
        <v>85</v>
      </c>
      <c r="O147" t="s">
        <v>86</v>
      </c>
      <c r="P147" t="str">
        <f>IF(ISNUMBER(SEARCH("_2x", J147)), "2x", IF(ISNUMBER(SEARCH("_5x", J147)), "5x", IF(ISNUMBER(SEARCH("_10x", J147)), "10x", "1x")))</f>
        <v>10x</v>
      </c>
      <c r="Q147">
        <v>1</v>
      </c>
      <c r="R147">
        <v>1</v>
      </c>
      <c r="X147">
        <f t="shared" si="30"/>
        <v>181059584</v>
      </c>
      <c r="Y147">
        <f t="shared" si="31"/>
        <v>181059584</v>
      </c>
      <c r="Z147" t="str">
        <f t="shared" si="32"/>
        <v/>
      </c>
      <c r="AA147" t="str">
        <f t="shared" si="33"/>
        <v/>
      </c>
      <c r="AB147" t="str">
        <f t="shared" si="34"/>
        <v/>
      </c>
      <c r="AC147" t="str">
        <f t="shared" si="35"/>
        <v/>
      </c>
      <c r="AD147" t="str">
        <f t="shared" si="36"/>
        <v/>
      </c>
    </row>
    <row r="148" spans="1:30">
      <c r="J148" t="s">
        <v>80</v>
      </c>
      <c r="K148" t="s">
        <v>76</v>
      </c>
      <c r="L148">
        <v>720314368</v>
      </c>
      <c r="M148" t="s">
        <v>87</v>
      </c>
      <c r="N148" t="s">
        <v>88</v>
      </c>
      <c r="O148" t="s">
        <v>89</v>
      </c>
      <c r="P148" t="str">
        <f>IF(ISNUMBER(SEARCH("_2x", J148)), "2x", IF(ISNUMBER(SEARCH("_5x", J148)), "5x", IF(ISNUMBER(SEARCH("_10x", J148)), "10x", "1x")))</f>
        <v>10x</v>
      </c>
      <c r="Q148">
        <v>1</v>
      </c>
      <c r="X148">
        <f t="shared" si="30"/>
        <v>720314368</v>
      </c>
      <c r="Y148" t="str">
        <f t="shared" si="31"/>
        <v/>
      </c>
      <c r="Z148" t="str">
        <f t="shared" si="32"/>
        <v/>
      </c>
      <c r="AA148" t="str">
        <f t="shared" si="33"/>
        <v/>
      </c>
      <c r="AB148" t="str">
        <f t="shared" si="34"/>
        <v/>
      </c>
      <c r="AC148" t="str">
        <f t="shared" si="35"/>
        <v/>
      </c>
      <c r="AD148" t="str">
        <f t="shared" si="36"/>
        <v/>
      </c>
    </row>
    <row r="149" spans="1:30">
      <c r="J149" t="s">
        <v>90</v>
      </c>
      <c r="K149" t="s">
        <v>91</v>
      </c>
      <c r="L149">
        <v>70385664</v>
      </c>
      <c r="M149" t="s">
        <v>92</v>
      </c>
      <c r="N149" t="s">
        <v>93</v>
      </c>
      <c r="O149" t="s">
        <v>94</v>
      </c>
      <c r="P149" t="str">
        <f>IF(ISNUMBER(SEARCH("_2x", J149)), "2x", IF(ISNUMBER(SEARCH("_5x", J149)), "5x", IF(ISNUMBER(SEARCH("_10x", J149)), "10x", "1x")))</f>
        <v>10x</v>
      </c>
      <c r="S149">
        <v>1</v>
      </c>
      <c r="U149">
        <v>1</v>
      </c>
      <c r="X149" t="str">
        <f t="shared" si="30"/>
        <v/>
      </c>
      <c r="Y149" t="str">
        <f t="shared" si="31"/>
        <v/>
      </c>
      <c r="Z149">
        <f t="shared" si="32"/>
        <v>70385664</v>
      </c>
      <c r="AA149" t="str">
        <f t="shared" si="33"/>
        <v/>
      </c>
      <c r="AB149">
        <f t="shared" si="34"/>
        <v>70385664</v>
      </c>
      <c r="AC149" t="str">
        <f t="shared" si="35"/>
        <v/>
      </c>
      <c r="AD149" t="str">
        <f t="shared" si="36"/>
        <v/>
      </c>
    </row>
    <row r="150" spans="1:30">
      <c r="J150" t="s">
        <v>90</v>
      </c>
      <c r="K150" t="s">
        <v>95</v>
      </c>
      <c r="L150">
        <v>31948800</v>
      </c>
      <c r="M150" t="s">
        <v>96</v>
      </c>
      <c r="N150" t="s">
        <v>97</v>
      </c>
      <c r="O150" t="s">
        <v>98</v>
      </c>
      <c r="P150" t="str">
        <f>IF(ISNUMBER(SEARCH("_2x", J150)), "2x", IF(ISNUMBER(SEARCH("_5x", J150)), "5x", IF(ISNUMBER(SEARCH("_10x", J150)), "10x", "1x")))</f>
        <v>10x</v>
      </c>
      <c r="S150">
        <v>1</v>
      </c>
      <c r="U150">
        <v>1</v>
      </c>
      <c r="X150" t="str">
        <f t="shared" si="30"/>
        <v/>
      </c>
      <c r="Y150" t="str">
        <f t="shared" si="31"/>
        <v/>
      </c>
      <c r="Z150">
        <f t="shared" si="32"/>
        <v>31948800</v>
      </c>
      <c r="AA150" t="str">
        <f t="shared" si="33"/>
        <v/>
      </c>
      <c r="AB150">
        <f t="shared" si="34"/>
        <v>31948800</v>
      </c>
      <c r="AC150" t="str">
        <f t="shared" si="35"/>
        <v/>
      </c>
      <c r="AD150" t="str">
        <f t="shared" si="36"/>
        <v/>
      </c>
    </row>
    <row r="151" spans="1:30">
      <c r="J151" t="s">
        <v>90</v>
      </c>
      <c r="K151" t="s">
        <v>99</v>
      </c>
      <c r="L151">
        <v>315015168</v>
      </c>
      <c r="M151" t="s">
        <v>100</v>
      </c>
      <c r="N151" t="s">
        <v>101</v>
      </c>
      <c r="O151" t="s">
        <v>102</v>
      </c>
      <c r="P151" t="str">
        <f>IF(ISNUMBER(SEARCH("_2x", J151)), "2x", IF(ISNUMBER(SEARCH("_5x", J151)), "5x", IF(ISNUMBER(SEARCH("_10x", J151)), "10x", "1x")))</f>
        <v>10x</v>
      </c>
      <c r="U151">
        <v>1</v>
      </c>
      <c r="X151" t="str">
        <f t="shared" si="30"/>
        <v/>
      </c>
      <c r="Y151" t="str">
        <f t="shared" si="31"/>
        <v/>
      </c>
      <c r="Z151" t="str">
        <f t="shared" si="32"/>
        <v/>
      </c>
      <c r="AA151" t="str">
        <f t="shared" si="33"/>
        <v/>
      </c>
      <c r="AB151">
        <f t="shared" si="34"/>
        <v>315015168</v>
      </c>
      <c r="AC151" t="str">
        <f t="shared" si="35"/>
        <v/>
      </c>
      <c r="AD151" t="str">
        <f t="shared" si="36"/>
        <v/>
      </c>
    </row>
    <row r="152" spans="1:30">
      <c r="J152" t="s">
        <v>90</v>
      </c>
      <c r="K152" t="s">
        <v>103</v>
      </c>
      <c r="L152">
        <v>624787456</v>
      </c>
      <c r="M152" t="s">
        <v>70</v>
      </c>
      <c r="N152" t="s">
        <v>104</v>
      </c>
      <c r="O152" t="s">
        <v>102</v>
      </c>
      <c r="P152" t="str">
        <f>IF(ISNUMBER(SEARCH("_2x", J152)), "2x", IF(ISNUMBER(SEARCH("_5x", J152)), "5x", IF(ISNUMBER(SEARCH("_10x", J152)), "10x", "1x")))</f>
        <v>10x</v>
      </c>
      <c r="S152">
        <v>1</v>
      </c>
      <c r="U152">
        <v>1</v>
      </c>
      <c r="X152" t="str">
        <f t="shared" si="30"/>
        <v/>
      </c>
      <c r="Y152" t="str">
        <f t="shared" si="31"/>
        <v/>
      </c>
      <c r="Z152">
        <f t="shared" si="32"/>
        <v>624787456</v>
      </c>
      <c r="AA152" t="str">
        <f t="shared" si="33"/>
        <v/>
      </c>
      <c r="AB152">
        <f t="shared" si="34"/>
        <v>624787456</v>
      </c>
      <c r="AC152" t="str">
        <f t="shared" si="35"/>
        <v/>
      </c>
      <c r="AD152" t="str">
        <f t="shared" si="36"/>
        <v/>
      </c>
    </row>
    <row r="153" spans="1:30">
      <c r="J153" t="s">
        <v>90</v>
      </c>
      <c r="K153" t="s">
        <v>105</v>
      </c>
      <c r="L153">
        <v>73728</v>
      </c>
      <c r="M153" t="s">
        <v>106</v>
      </c>
      <c r="N153" t="s">
        <v>107</v>
      </c>
      <c r="O153" t="s">
        <v>107</v>
      </c>
      <c r="P153" t="str">
        <f>IF(ISNUMBER(SEARCH("_2x", J153)), "2x", IF(ISNUMBER(SEARCH("_5x", J153)), "5x", IF(ISNUMBER(SEARCH("_10x", J153)), "10x", "1x")))</f>
        <v>10x</v>
      </c>
      <c r="R153">
        <v>1</v>
      </c>
      <c r="S153">
        <v>1</v>
      </c>
      <c r="U153">
        <v>1</v>
      </c>
      <c r="X153" t="str">
        <f t="shared" si="30"/>
        <v/>
      </c>
      <c r="Y153">
        <f t="shared" si="31"/>
        <v>73728</v>
      </c>
      <c r="Z153">
        <f t="shared" si="32"/>
        <v>73728</v>
      </c>
      <c r="AA153" t="str">
        <f t="shared" si="33"/>
        <v/>
      </c>
      <c r="AB153">
        <f t="shared" si="34"/>
        <v>73728</v>
      </c>
      <c r="AC153" t="str">
        <f t="shared" si="35"/>
        <v/>
      </c>
      <c r="AD153" t="str">
        <f t="shared" si="36"/>
        <v/>
      </c>
    </row>
    <row r="154" spans="1:30">
      <c r="J154" t="s">
        <v>90</v>
      </c>
      <c r="K154" t="s">
        <v>108</v>
      </c>
      <c r="L154">
        <v>352256</v>
      </c>
      <c r="M154" t="s">
        <v>109</v>
      </c>
      <c r="N154" t="s">
        <v>110</v>
      </c>
      <c r="O154" t="s">
        <v>111</v>
      </c>
      <c r="P154" t="str">
        <f>IF(ISNUMBER(SEARCH("_2x", J154)), "2x", IF(ISNUMBER(SEARCH("_5x", J154)), "5x", IF(ISNUMBER(SEARCH("_10x", J154)), "10x", "1x")))</f>
        <v>10x</v>
      </c>
      <c r="R154">
        <v>1</v>
      </c>
      <c r="S154">
        <v>1</v>
      </c>
      <c r="U154">
        <v>1</v>
      </c>
      <c r="X154" t="str">
        <f t="shared" si="30"/>
        <v/>
      </c>
      <c r="Y154">
        <f t="shared" si="31"/>
        <v>352256</v>
      </c>
      <c r="Z154">
        <f t="shared" si="32"/>
        <v>352256</v>
      </c>
      <c r="AA154" t="str">
        <f t="shared" si="33"/>
        <v/>
      </c>
      <c r="AB154">
        <f t="shared" si="34"/>
        <v>352256</v>
      </c>
      <c r="AC154" t="str">
        <f t="shared" si="35"/>
        <v/>
      </c>
      <c r="AD154" t="str">
        <f t="shared" si="36"/>
        <v/>
      </c>
    </row>
    <row r="155" spans="1:30">
      <c r="J155" t="s">
        <v>90</v>
      </c>
      <c r="K155" t="s">
        <v>112</v>
      </c>
      <c r="L155">
        <v>3843497984</v>
      </c>
      <c r="M155" t="s">
        <v>113</v>
      </c>
      <c r="N155" t="s">
        <v>114</v>
      </c>
      <c r="O155" t="s">
        <v>115</v>
      </c>
      <c r="P155" t="str">
        <f>IF(ISNUMBER(SEARCH("_2x", J155)), "2x", IF(ISNUMBER(SEARCH("_5x", J155)), "5x", IF(ISNUMBER(SEARCH("_10x", J155)), "10x", "1x")))</f>
        <v>10x</v>
      </c>
      <c r="R155">
        <v>1</v>
      </c>
      <c r="S155">
        <v>1</v>
      </c>
      <c r="U155">
        <v>1</v>
      </c>
      <c r="X155" t="str">
        <f t="shared" si="30"/>
        <v/>
      </c>
      <c r="Y155">
        <f t="shared" si="31"/>
        <v>3843497984</v>
      </c>
      <c r="Z155">
        <f t="shared" si="32"/>
        <v>3843497984</v>
      </c>
      <c r="AA155" t="str">
        <f t="shared" si="33"/>
        <v/>
      </c>
      <c r="AB155">
        <f t="shared" si="34"/>
        <v>3843497984</v>
      </c>
      <c r="AC155" t="str">
        <f t="shared" si="35"/>
        <v/>
      </c>
      <c r="AD155" t="str">
        <f t="shared" si="36"/>
        <v/>
      </c>
    </row>
    <row r="156" spans="1:30">
      <c r="J156" t="s">
        <v>90</v>
      </c>
      <c r="K156" t="s">
        <v>116</v>
      </c>
      <c r="L156">
        <v>228712448</v>
      </c>
      <c r="M156" t="s">
        <v>117</v>
      </c>
      <c r="N156" t="s">
        <v>118</v>
      </c>
      <c r="O156" t="s">
        <v>119</v>
      </c>
      <c r="P156" t="str">
        <f>IF(ISNUMBER(SEARCH("_2x", J156)), "2x", IF(ISNUMBER(SEARCH("_5x", J156)), "5x", IF(ISNUMBER(SEARCH("_10x", J156)), "10x", "1x")))</f>
        <v>10x</v>
      </c>
      <c r="R156">
        <v>1</v>
      </c>
      <c r="S156">
        <v>1</v>
      </c>
      <c r="U156">
        <v>1</v>
      </c>
      <c r="X156" t="str">
        <f t="shared" si="30"/>
        <v/>
      </c>
      <c r="Y156">
        <f t="shared" si="31"/>
        <v>228712448</v>
      </c>
      <c r="Z156">
        <f t="shared" si="32"/>
        <v>228712448</v>
      </c>
      <c r="AA156" t="str">
        <f t="shared" si="33"/>
        <v/>
      </c>
      <c r="AB156">
        <f t="shared" si="34"/>
        <v>228712448</v>
      </c>
      <c r="AC156" t="str">
        <f t="shared" si="35"/>
        <v/>
      </c>
      <c r="AD156" t="str">
        <f t="shared" si="36"/>
        <v/>
      </c>
    </row>
    <row r="157" spans="1:30">
      <c r="J157" t="s">
        <v>90</v>
      </c>
      <c r="K157" t="s">
        <v>120</v>
      </c>
      <c r="L157">
        <v>2406440960</v>
      </c>
      <c r="M157" t="s">
        <v>121</v>
      </c>
      <c r="N157" t="s">
        <v>122</v>
      </c>
      <c r="O157" t="s">
        <v>123</v>
      </c>
      <c r="P157" t="str">
        <f>IF(ISNUMBER(SEARCH("_2x", J157)), "2x", IF(ISNUMBER(SEARCH("_5x", J157)), "5x", IF(ISNUMBER(SEARCH("_10x", J157)), "10x", "1x")))</f>
        <v>10x</v>
      </c>
      <c r="R157">
        <v>1</v>
      </c>
      <c r="S157">
        <v>1</v>
      </c>
      <c r="U157">
        <v>1</v>
      </c>
      <c r="X157" t="str">
        <f t="shared" si="30"/>
        <v/>
      </c>
      <c r="Y157">
        <f t="shared" si="31"/>
        <v>2406440960</v>
      </c>
      <c r="Z157">
        <f t="shared" si="32"/>
        <v>2406440960</v>
      </c>
      <c r="AA157" t="str">
        <f t="shared" si="33"/>
        <v/>
      </c>
      <c r="AB157">
        <f t="shared" si="34"/>
        <v>2406440960</v>
      </c>
      <c r="AC157" t="str">
        <f t="shared" si="35"/>
        <v/>
      </c>
      <c r="AD157" t="str">
        <f t="shared" si="36"/>
        <v/>
      </c>
    </row>
    <row r="158" spans="1:30">
      <c r="J158" t="s">
        <v>90</v>
      </c>
      <c r="K158" t="s">
        <v>73</v>
      </c>
      <c r="L158">
        <v>181002240</v>
      </c>
      <c r="M158" t="s">
        <v>84</v>
      </c>
      <c r="N158" t="s">
        <v>85</v>
      </c>
      <c r="O158" t="s">
        <v>86</v>
      </c>
      <c r="P158" t="str">
        <f>IF(ISNUMBER(SEARCH("_2x", J158)), "2x", IF(ISNUMBER(SEARCH("_5x", J158)), "5x", IF(ISNUMBER(SEARCH("_10x", J158)), "10x", "1x")))</f>
        <v>10x</v>
      </c>
      <c r="S158">
        <v>1</v>
      </c>
      <c r="U158">
        <v>1</v>
      </c>
      <c r="X158" t="str">
        <f t="shared" si="30"/>
        <v/>
      </c>
      <c r="Y158" t="str">
        <f t="shared" si="31"/>
        <v/>
      </c>
      <c r="Z158">
        <f t="shared" si="32"/>
        <v>181002240</v>
      </c>
      <c r="AA158" t="str">
        <f t="shared" si="33"/>
        <v/>
      </c>
      <c r="AB158">
        <f t="shared" si="34"/>
        <v>181002240</v>
      </c>
      <c r="AC158" t="str">
        <f t="shared" si="35"/>
        <v/>
      </c>
      <c r="AD158" t="str">
        <f t="shared" si="36"/>
        <v/>
      </c>
    </row>
    <row r="159" spans="1:30">
      <c r="J159" t="s">
        <v>90</v>
      </c>
      <c r="K159" t="s">
        <v>124</v>
      </c>
      <c r="L159">
        <v>73728</v>
      </c>
      <c r="M159" t="s">
        <v>106</v>
      </c>
      <c r="N159" t="s">
        <v>125</v>
      </c>
      <c r="O159" t="s">
        <v>111</v>
      </c>
      <c r="P159" t="str">
        <f>IF(ISNUMBER(SEARCH("_2x", J159)), "2x", IF(ISNUMBER(SEARCH("_5x", J159)), "5x", IF(ISNUMBER(SEARCH("_10x", J159)), "10x", "1x")))</f>
        <v>10x</v>
      </c>
      <c r="S159">
        <v>1</v>
      </c>
      <c r="U159">
        <v>1</v>
      </c>
      <c r="X159" t="str">
        <f t="shared" si="30"/>
        <v/>
      </c>
      <c r="Y159" t="str">
        <f t="shared" si="31"/>
        <v/>
      </c>
      <c r="Z159">
        <f t="shared" si="32"/>
        <v>73728</v>
      </c>
      <c r="AA159" t="str">
        <f t="shared" si="33"/>
        <v/>
      </c>
      <c r="AB159">
        <f t="shared" si="34"/>
        <v>73728</v>
      </c>
      <c r="AC159" t="str">
        <f t="shared" si="35"/>
        <v/>
      </c>
      <c r="AD159" t="str">
        <f t="shared" si="36"/>
        <v/>
      </c>
    </row>
    <row r="160" spans="1:30">
      <c r="J160" t="s">
        <v>90</v>
      </c>
      <c r="K160" t="s">
        <v>126</v>
      </c>
      <c r="L160">
        <v>142548992</v>
      </c>
      <c r="M160" t="s">
        <v>127</v>
      </c>
      <c r="N160" t="s">
        <v>128</v>
      </c>
      <c r="O160" t="s">
        <v>129</v>
      </c>
      <c r="P160" t="str">
        <f>IF(ISNUMBER(SEARCH("_2x", J160)), "2x", IF(ISNUMBER(SEARCH("_5x", J160)), "5x", IF(ISNUMBER(SEARCH("_10x", J160)), "10x", "1x")))</f>
        <v>10x</v>
      </c>
      <c r="S160">
        <v>1</v>
      </c>
      <c r="X160" t="str">
        <f t="shared" si="30"/>
        <v/>
      </c>
      <c r="Y160" t="str">
        <f t="shared" si="31"/>
        <v/>
      </c>
      <c r="Z160">
        <f t="shared" si="32"/>
        <v>142548992</v>
      </c>
      <c r="AA160" t="str">
        <f t="shared" si="33"/>
        <v/>
      </c>
      <c r="AB160" t="str">
        <f t="shared" si="34"/>
        <v/>
      </c>
      <c r="AC160" t="str">
        <f t="shared" si="35"/>
        <v/>
      </c>
      <c r="AD160" t="str">
        <f t="shared" si="36"/>
        <v/>
      </c>
    </row>
    <row r="161" spans="10:30">
      <c r="J161" t="s">
        <v>90</v>
      </c>
      <c r="K161" t="s">
        <v>130</v>
      </c>
      <c r="L161">
        <v>745472</v>
      </c>
      <c r="M161" t="s">
        <v>131</v>
      </c>
      <c r="N161" t="s">
        <v>132</v>
      </c>
      <c r="O161" t="s">
        <v>111</v>
      </c>
      <c r="P161" t="str">
        <f>IF(ISNUMBER(SEARCH("_2x", J161)), "2x", IF(ISNUMBER(SEARCH("_5x", J161)), "5x", IF(ISNUMBER(SEARCH("_10x", J161)), "10x", "1x")))</f>
        <v>10x</v>
      </c>
      <c r="U161">
        <v>1</v>
      </c>
      <c r="X161" t="str">
        <f t="shared" si="30"/>
        <v/>
      </c>
      <c r="Y161" t="str">
        <f t="shared" si="31"/>
        <v/>
      </c>
      <c r="Z161" t="str">
        <f t="shared" si="32"/>
        <v/>
      </c>
      <c r="AA161" t="str">
        <f t="shared" si="33"/>
        <v/>
      </c>
      <c r="AB161">
        <f t="shared" si="34"/>
        <v>745472</v>
      </c>
      <c r="AC161" t="str">
        <f t="shared" si="35"/>
        <v/>
      </c>
      <c r="AD161" t="str">
        <f t="shared" si="36"/>
        <v/>
      </c>
    </row>
    <row r="162" spans="10:30">
      <c r="J162" t="s">
        <v>90</v>
      </c>
      <c r="K162" t="s">
        <v>76</v>
      </c>
      <c r="L162">
        <v>720314368</v>
      </c>
      <c r="M162" t="s">
        <v>87</v>
      </c>
      <c r="N162" t="s">
        <v>88</v>
      </c>
      <c r="O162" t="s">
        <v>89</v>
      </c>
      <c r="P162" t="str">
        <f>IF(ISNUMBER(SEARCH("_2x", J162)), "2x", IF(ISNUMBER(SEARCH("_5x", J162)), "5x", IF(ISNUMBER(SEARCH("_10x", J162)), "10x", "1x")))</f>
        <v>10x</v>
      </c>
      <c r="R162">
        <v>1</v>
      </c>
      <c r="S162">
        <v>1</v>
      </c>
      <c r="U162">
        <v>1</v>
      </c>
      <c r="X162" t="str">
        <f t="shared" si="30"/>
        <v/>
      </c>
      <c r="Y162">
        <f t="shared" si="31"/>
        <v>720314368</v>
      </c>
      <c r="Z162">
        <f t="shared" si="32"/>
        <v>720314368</v>
      </c>
      <c r="AA162" t="str">
        <f t="shared" si="33"/>
        <v/>
      </c>
      <c r="AB162">
        <f t="shared" si="34"/>
        <v>720314368</v>
      </c>
      <c r="AC162" t="str">
        <f t="shared" si="35"/>
        <v/>
      </c>
      <c r="AD162" t="str">
        <f t="shared" si="36"/>
        <v/>
      </c>
    </row>
    <row r="163" spans="10:30">
      <c r="J163" t="s">
        <v>90</v>
      </c>
      <c r="K163" t="s">
        <v>133</v>
      </c>
      <c r="L163">
        <v>16384</v>
      </c>
      <c r="M163" t="s">
        <v>111</v>
      </c>
      <c r="N163" t="s">
        <v>134</v>
      </c>
      <c r="O163" t="s">
        <v>110</v>
      </c>
      <c r="P163" t="str">
        <f>IF(ISNUMBER(SEARCH("_2x", J163)), "2x", IF(ISNUMBER(SEARCH("_5x", J163)), "5x", IF(ISNUMBER(SEARCH("_10x", J163)), "10x", "1x")))</f>
        <v>10x</v>
      </c>
      <c r="R163">
        <v>1</v>
      </c>
      <c r="S163">
        <v>1</v>
      </c>
      <c r="U163">
        <v>1</v>
      </c>
      <c r="X163" t="str">
        <f t="shared" si="30"/>
        <v/>
      </c>
      <c r="Y163">
        <f t="shared" si="31"/>
        <v>16384</v>
      </c>
      <c r="Z163">
        <f t="shared" si="32"/>
        <v>16384</v>
      </c>
      <c r="AA163" t="str">
        <f t="shared" si="33"/>
        <v/>
      </c>
      <c r="AB163">
        <f t="shared" si="34"/>
        <v>16384</v>
      </c>
      <c r="AC163" t="str">
        <f t="shared" si="35"/>
        <v/>
      </c>
      <c r="AD163" t="str">
        <f t="shared" si="36"/>
        <v/>
      </c>
    </row>
    <row r="164" spans="10:30">
      <c r="J164" t="s">
        <v>178</v>
      </c>
      <c r="K164" t="s">
        <v>91</v>
      </c>
      <c r="L164">
        <v>70385664</v>
      </c>
      <c r="M164" t="s">
        <v>92</v>
      </c>
      <c r="N164" t="s">
        <v>93</v>
      </c>
      <c r="O164" t="s">
        <v>94</v>
      </c>
      <c r="P164" t="str">
        <f>IF(ISNUMBER(SEARCH("_2x", J164)), "2x", IF(ISNUMBER(SEARCH("_5x", J164)), "5x", IF(ISNUMBER(SEARCH("_10x", J164)), "10x", "1x")))</f>
        <v>10x</v>
      </c>
      <c r="T164">
        <v>1</v>
      </c>
      <c r="V164">
        <v>1</v>
      </c>
      <c r="X164" t="str">
        <f t="shared" si="30"/>
        <v/>
      </c>
      <c r="Y164" t="str">
        <f t="shared" si="31"/>
        <v/>
      </c>
      <c r="Z164" t="str">
        <f t="shared" si="32"/>
        <v/>
      </c>
      <c r="AA164">
        <f t="shared" si="33"/>
        <v>70385664</v>
      </c>
      <c r="AB164" t="str">
        <f t="shared" si="34"/>
        <v/>
      </c>
      <c r="AC164">
        <f t="shared" si="35"/>
        <v>70385664</v>
      </c>
      <c r="AD164" t="str">
        <f t="shared" si="36"/>
        <v/>
      </c>
    </row>
    <row r="165" spans="10:30">
      <c r="J165" t="s">
        <v>178</v>
      </c>
      <c r="K165" t="s">
        <v>95</v>
      </c>
      <c r="L165">
        <v>31948800</v>
      </c>
      <c r="M165" t="s">
        <v>96</v>
      </c>
      <c r="N165" t="s">
        <v>97</v>
      </c>
      <c r="O165" t="s">
        <v>98</v>
      </c>
      <c r="P165" t="str">
        <f>IF(ISNUMBER(SEARCH("_2x", J165)), "2x", IF(ISNUMBER(SEARCH("_5x", J165)), "5x", IF(ISNUMBER(SEARCH("_10x", J165)), "10x", "1x")))</f>
        <v>10x</v>
      </c>
      <c r="T165">
        <v>1</v>
      </c>
      <c r="V165">
        <v>1</v>
      </c>
      <c r="X165" t="str">
        <f t="shared" si="30"/>
        <v/>
      </c>
      <c r="Y165" t="str">
        <f t="shared" si="31"/>
        <v/>
      </c>
      <c r="Z165" t="str">
        <f t="shared" si="32"/>
        <v/>
      </c>
      <c r="AA165">
        <f t="shared" si="33"/>
        <v>31948800</v>
      </c>
      <c r="AB165" t="str">
        <f t="shared" si="34"/>
        <v/>
      </c>
      <c r="AC165">
        <f t="shared" si="35"/>
        <v>31948800</v>
      </c>
      <c r="AD165" t="str">
        <f t="shared" si="36"/>
        <v/>
      </c>
    </row>
    <row r="166" spans="10:30">
      <c r="J166" t="s">
        <v>178</v>
      </c>
      <c r="K166" t="s">
        <v>99</v>
      </c>
      <c r="L166">
        <v>315015168</v>
      </c>
      <c r="M166" t="s">
        <v>100</v>
      </c>
      <c r="N166" t="s">
        <v>101</v>
      </c>
      <c r="O166" t="s">
        <v>102</v>
      </c>
      <c r="P166" t="str">
        <f>IF(ISNUMBER(SEARCH("_2x", J166)), "2x", IF(ISNUMBER(SEARCH("_5x", J166)), "5x", IF(ISNUMBER(SEARCH("_10x", J166)), "10x", "1x")))</f>
        <v>10x</v>
      </c>
      <c r="V166">
        <v>1</v>
      </c>
      <c r="X166" t="str">
        <f t="shared" si="30"/>
        <v/>
      </c>
      <c r="Y166" t="str">
        <f t="shared" si="31"/>
        <v/>
      </c>
      <c r="Z166" t="str">
        <f t="shared" si="32"/>
        <v/>
      </c>
      <c r="AA166" t="str">
        <f t="shared" si="33"/>
        <v/>
      </c>
      <c r="AB166" t="str">
        <f t="shared" si="34"/>
        <v/>
      </c>
      <c r="AC166">
        <f t="shared" si="35"/>
        <v>315015168</v>
      </c>
      <c r="AD166" t="str">
        <f t="shared" si="36"/>
        <v/>
      </c>
    </row>
    <row r="167" spans="10:30">
      <c r="J167" t="s">
        <v>178</v>
      </c>
      <c r="K167" t="s">
        <v>103</v>
      </c>
      <c r="L167">
        <v>624787456</v>
      </c>
      <c r="M167" t="s">
        <v>70</v>
      </c>
      <c r="N167" t="s">
        <v>104</v>
      </c>
      <c r="O167" t="s">
        <v>102</v>
      </c>
      <c r="P167" t="str">
        <f>IF(ISNUMBER(SEARCH("_2x", J167)), "2x", IF(ISNUMBER(SEARCH("_5x", J167)), "5x", IF(ISNUMBER(SEARCH("_10x", J167)), "10x", "1x")))</f>
        <v>10x</v>
      </c>
      <c r="T167">
        <v>1</v>
      </c>
      <c r="V167">
        <v>1</v>
      </c>
      <c r="X167" t="str">
        <f t="shared" si="30"/>
        <v/>
      </c>
      <c r="Y167" t="str">
        <f t="shared" si="31"/>
        <v/>
      </c>
      <c r="Z167" t="str">
        <f t="shared" si="32"/>
        <v/>
      </c>
      <c r="AA167">
        <f t="shared" si="33"/>
        <v>624787456</v>
      </c>
      <c r="AB167" t="str">
        <f t="shared" si="34"/>
        <v/>
      </c>
      <c r="AC167">
        <f t="shared" si="35"/>
        <v>624787456</v>
      </c>
      <c r="AD167" t="str">
        <f t="shared" si="36"/>
        <v/>
      </c>
    </row>
    <row r="168" spans="10:30">
      <c r="J168" t="s">
        <v>178</v>
      </c>
      <c r="K168" t="s">
        <v>105</v>
      </c>
      <c r="L168">
        <v>72007680</v>
      </c>
      <c r="M168" t="s">
        <v>77</v>
      </c>
      <c r="N168" t="s">
        <v>179</v>
      </c>
      <c r="O168" t="s">
        <v>144</v>
      </c>
      <c r="P168" t="str">
        <f>IF(ISNUMBER(SEARCH("_2x", J168)), "2x", IF(ISNUMBER(SEARCH("_5x", J168)), "5x", IF(ISNUMBER(SEARCH("_10x", J168)), "10x", "1x")))</f>
        <v>10x</v>
      </c>
      <c r="T168">
        <v>1</v>
      </c>
      <c r="V168">
        <v>1</v>
      </c>
      <c r="X168" t="str">
        <f t="shared" si="30"/>
        <v/>
      </c>
      <c r="Y168" t="str">
        <f t="shared" si="31"/>
        <v/>
      </c>
      <c r="Z168" t="str">
        <f t="shared" si="32"/>
        <v/>
      </c>
      <c r="AA168">
        <f t="shared" si="33"/>
        <v>72007680</v>
      </c>
      <c r="AB168" t="str">
        <f t="shared" si="34"/>
        <v/>
      </c>
      <c r="AC168">
        <f t="shared" si="35"/>
        <v>72007680</v>
      </c>
      <c r="AD168" t="str">
        <f t="shared" si="36"/>
        <v/>
      </c>
    </row>
    <row r="169" spans="10:30">
      <c r="J169" t="s">
        <v>178</v>
      </c>
      <c r="K169" t="s">
        <v>108</v>
      </c>
      <c r="L169">
        <v>1051934720</v>
      </c>
      <c r="M169" t="s">
        <v>180</v>
      </c>
      <c r="N169" t="s">
        <v>181</v>
      </c>
      <c r="O169" t="s">
        <v>182</v>
      </c>
      <c r="P169" t="str">
        <f>IF(ISNUMBER(SEARCH("_2x", J169)), "2x", IF(ISNUMBER(SEARCH("_5x", J169)), "5x", IF(ISNUMBER(SEARCH("_10x", J169)), "10x", "1x")))</f>
        <v>10x</v>
      </c>
      <c r="T169">
        <v>1</v>
      </c>
      <c r="V169">
        <v>1</v>
      </c>
      <c r="X169" t="str">
        <f t="shared" si="30"/>
        <v/>
      </c>
      <c r="Y169" t="str">
        <f t="shared" si="31"/>
        <v/>
      </c>
      <c r="Z169" t="str">
        <f t="shared" si="32"/>
        <v/>
      </c>
      <c r="AA169">
        <f t="shared" si="33"/>
        <v>1051934720</v>
      </c>
      <c r="AB169" t="str">
        <f t="shared" si="34"/>
        <v/>
      </c>
      <c r="AC169">
        <f t="shared" si="35"/>
        <v>1051934720</v>
      </c>
      <c r="AD169" t="str">
        <f t="shared" si="36"/>
        <v/>
      </c>
    </row>
    <row r="170" spans="10:30">
      <c r="J170" t="s">
        <v>178</v>
      </c>
      <c r="K170" t="s">
        <v>112</v>
      </c>
      <c r="L170">
        <v>3824254976</v>
      </c>
      <c r="M170" t="s">
        <v>183</v>
      </c>
      <c r="N170" t="s">
        <v>114</v>
      </c>
      <c r="O170" t="s">
        <v>104</v>
      </c>
      <c r="P170" t="str">
        <f>IF(ISNUMBER(SEARCH("_2x", J170)), "2x", IF(ISNUMBER(SEARCH("_5x", J170)), "5x", IF(ISNUMBER(SEARCH("_10x", J170)), "10x", "1x")))</f>
        <v>10x</v>
      </c>
      <c r="T170">
        <v>1</v>
      </c>
      <c r="V170">
        <v>1</v>
      </c>
      <c r="X170" t="str">
        <f t="shared" si="30"/>
        <v/>
      </c>
      <c r="Y170" t="str">
        <f t="shared" si="31"/>
        <v/>
      </c>
      <c r="Z170" t="str">
        <f t="shared" si="32"/>
        <v/>
      </c>
      <c r="AA170">
        <f t="shared" si="33"/>
        <v>3824254976</v>
      </c>
      <c r="AB170" t="str">
        <f t="shared" si="34"/>
        <v/>
      </c>
      <c r="AC170">
        <f t="shared" si="35"/>
        <v>3824254976</v>
      </c>
      <c r="AD170" t="str">
        <f t="shared" si="36"/>
        <v/>
      </c>
    </row>
    <row r="171" spans="10:30">
      <c r="J171" t="s">
        <v>178</v>
      </c>
      <c r="K171" t="s">
        <v>116</v>
      </c>
      <c r="L171">
        <v>88571904</v>
      </c>
      <c r="M171" t="s">
        <v>184</v>
      </c>
      <c r="N171" t="s">
        <v>185</v>
      </c>
      <c r="O171" t="s">
        <v>186</v>
      </c>
      <c r="P171" t="str">
        <f>IF(ISNUMBER(SEARCH("_2x", J171)), "2x", IF(ISNUMBER(SEARCH("_5x", J171)), "5x", IF(ISNUMBER(SEARCH("_10x", J171)), "10x", "1x")))</f>
        <v>10x</v>
      </c>
      <c r="T171">
        <v>1</v>
      </c>
      <c r="V171">
        <v>1</v>
      </c>
      <c r="X171" t="str">
        <f t="shared" si="30"/>
        <v/>
      </c>
      <c r="Y171" t="str">
        <f t="shared" si="31"/>
        <v/>
      </c>
      <c r="Z171" t="str">
        <f t="shared" si="32"/>
        <v/>
      </c>
      <c r="AA171">
        <f t="shared" si="33"/>
        <v>88571904</v>
      </c>
      <c r="AB171" t="str">
        <f t="shared" si="34"/>
        <v/>
      </c>
      <c r="AC171">
        <f t="shared" si="35"/>
        <v>88571904</v>
      </c>
      <c r="AD171" t="str">
        <f t="shared" si="36"/>
        <v/>
      </c>
    </row>
    <row r="172" spans="10:30">
      <c r="J172" t="s">
        <v>178</v>
      </c>
      <c r="K172" t="s">
        <v>120</v>
      </c>
      <c r="L172">
        <v>1354637312</v>
      </c>
      <c r="M172" t="s">
        <v>187</v>
      </c>
      <c r="N172" t="s">
        <v>188</v>
      </c>
      <c r="O172" t="s">
        <v>189</v>
      </c>
      <c r="P172" t="str">
        <f>IF(ISNUMBER(SEARCH("_2x", J172)), "2x", IF(ISNUMBER(SEARCH("_5x", J172)), "5x", IF(ISNUMBER(SEARCH("_10x", J172)), "10x", "1x")))</f>
        <v>10x</v>
      </c>
      <c r="T172">
        <v>1</v>
      </c>
      <c r="V172">
        <v>1</v>
      </c>
      <c r="X172" t="str">
        <f t="shared" si="30"/>
        <v/>
      </c>
      <c r="Y172" t="str">
        <f t="shared" si="31"/>
        <v/>
      </c>
      <c r="Z172" t="str">
        <f t="shared" si="32"/>
        <v/>
      </c>
      <c r="AA172">
        <f t="shared" si="33"/>
        <v>1354637312</v>
      </c>
      <c r="AB172" t="str">
        <f t="shared" si="34"/>
        <v/>
      </c>
      <c r="AC172">
        <f t="shared" si="35"/>
        <v>1354637312</v>
      </c>
      <c r="AD172" t="str">
        <f t="shared" si="36"/>
        <v/>
      </c>
    </row>
    <row r="173" spans="10:30">
      <c r="J173" t="s">
        <v>178</v>
      </c>
      <c r="K173" t="s">
        <v>73</v>
      </c>
      <c r="L173">
        <v>3055616</v>
      </c>
      <c r="M173" t="s">
        <v>190</v>
      </c>
      <c r="N173" t="s">
        <v>191</v>
      </c>
      <c r="O173" t="s">
        <v>192</v>
      </c>
      <c r="P173" t="str">
        <f>IF(ISNUMBER(SEARCH("_2x", J173)), "2x", IF(ISNUMBER(SEARCH("_5x", J173)), "5x", IF(ISNUMBER(SEARCH("_10x", J173)), "10x", "1x")))</f>
        <v>10x</v>
      </c>
      <c r="T173">
        <v>1</v>
      </c>
      <c r="V173">
        <v>1</v>
      </c>
      <c r="X173" t="str">
        <f t="shared" si="30"/>
        <v/>
      </c>
      <c r="Y173" t="str">
        <f t="shared" si="31"/>
        <v/>
      </c>
      <c r="Z173" t="str">
        <f t="shared" si="32"/>
        <v/>
      </c>
      <c r="AA173">
        <f t="shared" si="33"/>
        <v>3055616</v>
      </c>
      <c r="AB173" t="str">
        <f t="shared" si="34"/>
        <v/>
      </c>
      <c r="AC173">
        <f t="shared" si="35"/>
        <v>3055616</v>
      </c>
      <c r="AD173" t="str">
        <f t="shared" si="36"/>
        <v/>
      </c>
    </row>
    <row r="174" spans="10:30">
      <c r="J174" t="s">
        <v>178</v>
      </c>
      <c r="K174" t="s">
        <v>124</v>
      </c>
      <c r="L174">
        <v>155361280</v>
      </c>
      <c r="M174" t="s">
        <v>193</v>
      </c>
      <c r="N174" t="s">
        <v>194</v>
      </c>
      <c r="O174" t="s">
        <v>144</v>
      </c>
      <c r="P174" t="str">
        <f>IF(ISNUMBER(SEARCH("_2x", J174)), "2x", IF(ISNUMBER(SEARCH("_5x", J174)), "5x", IF(ISNUMBER(SEARCH("_10x", J174)), "10x", "1x")))</f>
        <v>10x</v>
      </c>
      <c r="T174">
        <v>1</v>
      </c>
      <c r="V174">
        <v>1</v>
      </c>
      <c r="X174" t="str">
        <f t="shared" si="30"/>
        <v/>
      </c>
      <c r="Y174" t="str">
        <f t="shared" si="31"/>
        <v/>
      </c>
      <c r="Z174" t="str">
        <f t="shared" si="32"/>
        <v/>
      </c>
      <c r="AA174">
        <f t="shared" si="33"/>
        <v>155361280</v>
      </c>
      <c r="AB174" t="str">
        <f t="shared" si="34"/>
        <v/>
      </c>
      <c r="AC174">
        <f t="shared" si="35"/>
        <v>155361280</v>
      </c>
      <c r="AD174" t="str">
        <f t="shared" si="36"/>
        <v/>
      </c>
    </row>
    <row r="175" spans="10:30">
      <c r="J175" t="s">
        <v>178</v>
      </c>
      <c r="K175" t="s">
        <v>126</v>
      </c>
      <c r="L175">
        <v>2400256</v>
      </c>
      <c r="M175" t="s">
        <v>195</v>
      </c>
      <c r="N175" t="s">
        <v>196</v>
      </c>
      <c r="O175" t="s">
        <v>197</v>
      </c>
      <c r="P175" t="str">
        <f>IF(ISNUMBER(SEARCH("_2x", J175)), "2x", IF(ISNUMBER(SEARCH("_5x", J175)), "5x", IF(ISNUMBER(SEARCH("_10x", J175)), "10x", "1x")))</f>
        <v>10x</v>
      </c>
      <c r="X175" t="str">
        <f t="shared" si="30"/>
        <v/>
      </c>
      <c r="Y175" t="str">
        <f t="shared" si="31"/>
        <v/>
      </c>
      <c r="Z175" t="str">
        <f t="shared" si="32"/>
        <v/>
      </c>
      <c r="AA175" t="str">
        <f t="shared" si="33"/>
        <v/>
      </c>
      <c r="AB175" t="str">
        <f t="shared" si="34"/>
        <v/>
      </c>
      <c r="AC175" t="str">
        <f t="shared" si="35"/>
        <v/>
      </c>
      <c r="AD175" t="str">
        <f t="shared" si="36"/>
        <v/>
      </c>
    </row>
    <row r="176" spans="10:30">
      <c r="J176" t="s">
        <v>178</v>
      </c>
      <c r="K176" t="s">
        <v>198</v>
      </c>
      <c r="L176">
        <v>127803392</v>
      </c>
      <c r="M176" t="s">
        <v>199</v>
      </c>
      <c r="N176" t="s">
        <v>200</v>
      </c>
      <c r="O176" t="s">
        <v>144</v>
      </c>
      <c r="P176" t="str">
        <f>IF(ISNUMBER(SEARCH("_2x", J176)), "2x", IF(ISNUMBER(SEARCH("_5x", J176)), "5x", IF(ISNUMBER(SEARCH("_10x", J176)), "10x", "1x")))</f>
        <v>10x</v>
      </c>
      <c r="X176" t="str">
        <f t="shared" si="30"/>
        <v/>
      </c>
      <c r="Y176" t="str">
        <f t="shared" si="31"/>
        <v/>
      </c>
      <c r="Z176" t="str">
        <f t="shared" si="32"/>
        <v/>
      </c>
      <c r="AA176" t="str">
        <f t="shared" si="33"/>
        <v/>
      </c>
      <c r="AB176" t="str">
        <f t="shared" si="34"/>
        <v/>
      </c>
      <c r="AC176" t="str">
        <f t="shared" si="35"/>
        <v/>
      </c>
      <c r="AD176" t="str">
        <f t="shared" si="36"/>
        <v/>
      </c>
    </row>
    <row r="177" spans="10:30">
      <c r="J177" t="s">
        <v>178</v>
      </c>
      <c r="K177" t="s">
        <v>130</v>
      </c>
      <c r="L177">
        <v>745472</v>
      </c>
      <c r="M177" t="s">
        <v>131</v>
      </c>
      <c r="N177" t="s">
        <v>132</v>
      </c>
      <c r="O177" t="s">
        <v>111</v>
      </c>
      <c r="P177" t="str">
        <f>IF(ISNUMBER(SEARCH("_2x", J177)), "2x", IF(ISNUMBER(SEARCH("_5x", J177)), "5x", IF(ISNUMBER(SEARCH("_10x", J177)), "10x", "1x")))</f>
        <v>10x</v>
      </c>
      <c r="V177">
        <v>1</v>
      </c>
      <c r="X177" t="str">
        <f t="shared" si="30"/>
        <v/>
      </c>
      <c r="Y177" t="str">
        <f t="shared" si="31"/>
        <v/>
      </c>
      <c r="Z177" t="str">
        <f t="shared" si="32"/>
        <v/>
      </c>
      <c r="AA177" t="str">
        <f t="shared" si="33"/>
        <v/>
      </c>
      <c r="AB177" t="str">
        <f t="shared" si="34"/>
        <v/>
      </c>
      <c r="AC177">
        <f t="shared" si="35"/>
        <v>745472</v>
      </c>
      <c r="AD177" t="str">
        <f t="shared" si="36"/>
        <v/>
      </c>
    </row>
    <row r="178" spans="10:30">
      <c r="J178" t="s">
        <v>178</v>
      </c>
      <c r="K178" t="s">
        <v>76</v>
      </c>
      <c r="L178">
        <v>733732864</v>
      </c>
      <c r="M178" t="s">
        <v>201</v>
      </c>
      <c r="N178" t="s">
        <v>88</v>
      </c>
      <c r="O178" t="s">
        <v>96</v>
      </c>
      <c r="P178" t="str">
        <f>IF(ISNUMBER(SEARCH("_2x", J178)), "2x", IF(ISNUMBER(SEARCH("_5x", J178)), "5x", IF(ISNUMBER(SEARCH("_10x", J178)), "10x", "1x")))</f>
        <v>10x</v>
      </c>
      <c r="T178">
        <v>1</v>
      </c>
      <c r="V178">
        <v>1</v>
      </c>
      <c r="X178" t="str">
        <f t="shared" ref="X178:X185" si="37">IF(Q178=1,$L178,"")</f>
        <v/>
      </c>
      <c r="Y178" t="str">
        <f t="shared" ref="Y178:Y185" si="38">IF(R178=1,$L178,"")</f>
        <v/>
      </c>
      <c r="Z178" t="str">
        <f t="shared" ref="Z178:Z185" si="39">IF(S178=1,$L178,"")</f>
        <v/>
      </c>
      <c r="AA178">
        <f t="shared" ref="AA178:AA185" si="40">IF(T178=1,$L178,"")</f>
        <v>733732864</v>
      </c>
      <c r="AB178" t="str">
        <f t="shared" ref="AB178:AB185" si="41">IF(U178=1,$L178,"")</f>
        <v/>
      </c>
      <c r="AC178">
        <f t="shared" ref="AC178:AC185" si="42">IF(V178=1,$L178,"")</f>
        <v>733732864</v>
      </c>
      <c r="AD178" t="str">
        <f t="shared" ref="AD178:AD185" si="43">IF(W178=1,$L178,"")</f>
        <v/>
      </c>
    </row>
    <row r="179" spans="10:30">
      <c r="J179" t="s">
        <v>239</v>
      </c>
      <c r="K179" t="s">
        <v>240</v>
      </c>
      <c r="L179">
        <v>16384</v>
      </c>
      <c r="M179" t="s">
        <v>111</v>
      </c>
      <c r="N179" t="s">
        <v>134</v>
      </c>
      <c r="O179" t="s">
        <v>110</v>
      </c>
      <c r="P179" t="str">
        <f>IF(ISNUMBER(SEARCH("_2x", J179)), "2x", IF(ISNUMBER(SEARCH("_5x", J179)), "5x", IF(ISNUMBER(SEARCH("_10x", J179)), "10x", "1x")))</f>
        <v>10x</v>
      </c>
      <c r="W179">
        <v>1</v>
      </c>
      <c r="X179" t="str">
        <f t="shared" si="37"/>
        <v/>
      </c>
      <c r="Y179" t="str">
        <f t="shared" si="38"/>
        <v/>
      </c>
      <c r="Z179" t="str">
        <f t="shared" si="39"/>
        <v/>
      </c>
      <c r="AA179" t="str">
        <f t="shared" si="40"/>
        <v/>
      </c>
      <c r="AB179" t="str">
        <f t="shared" si="41"/>
        <v/>
      </c>
      <c r="AC179" t="str">
        <f t="shared" si="42"/>
        <v/>
      </c>
      <c r="AD179">
        <f t="shared" si="43"/>
        <v>16384</v>
      </c>
    </row>
    <row r="180" spans="10:30">
      <c r="J180" t="s">
        <v>239</v>
      </c>
      <c r="K180" t="s">
        <v>241</v>
      </c>
      <c r="L180">
        <v>70574080</v>
      </c>
      <c r="M180" t="s">
        <v>92</v>
      </c>
      <c r="N180" t="s">
        <v>242</v>
      </c>
      <c r="O180" t="s">
        <v>243</v>
      </c>
      <c r="P180" t="str">
        <f>IF(ISNUMBER(SEARCH("_2x", J180)), "2x", IF(ISNUMBER(SEARCH("_5x", J180)), "5x", IF(ISNUMBER(SEARCH("_10x", J180)), "10x", "1x")))</f>
        <v>10x</v>
      </c>
      <c r="W180">
        <v>1</v>
      </c>
      <c r="X180" t="str">
        <f t="shared" si="37"/>
        <v/>
      </c>
      <c r="Y180" t="str">
        <f t="shared" si="38"/>
        <v/>
      </c>
      <c r="Z180" t="str">
        <f t="shared" si="39"/>
        <v/>
      </c>
      <c r="AA180" t="str">
        <f t="shared" si="40"/>
        <v/>
      </c>
      <c r="AB180" t="str">
        <f t="shared" si="41"/>
        <v/>
      </c>
      <c r="AC180" t="str">
        <f t="shared" si="42"/>
        <v/>
      </c>
      <c r="AD180">
        <f t="shared" si="43"/>
        <v>70574080</v>
      </c>
    </row>
    <row r="181" spans="10:30">
      <c r="J181" t="s">
        <v>239</v>
      </c>
      <c r="K181" t="s">
        <v>244</v>
      </c>
      <c r="L181">
        <v>23977984</v>
      </c>
      <c r="M181" t="s">
        <v>245</v>
      </c>
      <c r="N181" t="s">
        <v>122</v>
      </c>
      <c r="O181" t="s">
        <v>246</v>
      </c>
      <c r="P181" t="str">
        <f>IF(ISNUMBER(SEARCH("_2x", J181)), "2x", IF(ISNUMBER(SEARCH("_5x", J181)), "5x", IF(ISNUMBER(SEARCH("_10x", J181)), "10x", "1x")))</f>
        <v>10x</v>
      </c>
      <c r="W181">
        <v>1</v>
      </c>
      <c r="X181" t="str">
        <f t="shared" si="37"/>
        <v/>
      </c>
      <c r="Y181" t="str">
        <f t="shared" si="38"/>
        <v/>
      </c>
      <c r="Z181" t="str">
        <f t="shared" si="39"/>
        <v/>
      </c>
      <c r="AA181" t="str">
        <f t="shared" si="40"/>
        <v/>
      </c>
      <c r="AB181" t="str">
        <f t="shared" si="41"/>
        <v/>
      </c>
      <c r="AC181" t="str">
        <f t="shared" si="42"/>
        <v/>
      </c>
      <c r="AD181">
        <f t="shared" si="43"/>
        <v>23977984</v>
      </c>
    </row>
    <row r="182" spans="10:30">
      <c r="J182" t="s">
        <v>239</v>
      </c>
      <c r="K182" t="s">
        <v>99</v>
      </c>
      <c r="L182">
        <v>315015168</v>
      </c>
      <c r="M182" t="s">
        <v>100</v>
      </c>
      <c r="N182" t="s">
        <v>101</v>
      </c>
      <c r="O182" t="s">
        <v>102</v>
      </c>
      <c r="P182" t="str">
        <f>IF(ISNUMBER(SEARCH("_2x", J182)), "2x", IF(ISNUMBER(SEARCH("_5x", J182)), "5x", IF(ISNUMBER(SEARCH("_10x", J182)), "10x", "1x")))</f>
        <v>10x</v>
      </c>
      <c r="W182">
        <v>1</v>
      </c>
      <c r="X182" t="str">
        <f t="shared" si="37"/>
        <v/>
      </c>
      <c r="Y182" t="str">
        <f t="shared" si="38"/>
        <v/>
      </c>
      <c r="Z182" t="str">
        <f t="shared" si="39"/>
        <v/>
      </c>
      <c r="AA182" t="str">
        <f t="shared" si="40"/>
        <v/>
      </c>
      <c r="AB182" t="str">
        <f t="shared" si="41"/>
        <v/>
      </c>
      <c r="AC182" t="str">
        <f t="shared" si="42"/>
        <v/>
      </c>
      <c r="AD182">
        <f t="shared" si="43"/>
        <v>315015168</v>
      </c>
    </row>
    <row r="183" spans="10:30">
      <c r="J183" t="s">
        <v>239</v>
      </c>
      <c r="K183" t="s">
        <v>103</v>
      </c>
      <c r="L183">
        <v>624787456</v>
      </c>
      <c r="M183" t="s">
        <v>70</v>
      </c>
      <c r="N183" t="s">
        <v>104</v>
      </c>
      <c r="O183" t="s">
        <v>102</v>
      </c>
      <c r="P183" t="str">
        <f>IF(ISNUMBER(SEARCH("_2x", J183)), "2x", IF(ISNUMBER(SEARCH("_5x", J183)), "5x", IF(ISNUMBER(SEARCH("_10x", J183)), "10x", "1x")))</f>
        <v>10x</v>
      </c>
      <c r="W183">
        <v>1</v>
      </c>
      <c r="X183" t="str">
        <f t="shared" si="37"/>
        <v/>
      </c>
      <c r="Y183" t="str">
        <f t="shared" si="38"/>
        <v/>
      </c>
      <c r="Z183" t="str">
        <f t="shared" si="39"/>
        <v/>
      </c>
      <c r="AA183" t="str">
        <f t="shared" si="40"/>
        <v/>
      </c>
      <c r="AB183" t="str">
        <f t="shared" si="41"/>
        <v/>
      </c>
      <c r="AC183" t="str">
        <f t="shared" si="42"/>
        <v/>
      </c>
      <c r="AD183">
        <f t="shared" si="43"/>
        <v>624787456</v>
      </c>
    </row>
    <row r="184" spans="10:30">
      <c r="J184" t="s">
        <v>239</v>
      </c>
      <c r="K184" t="s">
        <v>105</v>
      </c>
      <c r="L184">
        <v>193863680</v>
      </c>
      <c r="M184" t="s">
        <v>247</v>
      </c>
      <c r="N184" t="s">
        <v>248</v>
      </c>
      <c r="O184" t="s">
        <v>249</v>
      </c>
      <c r="P184" t="str">
        <f>IF(ISNUMBER(SEARCH("_2x", J184)), "2x", IF(ISNUMBER(SEARCH("_5x", J184)), "5x", IF(ISNUMBER(SEARCH("_10x", J184)), "10x", "1x")))</f>
        <v>10x</v>
      </c>
      <c r="W184">
        <v>1</v>
      </c>
      <c r="X184" t="str">
        <f t="shared" si="37"/>
        <v/>
      </c>
      <c r="Y184" t="str">
        <f t="shared" si="38"/>
        <v/>
      </c>
      <c r="Z184" t="str">
        <f t="shared" si="39"/>
        <v/>
      </c>
      <c r="AA184" t="str">
        <f t="shared" si="40"/>
        <v/>
      </c>
      <c r="AB184" t="str">
        <f t="shared" si="41"/>
        <v/>
      </c>
      <c r="AC184" t="str">
        <f t="shared" si="42"/>
        <v/>
      </c>
      <c r="AD184">
        <f t="shared" si="43"/>
        <v>193863680</v>
      </c>
    </row>
    <row r="185" spans="10:30">
      <c r="J185" t="s">
        <v>239</v>
      </c>
      <c r="K185" t="s">
        <v>108</v>
      </c>
      <c r="L185">
        <v>2552848384</v>
      </c>
      <c r="M185" t="s">
        <v>250</v>
      </c>
      <c r="N185" t="s">
        <v>245</v>
      </c>
      <c r="O185" t="s">
        <v>249</v>
      </c>
      <c r="P185" t="str">
        <f>IF(ISNUMBER(SEARCH("_2x", J185)), "2x", IF(ISNUMBER(SEARCH("_5x", J185)), "5x", IF(ISNUMBER(SEARCH("_10x", J185)), "10x", "1x")))</f>
        <v>10x</v>
      </c>
      <c r="W185">
        <v>1</v>
      </c>
      <c r="X185" t="str">
        <f t="shared" si="37"/>
        <v/>
      </c>
      <c r="Y185" t="str">
        <f t="shared" si="38"/>
        <v/>
      </c>
      <c r="Z185" t="str">
        <f t="shared" si="39"/>
        <v/>
      </c>
      <c r="AA185" t="str">
        <f t="shared" si="40"/>
        <v/>
      </c>
      <c r="AB185" t="str">
        <f t="shared" si="41"/>
        <v/>
      </c>
      <c r="AC185" t="str">
        <f t="shared" si="42"/>
        <v/>
      </c>
      <c r="AD185">
        <f t="shared" si="43"/>
        <v>2552848384</v>
      </c>
    </row>
    <row r="186" spans="10:30">
      <c r="J186" t="s">
        <v>239</v>
      </c>
      <c r="K186" t="s">
        <v>112</v>
      </c>
      <c r="L186">
        <v>2347925504</v>
      </c>
      <c r="M186" t="s">
        <v>251</v>
      </c>
      <c r="N186" t="s">
        <v>122</v>
      </c>
      <c r="O186" t="s">
        <v>119</v>
      </c>
      <c r="P186" t="str">
        <f>IF(ISNUMBER(SEARCH("_2x", J186)), "2x", IF(ISNUMBER(SEARCH("_5x", J186)), "5x", IF(ISNUMBER(SEARCH("_10x", J186)), "10x", "1x")))</f>
        <v>10x</v>
      </c>
      <c r="W186">
        <v>1</v>
      </c>
      <c r="X186" t="str">
        <f t="shared" ref="X163:X193" si="44">IF(Q186=1,$L186,"")</f>
        <v/>
      </c>
      <c r="Y186" t="str">
        <f t="shared" ref="Y163:Y193" si="45">IF(R186=1,$L186,"")</f>
        <v/>
      </c>
      <c r="Z186" t="str">
        <f t="shared" ref="Z163:Z193" si="46">IF(S186=1,$L186,"")</f>
        <v/>
      </c>
      <c r="AA186" t="str">
        <f t="shared" ref="AA163:AA193" si="47">IF(T186=1,$L186,"")</f>
        <v/>
      </c>
      <c r="AB186" t="str">
        <f t="shared" ref="AB163:AB193" si="48">IF(U186=1,$L186,"")</f>
        <v/>
      </c>
      <c r="AC186" t="str">
        <f t="shared" ref="AC163:AC193" si="49">IF(V186=1,$L186,"")</f>
        <v/>
      </c>
      <c r="AD186">
        <f t="shared" ref="AD163:AD193" si="50">IF(W186=1,$L186,"")</f>
        <v>2347925504</v>
      </c>
    </row>
    <row r="187" spans="10:30">
      <c r="J187" t="s">
        <v>239</v>
      </c>
      <c r="K187" t="s">
        <v>116</v>
      </c>
      <c r="L187">
        <v>91537408</v>
      </c>
      <c r="M187" t="s">
        <v>252</v>
      </c>
      <c r="N187" t="s">
        <v>253</v>
      </c>
      <c r="O187" t="s">
        <v>254</v>
      </c>
      <c r="P187" t="str">
        <f>IF(ISNUMBER(SEARCH("_2x", J187)), "2x", IF(ISNUMBER(SEARCH("_5x", J187)), "5x", IF(ISNUMBER(SEARCH("_10x", J187)), "10x", "1x")))</f>
        <v>10x</v>
      </c>
      <c r="W187">
        <v>1</v>
      </c>
      <c r="X187" t="str">
        <f t="shared" si="44"/>
        <v/>
      </c>
      <c r="Y187" t="str">
        <f t="shared" si="45"/>
        <v/>
      </c>
      <c r="Z187" t="str">
        <f t="shared" si="46"/>
        <v/>
      </c>
      <c r="AA187" t="str">
        <f t="shared" si="47"/>
        <v/>
      </c>
      <c r="AB187" t="str">
        <f t="shared" si="48"/>
        <v/>
      </c>
      <c r="AC187" t="str">
        <f t="shared" si="49"/>
        <v/>
      </c>
      <c r="AD187">
        <f t="shared" si="50"/>
        <v>91537408</v>
      </c>
    </row>
    <row r="188" spans="10:30">
      <c r="J188" t="s">
        <v>239</v>
      </c>
      <c r="K188" t="s">
        <v>120</v>
      </c>
      <c r="L188">
        <v>1332617216</v>
      </c>
      <c r="M188" t="s">
        <v>255</v>
      </c>
      <c r="N188" t="s">
        <v>188</v>
      </c>
      <c r="O188" t="s">
        <v>254</v>
      </c>
      <c r="P188" t="str">
        <f>IF(ISNUMBER(SEARCH("_2x", J188)), "2x", IF(ISNUMBER(SEARCH("_5x", J188)), "5x", IF(ISNUMBER(SEARCH("_10x", J188)), "10x", "1x")))</f>
        <v>10x</v>
      </c>
      <c r="W188">
        <v>1</v>
      </c>
      <c r="X188" t="str">
        <f t="shared" si="44"/>
        <v/>
      </c>
      <c r="Y188" t="str">
        <f t="shared" si="45"/>
        <v/>
      </c>
      <c r="Z188" t="str">
        <f t="shared" si="46"/>
        <v/>
      </c>
      <c r="AA188" t="str">
        <f t="shared" si="47"/>
        <v/>
      </c>
      <c r="AB188" t="str">
        <f t="shared" si="48"/>
        <v/>
      </c>
      <c r="AC188" t="str">
        <f t="shared" si="49"/>
        <v/>
      </c>
      <c r="AD188">
        <f t="shared" si="50"/>
        <v>1332617216</v>
      </c>
    </row>
    <row r="189" spans="10:30">
      <c r="J189" t="s">
        <v>239</v>
      </c>
      <c r="K189" t="s">
        <v>73</v>
      </c>
      <c r="L189">
        <v>294912</v>
      </c>
      <c r="M189" t="s">
        <v>256</v>
      </c>
      <c r="N189" t="s">
        <v>257</v>
      </c>
      <c r="O189" t="s">
        <v>197</v>
      </c>
      <c r="P189" t="str">
        <f>IF(ISNUMBER(SEARCH("_2x", J189)), "2x", IF(ISNUMBER(SEARCH("_5x", J189)), "5x", IF(ISNUMBER(SEARCH("_10x", J189)), "10x", "1x")))</f>
        <v>10x</v>
      </c>
      <c r="W189">
        <v>1</v>
      </c>
      <c r="X189" t="str">
        <f t="shared" si="44"/>
        <v/>
      </c>
      <c r="Y189" t="str">
        <f t="shared" si="45"/>
        <v/>
      </c>
      <c r="Z189" t="str">
        <f t="shared" si="46"/>
        <v/>
      </c>
      <c r="AA189" t="str">
        <f t="shared" si="47"/>
        <v/>
      </c>
      <c r="AB189" t="str">
        <f t="shared" si="48"/>
        <v/>
      </c>
      <c r="AC189" t="str">
        <f t="shared" si="49"/>
        <v/>
      </c>
      <c r="AD189">
        <f t="shared" si="50"/>
        <v>294912</v>
      </c>
    </row>
    <row r="190" spans="10:30">
      <c r="J190" t="s">
        <v>239</v>
      </c>
      <c r="K190" t="s">
        <v>258</v>
      </c>
      <c r="L190">
        <v>2662400</v>
      </c>
      <c r="M190" t="s">
        <v>150</v>
      </c>
      <c r="N190" t="s">
        <v>259</v>
      </c>
      <c r="O190" t="s">
        <v>197</v>
      </c>
      <c r="P190" t="str">
        <f>IF(ISNUMBER(SEARCH("_2x", J190)), "2x", IF(ISNUMBER(SEARCH("_5x", J190)), "5x", IF(ISNUMBER(SEARCH("_10x", J190)), "10x", "1x")))</f>
        <v>10x</v>
      </c>
      <c r="W190">
        <v>1</v>
      </c>
      <c r="X190" t="str">
        <f t="shared" si="44"/>
        <v/>
      </c>
      <c r="Y190" t="str">
        <f t="shared" si="45"/>
        <v/>
      </c>
      <c r="Z190" t="str">
        <f t="shared" si="46"/>
        <v/>
      </c>
      <c r="AA190" t="str">
        <f t="shared" si="47"/>
        <v/>
      </c>
      <c r="AB190" t="str">
        <f t="shared" si="48"/>
        <v/>
      </c>
      <c r="AC190" t="str">
        <f t="shared" si="49"/>
        <v/>
      </c>
      <c r="AD190">
        <f t="shared" si="50"/>
        <v>2662400</v>
      </c>
    </row>
    <row r="191" spans="10:30">
      <c r="J191" t="s">
        <v>239</v>
      </c>
      <c r="K191" t="s">
        <v>130</v>
      </c>
      <c r="L191">
        <v>745472</v>
      </c>
      <c r="M191" t="s">
        <v>131</v>
      </c>
      <c r="N191" t="s">
        <v>132</v>
      </c>
      <c r="O191" t="s">
        <v>111</v>
      </c>
      <c r="P191" t="str">
        <f>IF(ISNUMBER(SEARCH("_2x", J191)), "2x", IF(ISNUMBER(SEARCH("_5x", J191)), "5x", IF(ISNUMBER(SEARCH("_10x", J191)), "10x", "1x")))</f>
        <v>10x</v>
      </c>
      <c r="W191">
        <v>1</v>
      </c>
      <c r="X191" t="str">
        <f t="shared" si="44"/>
        <v/>
      </c>
      <c r="Y191" t="str">
        <f t="shared" si="45"/>
        <v/>
      </c>
      <c r="Z191" t="str">
        <f t="shared" si="46"/>
        <v/>
      </c>
      <c r="AA191" t="str">
        <f t="shared" si="47"/>
        <v/>
      </c>
      <c r="AB191" t="str">
        <f t="shared" si="48"/>
        <v/>
      </c>
      <c r="AC191" t="str">
        <f t="shared" si="49"/>
        <v/>
      </c>
      <c r="AD191">
        <f t="shared" si="50"/>
        <v>745472</v>
      </c>
    </row>
    <row r="192" spans="10:30">
      <c r="J192" t="s">
        <v>239</v>
      </c>
      <c r="K192" t="s">
        <v>76</v>
      </c>
      <c r="L192">
        <v>87719936</v>
      </c>
      <c r="M192" t="s">
        <v>184</v>
      </c>
      <c r="N192" t="s">
        <v>260</v>
      </c>
      <c r="O192" t="s">
        <v>245</v>
      </c>
      <c r="P192" t="str">
        <f>IF(ISNUMBER(SEARCH("_2x", J192)), "2x", IF(ISNUMBER(SEARCH("_5x", J192)), "5x", IF(ISNUMBER(SEARCH("_10x", J192)), "10x", "1x")))</f>
        <v>10x</v>
      </c>
      <c r="W192">
        <v>1</v>
      </c>
      <c r="X192" t="str">
        <f t="shared" si="44"/>
        <v/>
      </c>
      <c r="Y192" t="str">
        <f t="shared" si="45"/>
        <v/>
      </c>
      <c r="Z192" t="str">
        <f t="shared" si="46"/>
        <v/>
      </c>
      <c r="AA192" t="str">
        <f t="shared" si="47"/>
        <v/>
      </c>
      <c r="AB192" t="str">
        <f t="shared" si="48"/>
        <v/>
      </c>
      <c r="AC192" t="str">
        <f t="shared" si="49"/>
        <v/>
      </c>
      <c r="AD192">
        <f t="shared" si="50"/>
        <v>87719936</v>
      </c>
    </row>
    <row r="193" spans="1:30">
      <c r="J193" t="s">
        <v>239</v>
      </c>
      <c r="K193" t="s">
        <v>261</v>
      </c>
      <c r="L193">
        <v>707330048</v>
      </c>
      <c r="M193" t="s">
        <v>262</v>
      </c>
      <c r="N193" t="s">
        <v>176</v>
      </c>
      <c r="O193" t="s">
        <v>263</v>
      </c>
      <c r="P193" t="str">
        <f>IF(ISNUMBER(SEARCH("_2x", J193)), "2x", IF(ISNUMBER(SEARCH("_5x", J193)), "5x", IF(ISNUMBER(SEARCH("_10x", J193)), "10x", "1x")))</f>
        <v>10x</v>
      </c>
      <c r="W193">
        <v>1</v>
      </c>
      <c r="X193" t="str">
        <f t="shared" si="44"/>
        <v/>
      </c>
      <c r="Y193" t="str">
        <f t="shared" si="45"/>
        <v/>
      </c>
      <c r="Z193" t="str">
        <f t="shared" si="46"/>
        <v/>
      </c>
      <c r="AA193" t="str">
        <f t="shared" si="47"/>
        <v/>
      </c>
      <c r="AB193" t="str">
        <f t="shared" si="48"/>
        <v/>
      </c>
      <c r="AC193" t="str">
        <f t="shared" si="49"/>
        <v/>
      </c>
      <c r="AD193">
        <f t="shared" si="50"/>
        <v>707330048</v>
      </c>
    </row>
    <row r="194" spans="1:30" hidden="1">
      <c r="J194" t="s">
        <v>297</v>
      </c>
      <c r="K194" t="s">
        <v>69</v>
      </c>
      <c r="L194">
        <v>24576</v>
      </c>
      <c r="M194" t="s">
        <v>291</v>
      </c>
      <c r="N194" t="s">
        <v>134</v>
      </c>
      <c r="O194" t="s">
        <v>111</v>
      </c>
      <c r="P194" t="str">
        <f>IF(ISNUMBER(SEARCH("_2x", J194)), "2x", IF(ISNUMBER(SEARCH("_5x", J194)), "5x", IF(ISNUMBER(SEARCH("_10x", J194)), "10x", "1x")))</f>
        <v>1x</v>
      </c>
      <c r="W194">
        <v>1</v>
      </c>
      <c r="X194" t="str">
        <f t="shared" ref="X148:X195" si="51">IF(Q194=1,$L194,"")</f>
        <v/>
      </c>
      <c r="Y194" t="str">
        <f t="shared" ref="Y148:Y195" si="52">IF(R194=1,$L194,"")</f>
        <v/>
      </c>
      <c r="Z194" t="str">
        <f t="shared" ref="Z148:Z195" si="53">IF(S194=1,$L194,"")</f>
        <v/>
      </c>
      <c r="AA194" t="str">
        <f t="shared" ref="AA148:AA195" si="54">IF(T194=1,$L194,"")</f>
        <v/>
      </c>
      <c r="AB194" t="str">
        <f t="shared" ref="AB148:AB195" si="55">IF(U194=1,$L194,"")</f>
        <v/>
      </c>
      <c r="AC194" t="str">
        <f t="shared" ref="AC148:AC195" si="56">IF(V194=1,$L194,"")</f>
        <v/>
      </c>
      <c r="AD194">
        <f t="shared" ref="AD148:AD195" si="57">IF(W194=1,$L194,"")</f>
        <v>24576</v>
      </c>
    </row>
    <row r="195" spans="1:30" hidden="1">
      <c r="J195" t="s">
        <v>297</v>
      </c>
      <c r="K195" t="s">
        <v>105</v>
      </c>
      <c r="L195">
        <v>16384</v>
      </c>
      <c r="M195" t="s">
        <v>111</v>
      </c>
      <c r="N195" t="s">
        <v>134</v>
      </c>
      <c r="O195" t="s">
        <v>110</v>
      </c>
      <c r="P195" t="str">
        <f>IF(ISNUMBER(SEARCH("_2x", J195)), "2x", IF(ISNUMBER(SEARCH("_5x", J195)), "5x", IF(ISNUMBER(SEARCH("_10x", J195)), "10x", "1x")))</f>
        <v>1x</v>
      </c>
      <c r="W195">
        <v>1</v>
      </c>
      <c r="X195" t="str">
        <f t="shared" si="51"/>
        <v/>
      </c>
      <c r="Y195" t="str">
        <f t="shared" si="52"/>
        <v/>
      </c>
      <c r="Z195" t="str">
        <f t="shared" si="53"/>
        <v/>
      </c>
      <c r="AA195" t="str">
        <f t="shared" si="54"/>
        <v/>
      </c>
      <c r="AB195" t="str">
        <f t="shared" si="55"/>
        <v/>
      </c>
      <c r="AC195" t="str">
        <f t="shared" si="56"/>
        <v/>
      </c>
      <c r="AD195">
        <f t="shared" si="57"/>
        <v>16384</v>
      </c>
    </row>
    <row r="196" spans="1:30" ht="14" hidden="1" customHeight="1">
      <c r="A196"/>
      <c r="B196"/>
      <c r="C196"/>
      <c r="D196"/>
      <c r="E196"/>
      <c r="F196"/>
      <c r="G196"/>
      <c r="H196"/>
      <c r="J196" t="s">
        <v>297</v>
      </c>
      <c r="K196" t="s">
        <v>108</v>
      </c>
      <c r="L196">
        <v>16384</v>
      </c>
      <c r="M196" t="s">
        <v>111</v>
      </c>
      <c r="N196" t="s">
        <v>134</v>
      </c>
      <c r="O196" t="s">
        <v>110</v>
      </c>
      <c r="P196" t="str">
        <f>IF(ISNUMBER(SEARCH("_2x", J196)), "2x", IF(ISNUMBER(SEARCH("_5x", J196)), "5x", IF(ISNUMBER(SEARCH("_10x", J196)), "10x", "1x")))</f>
        <v>1x</v>
      </c>
    </row>
    <row r="197" spans="1:30" ht="14" hidden="1" customHeight="1">
      <c r="A197"/>
      <c r="B197"/>
      <c r="C197"/>
      <c r="D197"/>
      <c r="E197"/>
      <c r="F197"/>
      <c r="G197"/>
      <c r="H197"/>
      <c r="J197" t="s">
        <v>297</v>
      </c>
      <c r="K197" t="s">
        <v>112</v>
      </c>
      <c r="L197">
        <v>16384</v>
      </c>
      <c r="M197" t="s">
        <v>111</v>
      </c>
      <c r="N197" t="s">
        <v>134</v>
      </c>
      <c r="O197" t="s">
        <v>110</v>
      </c>
      <c r="P197" t="str">
        <f>IF(ISNUMBER(SEARCH("_2x", J197)), "2x", IF(ISNUMBER(SEARCH("_5x", J197)), "5x", IF(ISNUMBER(SEARCH("_10x", J197)), "10x", "1x")))</f>
        <v>1x</v>
      </c>
    </row>
    <row r="198" spans="1:30" ht="14" hidden="1" customHeight="1">
      <c r="A198"/>
      <c r="B198"/>
      <c r="C198"/>
      <c r="D198"/>
      <c r="E198"/>
      <c r="F198"/>
      <c r="G198"/>
      <c r="H198"/>
      <c r="J198" t="s">
        <v>297</v>
      </c>
      <c r="K198" t="s">
        <v>116</v>
      </c>
      <c r="L198">
        <v>41320448</v>
      </c>
      <c r="M198" t="s">
        <v>298</v>
      </c>
      <c r="N198" t="s">
        <v>265</v>
      </c>
      <c r="O198" t="s">
        <v>299</v>
      </c>
      <c r="P198" t="str">
        <f>IF(ISNUMBER(SEARCH("_2x", J198)), "2x", IF(ISNUMBER(SEARCH("_5x", J198)), "5x", IF(ISNUMBER(SEARCH("_10x", J198)), "10x", "1x")))</f>
        <v>1x</v>
      </c>
    </row>
    <row r="199" spans="1:30" ht="14" hidden="1" customHeight="1">
      <c r="A199"/>
      <c r="B199"/>
      <c r="C199"/>
      <c r="D199"/>
      <c r="E199"/>
      <c r="F199"/>
      <c r="G199"/>
      <c r="H199"/>
      <c r="J199" t="s">
        <v>297</v>
      </c>
      <c r="K199" t="s">
        <v>120</v>
      </c>
      <c r="L199">
        <v>629678080</v>
      </c>
      <c r="M199" t="s">
        <v>300</v>
      </c>
      <c r="N199" t="s">
        <v>71</v>
      </c>
      <c r="O199" t="s">
        <v>299</v>
      </c>
      <c r="P199" t="str">
        <f>IF(ISNUMBER(SEARCH("_2x", J199)), "2x", IF(ISNUMBER(SEARCH("_5x", J199)), "5x", IF(ISNUMBER(SEARCH("_10x", J199)), "10x", "1x")))</f>
        <v>1x</v>
      </c>
    </row>
    <row r="200" spans="1:30" ht="14" hidden="1" customHeight="1">
      <c r="A200"/>
      <c r="B200"/>
      <c r="C200"/>
      <c r="D200"/>
      <c r="E200"/>
      <c r="F200"/>
      <c r="G200"/>
      <c r="H200"/>
      <c r="J200" t="s">
        <v>297</v>
      </c>
      <c r="K200" t="s">
        <v>73</v>
      </c>
      <c r="L200">
        <v>304340992</v>
      </c>
      <c r="M200" t="s">
        <v>301</v>
      </c>
      <c r="N200" t="s">
        <v>302</v>
      </c>
      <c r="O200" t="s">
        <v>188</v>
      </c>
      <c r="P200" t="str">
        <f>IF(ISNUMBER(SEARCH("_2x", J200)), "2x", IF(ISNUMBER(SEARCH("_5x", J200)), "5x", IF(ISNUMBER(SEARCH("_10x", J200)), "10x", "1x")))</f>
        <v>1x</v>
      </c>
    </row>
    <row r="201" spans="1:30" ht="14" hidden="1" customHeight="1">
      <c r="A201"/>
      <c r="B201"/>
      <c r="C201"/>
      <c r="D201"/>
      <c r="E201"/>
      <c r="F201"/>
      <c r="G201"/>
      <c r="H201"/>
      <c r="J201" t="s">
        <v>297</v>
      </c>
      <c r="K201" t="s">
        <v>124</v>
      </c>
      <c r="L201">
        <v>16384</v>
      </c>
      <c r="M201" t="s">
        <v>111</v>
      </c>
      <c r="N201" t="s">
        <v>134</v>
      </c>
      <c r="O201" t="s">
        <v>110</v>
      </c>
      <c r="P201" t="str">
        <f>IF(ISNUMBER(SEARCH("_2x", J201)), "2x", IF(ISNUMBER(SEARCH("_5x", J201)), "5x", IF(ISNUMBER(SEARCH("_10x", J201)), "10x", "1x")))</f>
        <v>1x</v>
      </c>
    </row>
    <row r="202" spans="1:30" ht="14" hidden="1" customHeight="1">
      <c r="A202"/>
      <c r="B202"/>
      <c r="C202"/>
      <c r="D202"/>
      <c r="E202"/>
      <c r="F202"/>
      <c r="G202"/>
      <c r="H202"/>
      <c r="J202" t="s">
        <v>297</v>
      </c>
      <c r="K202" t="s">
        <v>76</v>
      </c>
      <c r="L202">
        <v>327974912</v>
      </c>
      <c r="M202" t="s">
        <v>303</v>
      </c>
      <c r="N202" t="s">
        <v>304</v>
      </c>
      <c r="O202" t="s">
        <v>305</v>
      </c>
      <c r="P202" t="str">
        <f>IF(ISNUMBER(SEARCH("_2x", J202)), "2x", IF(ISNUMBER(SEARCH("_5x", J202)), "5x", IF(ISNUMBER(SEARCH("_10x", J202)), "10x", "1x")))</f>
        <v>1x</v>
      </c>
    </row>
    <row r="203" spans="1:30" ht="14" hidden="1" customHeight="1">
      <c r="A203"/>
      <c r="B203"/>
      <c r="C203"/>
      <c r="D203"/>
      <c r="E203"/>
      <c r="F203"/>
      <c r="G203"/>
      <c r="H203"/>
      <c r="J203" t="s">
        <v>297</v>
      </c>
      <c r="K203" t="s">
        <v>133</v>
      </c>
      <c r="L203">
        <v>16384</v>
      </c>
      <c r="M203" t="s">
        <v>111</v>
      </c>
      <c r="N203" t="s">
        <v>134</v>
      </c>
      <c r="O203" t="s">
        <v>110</v>
      </c>
      <c r="P203" t="str">
        <f>IF(ISNUMBER(SEARCH("_2x", J203)), "2x", IF(ISNUMBER(SEARCH("_5x", J203)), "5x", IF(ISNUMBER(SEARCH("_10x", J203)), "10x", "1x")))</f>
        <v>1x</v>
      </c>
    </row>
    <row r="204" spans="1:30" ht="14" hidden="1" customHeight="1">
      <c r="A204"/>
      <c r="B204"/>
      <c r="C204"/>
      <c r="D204"/>
      <c r="E204"/>
      <c r="F204"/>
      <c r="G204"/>
      <c r="H204"/>
      <c r="J204" t="s">
        <v>306</v>
      </c>
      <c r="K204" t="s">
        <v>91</v>
      </c>
      <c r="L204">
        <v>662315008</v>
      </c>
      <c r="M204" t="s">
        <v>307</v>
      </c>
      <c r="N204" t="s">
        <v>308</v>
      </c>
      <c r="O204" t="s">
        <v>134</v>
      </c>
      <c r="P204" t="str">
        <f>IF(ISNUMBER(SEARCH("_2x", J204)), "2x", IF(ISNUMBER(SEARCH("_5x", J204)), "5x", IF(ISNUMBER(SEARCH("_10x", J204)), "10x", "1x")))</f>
        <v>1x</v>
      </c>
    </row>
    <row r="205" spans="1:30" ht="14" hidden="1" customHeight="1">
      <c r="A205"/>
      <c r="B205"/>
      <c r="C205"/>
      <c r="D205"/>
      <c r="E205"/>
      <c r="F205"/>
      <c r="G205"/>
      <c r="H205"/>
      <c r="J205" t="s">
        <v>306</v>
      </c>
      <c r="K205" t="s">
        <v>95</v>
      </c>
      <c r="L205">
        <v>221175808</v>
      </c>
      <c r="M205" t="s">
        <v>309</v>
      </c>
      <c r="N205" t="s">
        <v>309</v>
      </c>
      <c r="O205" t="s">
        <v>134</v>
      </c>
      <c r="P205" t="str">
        <f>IF(ISNUMBER(SEARCH("_2x", J205)), "2x", IF(ISNUMBER(SEARCH("_5x", J205)), "5x", IF(ISNUMBER(SEARCH("_10x", J205)), "10x", "1x")))</f>
        <v>1x</v>
      </c>
    </row>
    <row r="206" spans="1:30" ht="14" hidden="1" customHeight="1">
      <c r="A206"/>
      <c r="B206"/>
      <c r="C206"/>
      <c r="D206"/>
      <c r="E206"/>
      <c r="F206"/>
      <c r="G206"/>
      <c r="H206"/>
      <c r="J206" t="s">
        <v>306</v>
      </c>
      <c r="K206" t="s">
        <v>99</v>
      </c>
      <c r="L206">
        <v>112230400</v>
      </c>
      <c r="M206" t="s">
        <v>310</v>
      </c>
      <c r="N206" t="s">
        <v>310</v>
      </c>
      <c r="O206" t="s">
        <v>134</v>
      </c>
      <c r="P206" t="str">
        <f>IF(ISNUMBER(SEARCH("_2x", J206)), "2x", IF(ISNUMBER(SEARCH("_5x", J206)), "5x", IF(ISNUMBER(SEARCH("_10x", J206)), "10x", "1x")))</f>
        <v>1x</v>
      </c>
    </row>
    <row r="207" spans="1:30" hidden="1">
      <c r="J207" t="s">
        <v>306</v>
      </c>
      <c r="K207" t="s">
        <v>103</v>
      </c>
      <c r="L207">
        <v>617111552</v>
      </c>
      <c r="M207" t="s">
        <v>311</v>
      </c>
      <c r="N207" t="s">
        <v>312</v>
      </c>
      <c r="O207" t="s">
        <v>134</v>
      </c>
      <c r="P207" t="str">
        <f t="shared" ref="P207:P265" si="58">IF(ISNUMBER(SEARCH("_2x", J207)), "2x", IF(ISNUMBER(SEARCH("_5x", J207)), "5x", IF(ISNUMBER(SEARCH("_10x", J207)), "10x", "1x")))</f>
        <v>1x</v>
      </c>
    </row>
    <row r="208" spans="1:30" hidden="1">
      <c r="J208" t="s">
        <v>306</v>
      </c>
      <c r="K208" t="s">
        <v>69</v>
      </c>
      <c r="L208">
        <v>819453952</v>
      </c>
      <c r="M208" t="s">
        <v>313</v>
      </c>
      <c r="N208" t="s">
        <v>313</v>
      </c>
      <c r="O208" t="s">
        <v>134</v>
      </c>
      <c r="P208" t="str">
        <f t="shared" si="58"/>
        <v>1x</v>
      </c>
    </row>
    <row r="209" spans="10:16" hidden="1">
      <c r="J209" t="s">
        <v>306</v>
      </c>
      <c r="K209" t="s">
        <v>73</v>
      </c>
      <c r="L209">
        <v>31547392</v>
      </c>
      <c r="M209" t="s">
        <v>96</v>
      </c>
      <c r="N209" t="s">
        <v>96</v>
      </c>
      <c r="O209" t="s">
        <v>134</v>
      </c>
      <c r="P209" t="str">
        <f t="shared" si="58"/>
        <v>1x</v>
      </c>
    </row>
    <row r="210" spans="10:16" hidden="1">
      <c r="J210" t="s">
        <v>306</v>
      </c>
      <c r="K210" t="s">
        <v>126</v>
      </c>
      <c r="L210">
        <v>25632768</v>
      </c>
      <c r="M210" t="s">
        <v>217</v>
      </c>
      <c r="N210" t="s">
        <v>217</v>
      </c>
      <c r="O210" t="s">
        <v>134</v>
      </c>
      <c r="P210" t="str">
        <f t="shared" si="58"/>
        <v>1x</v>
      </c>
    </row>
    <row r="211" spans="10:16" hidden="1">
      <c r="J211" t="s">
        <v>306</v>
      </c>
      <c r="K211" t="s">
        <v>130</v>
      </c>
      <c r="L211">
        <v>6438912</v>
      </c>
      <c r="M211" t="s">
        <v>314</v>
      </c>
      <c r="N211" t="s">
        <v>315</v>
      </c>
      <c r="O211" t="s">
        <v>134</v>
      </c>
      <c r="P211" t="str">
        <f t="shared" si="58"/>
        <v>1x</v>
      </c>
    </row>
    <row r="212" spans="10:16" hidden="1">
      <c r="J212" t="s">
        <v>306</v>
      </c>
      <c r="K212" t="s">
        <v>76</v>
      </c>
      <c r="L212">
        <v>187981824</v>
      </c>
      <c r="M212" t="s">
        <v>316</v>
      </c>
      <c r="N212" t="s">
        <v>316</v>
      </c>
      <c r="O212" t="s">
        <v>134</v>
      </c>
      <c r="P212" t="str">
        <f t="shared" si="58"/>
        <v>1x</v>
      </c>
    </row>
    <row r="213" spans="10:16" hidden="1">
      <c r="J213" t="s">
        <v>306</v>
      </c>
      <c r="K213" t="s">
        <v>317</v>
      </c>
      <c r="L213">
        <v>20029440</v>
      </c>
      <c r="M213" t="s">
        <v>279</v>
      </c>
      <c r="N213" t="s">
        <v>279</v>
      </c>
      <c r="O213" t="s">
        <v>134</v>
      </c>
      <c r="P213" t="str">
        <f t="shared" si="58"/>
        <v>1x</v>
      </c>
    </row>
    <row r="214" spans="10:16" hidden="1">
      <c r="J214" t="s">
        <v>318</v>
      </c>
      <c r="K214" t="s">
        <v>91</v>
      </c>
      <c r="L214">
        <v>45760512</v>
      </c>
      <c r="M214" t="s">
        <v>155</v>
      </c>
      <c r="N214" t="s">
        <v>155</v>
      </c>
      <c r="O214" t="s">
        <v>134</v>
      </c>
      <c r="P214" t="str">
        <f t="shared" si="58"/>
        <v>1x</v>
      </c>
    </row>
    <row r="215" spans="10:16" hidden="1">
      <c r="J215" t="s">
        <v>318</v>
      </c>
      <c r="K215" t="s">
        <v>95</v>
      </c>
      <c r="L215">
        <v>11124736</v>
      </c>
      <c r="M215" t="s">
        <v>137</v>
      </c>
      <c r="N215" t="s">
        <v>137</v>
      </c>
      <c r="O215" t="s">
        <v>134</v>
      </c>
      <c r="P215" t="str">
        <f t="shared" si="58"/>
        <v>1x</v>
      </c>
    </row>
    <row r="216" spans="10:16" hidden="1">
      <c r="J216" t="s">
        <v>318</v>
      </c>
      <c r="K216" t="s">
        <v>99</v>
      </c>
      <c r="L216">
        <v>8175616</v>
      </c>
      <c r="M216" t="s">
        <v>319</v>
      </c>
      <c r="N216" t="s">
        <v>320</v>
      </c>
      <c r="O216" t="s">
        <v>134</v>
      </c>
      <c r="P216" t="str">
        <f t="shared" si="58"/>
        <v>1x</v>
      </c>
    </row>
    <row r="217" spans="10:16" hidden="1">
      <c r="J217" t="s">
        <v>318</v>
      </c>
      <c r="K217" t="s">
        <v>103</v>
      </c>
      <c r="L217">
        <v>44802048</v>
      </c>
      <c r="M217" t="s">
        <v>321</v>
      </c>
      <c r="N217" t="s">
        <v>321</v>
      </c>
      <c r="O217" t="s">
        <v>134</v>
      </c>
      <c r="P217" t="str">
        <f t="shared" si="58"/>
        <v>1x</v>
      </c>
    </row>
    <row r="218" spans="10:16" hidden="1">
      <c r="J218" t="s">
        <v>318</v>
      </c>
      <c r="K218" t="s">
        <v>69</v>
      </c>
      <c r="L218">
        <v>819404800</v>
      </c>
      <c r="M218" t="s">
        <v>313</v>
      </c>
      <c r="N218" t="s">
        <v>313</v>
      </c>
      <c r="O218" t="s">
        <v>134</v>
      </c>
      <c r="P218" t="str">
        <f t="shared" si="58"/>
        <v>1x</v>
      </c>
    </row>
    <row r="219" spans="10:16" hidden="1">
      <c r="J219" t="s">
        <v>318</v>
      </c>
      <c r="K219" t="s">
        <v>73</v>
      </c>
      <c r="L219">
        <v>5365760</v>
      </c>
      <c r="M219" t="s">
        <v>322</v>
      </c>
      <c r="N219" t="s">
        <v>323</v>
      </c>
      <c r="O219" t="s">
        <v>134</v>
      </c>
      <c r="P219" t="str">
        <f t="shared" si="58"/>
        <v>1x</v>
      </c>
    </row>
    <row r="220" spans="10:16" hidden="1">
      <c r="J220" t="s">
        <v>318</v>
      </c>
      <c r="K220" t="s">
        <v>126</v>
      </c>
      <c r="L220">
        <v>4366336</v>
      </c>
      <c r="M220" t="s">
        <v>324</v>
      </c>
      <c r="N220" t="s">
        <v>325</v>
      </c>
      <c r="O220" t="s">
        <v>134</v>
      </c>
      <c r="P220" t="str">
        <f t="shared" si="58"/>
        <v>1x</v>
      </c>
    </row>
    <row r="221" spans="10:16" hidden="1">
      <c r="J221" t="s">
        <v>318</v>
      </c>
      <c r="K221" t="s">
        <v>130</v>
      </c>
      <c r="L221">
        <v>958464</v>
      </c>
      <c r="M221" t="s">
        <v>326</v>
      </c>
      <c r="N221" t="s">
        <v>327</v>
      </c>
      <c r="O221" t="s">
        <v>134</v>
      </c>
      <c r="P221" t="str">
        <f t="shared" si="58"/>
        <v>1x</v>
      </c>
    </row>
    <row r="222" spans="10:16" hidden="1">
      <c r="J222" t="s">
        <v>318</v>
      </c>
      <c r="K222" t="s">
        <v>328</v>
      </c>
      <c r="L222">
        <v>8192</v>
      </c>
      <c r="M222" t="s">
        <v>110</v>
      </c>
      <c r="N222" t="s">
        <v>110</v>
      </c>
      <c r="O222" t="s">
        <v>134</v>
      </c>
      <c r="P222" t="str">
        <f t="shared" si="58"/>
        <v>1x</v>
      </c>
    </row>
    <row r="223" spans="10:16" hidden="1">
      <c r="J223" t="s">
        <v>318</v>
      </c>
      <c r="K223" t="s">
        <v>76</v>
      </c>
      <c r="L223">
        <v>40615936</v>
      </c>
      <c r="M223" t="s">
        <v>298</v>
      </c>
      <c r="N223" t="s">
        <v>298</v>
      </c>
      <c r="O223" t="s">
        <v>134</v>
      </c>
      <c r="P223" t="str">
        <f t="shared" si="58"/>
        <v>1x</v>
      </c>
    </row>
    <row r="224" spans="10:16" hidden="1">
      <c r="J224" t="s">
        <v>318</v>
      </c>
      <c r="K224" t="s">
        <v>317</v>
      </c>
      <c r="L224">
        <v>3424256</v>
      </c>
      <c r="M224" t="s">
        <v>329</v>
      </c>
      <c r="N224" t="s">
        <v>330</v>
      </c>
      <c r="O224" t="s">
        <v>134</v>
      </c>
      <c r="P224" t="str">
        <f t="shared" si="58"/>
        <v>1x</v>
      </c>
    </row>
    <row r="225" spans="10:16" hidden="1">
      <c r="J225" t="s">
        <v>331</v>
      </c>
      <c r="K225" t="s">
        <v>91</v>
      </c>
      <c r="L225">
        <v>45760512</v>
      </c>
      <c r="M225" t="s">
        <v>155</v>
      </c>
      <c r="N225" t="s">
        <v>155</v>
      </c>
      <c r="O225" t="s">
        <v>134</v>
      </c>
      <c r="P225" t="str">
        <f t="shared" si="58"/>
        <v>10x</v>
      </c>
    </row>
    <row r="226" spans="10:16" hidden="1">
      <c r="J226" t="s">
        <v>331</v>
      </c>
      <c r="K226" t="s">
        <v>95</v>
      </c>
      <c r="L226">
        <v>11124736</v>
      </c>
      <c r="M226" t="s">
        <v>137</v>
      </c>
      <c r="N226" t="s">
        <v>137</v>
      </c>
      <c r="O226" t="s">
        <v>134</v>
      </c>
      <c r="P226" t="str">
        <f t="shared" si="58"/>
        <v>10x</v>
      </c>
    </row>
    <row r="227" spans="10:16" hidden="1">
      <c r="J227" t="s">
        <v>331</v>
      </c>
      <c r="K227" t="s">
        <v>99</v>
      </c>
      <c r="L227">
        <v>81428480</v>
      </c>
      <c r="M227" t="s">
        <v>332</v>
      </c>
      <c r="N227" t="s">
        <v>332</v>
      </c>
      <c r="O227" t="s">
        <v>134</v>
      </c>
      <c r="P227" t="str">
        <f t="shared" si="58"/>
        <v>10x</v>
      </c>
    </row>
    <row r="228" spans="10:16" hidden="1">
      <c r="J228" t="s">
        <v>331</v>
      </c>
      <c r="K228" t="s">
        <v>103</v>
      </c>
      <c r="L228">
        <v>447717376</v>
      </c>
      <c r="M228" t="s">
        <v>333</v>
      </c>
      <c r="N228" t="s">
        <v>333</v>
      </c>
      <c r="O228" t="s">
        <v>134</v>
      </c>
      <c r="P228" t="str">
        <f t="shared" si="58"/>
        <v>10x</v>
      </c>
    </row>
    <row r="229" spans="10:16" hidden="1">
      <c r="J229" t="s">
        <v>331</v>
      </c>
      <c r="K229" t="s">
        <v>334</v>
      </c>
      <c r="L229">
        <v>44318720</v>
      </c>
      <c r="M229" t="s">
        <v>335</v>
      </c>
      <c r="N229" t="s">
        <v>335</v>
      </c>
      <c r="O229" t="s">
        <v>134</v>
      </c>
      <c r="P229" t="str">
        <f t="shared" si="58"/>
        <v>10x</v>
      </c>
    </row>
    <row r="230" spans="10:16" hidden="1">
      <c r="J230" t="s">
        <v>331</v>
      </c>
      <c r="K230" t="s">
        <v>69</v>
      </c>
      <c r="L230">
        <v>8192647168</v>
      </c>
      <c r="M230" t="s">
        <v>336</v>
      </c>
      <c r="N230" t="s">
        <v>337</v>
      </c>
      <c r="O230" t="s">
        <v>134</v>
      </c>
      <c r="P230" t="str">
        <f t="shared" si="58"/>
        <v>10x</v>
      </c>
    </row>
    <row r="231" spans="10:16" hidden="1">
      <c r="J231" t="s">
        <v>331</v>
      </c>
      <c r="K231" t="s">
        <v>73</v>
      </c>
      <c r="L231">
        <v>53370880</v>
      </c>
      <c r="M231" t="s">
        <v>338</v>
      </c>
      <c r="N231" t="s">
        <v>338</v>
      </c>
      <c r="O231" t="s">
        <v>134</v>
      </c>
      <c r="P231" t="str">
        <f t="shared" si="58"/>
        <v>10x</v>
      </c>
    </row>
    <row r="232" spans="10:16" hidden="1">
      <c r="J232" t="s">
        <v>331</v>
      </c>
      <c r="K232" t="s">
        <v>126</v>
      </c>
      <c r="L232">
        <v>43376640</v>
      </c>
      <c r="M232" t="s">
        <v>339</v>
      </c>
      <c r="N232" t="s">
        <v>339</v>
      </c>
      <c r="O232" t="s">
        <v>134</v>
      </c>
      <c r="P232" t="str">
        <f t="shared" si="58"/>
        <v>10x</v>
      </c>
    </row>
    <row r="233" spans="10:16" hidden="1">
      <c r="J233" t="s">
        <v>331</v>
      </c>
      <c r="K233" t="s">
        <v>130</v>
      </c>
      <c r="L233">
        <v>434176</v>
      </c>
      <c r="M233" t="s">
        <v>340</v>
      </c>
      <c r="N233" t="s">
        <v>341</v>
      </c>
      <c r="O233" t="s">
        <v>134</v>
      </c>
      <c r="P233" t="str">
        <f t="shared" si="58"/>
        <v>10x</v>
      </c>
    </row>
    <row r="234" spans="10:16" hidden="1">
      <c r="J234" t="s">
        <v>331</v>
      </c>
      <c r="K234" t="s">
        <v>76</v>
      </c>
      <c r="L234">
        <v>405626880</v>
      </c>
      <c r="M234" t="s">
        <v>342</v>
      </c>
      <c r="N234" t="s">
        <v>342</v>
      </c>
      <c r="O234" t="s">
        <v>134</v>
      </c>
      <c r="P234" t="str">
        <f t="shared" si="58"/>
        <v>10x</v>
      </c>
    </row>
    <row r="235" spans="10:16" hidden="1">
      <c r="J235" t="s">
        <v>331</v>
      </c>
      <c r="K235" t="s">
        <v>317</v>
      </c>
      <c r="L235">
        <v>33857536</v>
      </c>
      <c r="M235" t="s">
        <v>115</v>
      </c>
      <c r="N235" t="s">
        <v>115</v>
      </c>
      <c r="O235" t="s">
        <v>134</v>
      </c>
      <c r="P235" t="str">
        <f t="shared" si="58"/>
        <v>10x</v>
      </c>
    </row>
    <row r="236" spans="10:16" hidden="1">
      <c r="J236" t="s">
        <v>343</v>
      </c>
      <c r="K236" t="s">
        <v>91</v>
      </c>
      <c r="L236">
        <v>45760512</v>
      </c>
      <c r="M236" t="s">
        <v>155</v>
      </c>
      <c r="N236" t="s">
        <v>155</v>
      </c>
      <c r="O236" t="s">
        <v>134</v>
      </c>
      <c r="P236" t="str">
        <f t="shared" si="58"/>
        <v>2x</v>
      </c>
    </row>
    <row r="237" spans="10:16" hidden="1">
      <c r="J237" t="s">
        <v>343</v>
      </c>
      <c r="K237" t="s">
        <v>95</v>
      </c>
      <c r="L237">
        <v>11124736</v>
      </c>
      <c r="M237" t="s">
        <v>137</v>
      </c>
      <c r="N237" t="s">
        <v>137</v>
      </c>
      <c r="O237" t="s">
        <v>134</v>
      </c>
      <c r="P237" t="str">
        <f t="shared" si="58"/>
        <v>2x</v>
      </c>
    </row>
    <row r="238" spans="10:16" hidden="1">
      <c r="J238" t="s">
        <v>343</v>
      </c>
      <c r="K238" t="s">
        <v>99</v>
      </c>
      <c r="L238">
        <v>16310272</v>
      </c>
      <c r="M238" t="s">
        <v>123</v>
      </c>
      <c r="N238" t="s">
        <v>123</v>
      </c>
      <c r="O238" t="s">
        <v>134</v>
      </c>
      <c r="P238" t="str">
        <f t="shared" si="58"/>
        <v>2x</v>
      </c>
    </row>
    <row r="239" spans="10:16" hidden="1">
      <c r="J239" t="s">
        <v>343</v>
      </c>
      <c r="K239" t="s">
        <v>103</v>
      </c>
      <c r="L239">
        <v>89563136</v>
      </c>
      <c r="M239" t="s">
        <v>344</v>
      </c>
      <c r="N239" t="s">
        <v>344</v>
      </c>
      <c r="O239" t="s">
        <v>134</v>
      </c>
      <c r="P239" t="str">
        <f t="shared" si="58"/>
        <v>2x</v>
      </c>
    </row>
    <row r="240" spans="10:16" hidden="1">
      <c r="J240" t="s">
        <v>343</v>
      </c>
      <c r="K240" t="s">
        <v>334</v>
      </c>
      <c r="L240">
        <v>8888320</v>
      </c>
      <c r="M240" t="s">
        <v>345</v>
      </c>
      <c r="N240" t="s">
        <v>346</v>
      </c>
      <c r="O240" t="s">
        <v>134</v>
      </c>
      <c r="P240" t="str">
        <f t="shared" si="58"/>
        <v>2x</v>
      </c>
    </row>
    <row r="241" spans="10:16" hidden="1">
      <c r="J241" t="s">
        <v>343</v>
      </c>
      <c r="K241" t="s">
        <v>69</v>
      </c>
      <c r="L241">
        <v>1638555648</v>
      </c>
      <c r="M241" t="s">
        <v>347</v>
      </c>
      <c r="N241" t="s">
        <v>348</v>
      </c>
      <c r="O241" t="s">
        <v>134</v>
      </c>
      <c r="P241" t="str">
        <f t="shared" si="58"/>
        <v>2x</v>
      </c>
    </row>
    <row r="242" spans="10:16" hidden="1">
      <c r="J242" t="s">
        <v>343</v>
      </c>
      <c r="K242" t="s">
        <v>73</v>
      </c>
      <c r="L242">
        <v>10698752</v>
      </c>
      <c r="M242" t="s">
        <v>138</v>
      </c>
      <c r="N242" t="s">
        <v>138</v>
      </c>
      <c r="O242" t="s">
        <v>134</v>
      </c>
      <c r="P242" t="str">
        <f t="shared" si="58"/>
        <v>2x</v>
      </c>
    </row>
    <row r="243" spans="10:16" hidden="1">
      <c r="J243" t="s">
        <v>343</v>
      </c>
      <c r="K243" t="s">
        <v>126</v>
      </c>
      <c r="L243">
        <v>8699904</v>
      </c>
      <c r="M243" t="s">
        <v>349</v>
      </c>
      <c r="N243" t="s">
        <v>350</v>
      </c>
      <c r="O243" t="s">
        <v>134</v>
      </c>
      <c r="P243" t="str">
        <f t="shared" si="58"/>
        <v>2x</v>
      </c>
    </row>
    <row r="244" spans="10:16" hidden="1">
      <c r="J244" t="s">
        <v>343</v>
      </c>
      <c r="K244" t="s">
        <v>130</v>
      </c>
      <c r="L244">
        <v>434176</v>
      </c>
      <c r="M244" t="s">
        <v>340</v>
      </c>
      <c r="N244" t="s">
        <v>341</v>
      </c>
      <c r="O244" t="s">
        <v>134</v>
      </c>
      <c r="P244" t="str">
        <f t="shared" si="58"/>
        <v>2x</v>
      </c>
    </row>
    <row r="245" spans="10:16" hidden="1">
      <c r="J245" t="s">
        <v>343</v>
      </c>
      <c r="K245" t="s">
        <v>76</v>
      </c>
      <c r="L245">
        <v>81158144</v>
      </c>
      <c r="M245" t="s">
        <v>351</v>
      </c>
      <c r="N245" t="s">
        <v>351</v>
      </c>
      <c r="O245" t="s">
        <v>134</v>
      </c>
      <c r="P245" t="str">
        <f t="shared" si="58"/>
        <v>2x</v>
      </c>
    </row>
    <row r="246" spans="10:16" hidden="1">
      <c r="J246" t="s">
        <v>343</v>
      </c>
      <c r="K246" t="s">
        <v>317</v>
      </c>
      <c r="L246">
        <v>6807552</v>
      </c>
      <c r="M246" t="s">
        <v>352</v>
      </c>
      <c r="N246" t="s">
        <v>353</v>
      </c>
      <c r="O246" t="s">
        <v>134</v>
      </c>
      <c r="P246" t="str">
        <f t="shared" si="58"/>
        <v>2x</v>
      </c>
    </row>
    <row r="247" spans="10:16" hidden="1">
      <c r="J247" t="s">
        <v>354</v>
      </c>
      <c r="K247" t="s">
        <v>99</v>
      </c>
      <c r="L247">
        <v>39460864</v>
      </c>
      <c r="M247" t="s">
        <v>355</v>
      </c>
      <c r="N247" t="s">
        <v>355</v>
      </c>
      <c r="O247" t="s">
        <v>134</v>
      </c>
      <c r="P247" t="str">
        <f t="shared" si="58"/>
        <v>1x</v>
      </c>
    </row>
    <row r="248" spans="10:16" hidden="1">
      <c r="J248" t="s">
        <v>354</v>
      </c>
      <c r="K248" t="s">
        <v>103</v>
      </c>
      <c r="L248">
        <v>216850432</v>
      </c>
      <c r="M248" t="s">
        <v>356</v>
      </c>
      <c r="N248" t="s">
        <v>356</v>
      </c>
      <c r="O248" t="s">
        <v>134</v>
      </c>
      <c r="P248" t="str">
        <f t="shared" si="58"/>
        <v>1x</v>
      </c>
    </row>
    <row r="249" spans="10:16" hidden="1">
      <c r="J249" t="s">
        <v>354</v>
      </c>
      <c r="K249" t="s">
        <v>334</v>
      </c>
      <c r="L249">
        <v>13320192</v>
      </c>
      <c r="M249" t="s">
        <v>104</v>
      </c>
      <c r="N249" t="s">
        <v>104</v>
      </c>
      <c r="O249" t="s">
        <v>134</v>
      </c>
      <c r="P249" t="str">
        <f t="shared" si="58"/>
        <v>1x</v>
      </c>
    </row>
    <row r="250" spans="10:16" hidden="1">
      <c r="J250" t="s">
        <v>354</v>
      </c>
      <c r="K250" t="s">
        <v>69</v>
      </c>
      <c r="L250">
        <v>2457812992</v>
      </c>
      <c r="M250" t="s">
        <v>357</v>
      </c>
      <c r="N250" t="s">
        <v>358</v>
      </c>
      <c r="O250" t="s">
        <v>134</v>
      </c>
      <c r="P250" t="str">
        <f t="shared" si="58"/>
        <v>1x</v>
      </c>
    </row>
    <row r="251" spans="10:16" hidden="1">
      <c r="J251" t="s">
        <v>354</v>
      </c>
      <c r="K251" t="s">
        <v>73</v>
      </c>
      <c r="L251">
        <v>16031744</v>
      </c>
      <c r="M251" t="s">
        <v>88</v>
      </c>
      <c r="N251" t="s">
        <v>88</v>
      </c>
      <c r="O251" t="s">
        <v>134</v>
      </c>
      <c r="P251" t="str">
        <f t="shared" si="58"/>
        <v>1x</v>
      </c>
    </row>
    <row r="252" spans="10:16" hidden="1">
      <c r="J252" t="s">
        <v>354</v>
      </c>
      <c r="K252" t="s">
        <v>126</v>
      </c>
      <c r="L252">
        <v>13033472</v>
      </c>
      <c r="M252" t="s">
        <v>188</v>
      </c>
      <c r="N252" t="s">
        <v>188</v>
      </c>
      <c r="O252" t="s">
        <v>134</v>
      </c>
      <c r="P252" t="str">
        <f t="shared" si="58"/>
        <v>1x</v>
      </c>
    </row>
    <row r="253" spans="10:16" hidden="1">
      <c r="J253" t="s">
        <v>354</v>
      </c>
      <c r="K253" t="s">
        <v>76</v>
      </c>
      <c r="L253">
        <v>121667584</v>
      </c>
      <c r="M253" t="s">
        <v>359</v>
      </c>
      <c r="N253" t="s">
        <v>359</v>
      </c>
      <c r="O253" t="s">
        <v>134</v>
      </c>
      <c r="P253" t="str">
        <f t="shared" si="58"/>
        <v>1x</v>
      </c>
    </row>
    <row r="254" spans="10:16" hidden="1">
      <c r="J254" t="s">
        <v>354</v>
      </c>
      <c r="K254" t="s">
        <v>317</v>
      </c>
      <c r="L254">
        <v>10190848</v>
      </c>
      <c r="M254" t="s">
        <v>360</v>
      </c>
      <c r="N254" t="s">
        <v>361</v>
      </c>
      <c r="O254" t="s">
        <v>134</v>
      </c>
      <c r="P254" t="str">
        <f t="shared" si="58"/>
        <v>1x</v>
      </c>
    </row>
    <row r="255" spans="10:16" hidden="1">
      <c r="J255" t="s">
        <v>432</v>
      </c>
      <c r="K255" t="s">
        <v>91</v>
      </c>
      <c r="L255">
        <v>45760512</v>
      </c>
      <c r="M255" t="s">
        <v>155</v>
      </c>
      <c r="N255" t="s">
        <v>155</v>
      </c>
      <c r="O255" t="s">
        <v>134</v>
      </c>
      <c r="P255" t="str">
        <f t="shared" si="58"/>
        <v>5x</v>
      </c>
    </row>
    <row r="256" spans="10:16" hidden="1">
      <c r="J256" t="s">
        <v>432</v>
      </c>
      <c r="K256" t="s">
        <v>95</v>
      </c>
      <c r="L256">
        <v>11124736</v>
      </c>
      <c r="M256" t="s">
        <v>137</v>
      </c>
      <c r="N256" t="s">
        <v>137</v>
      </c>
      <c r="O256" t="s">
        <v>134</v>
      </c>
      <c r="P256" t="str">
        <f t="shared" si="58"/>
        <v>5x</v>
      </c>
    </row>
    <row r="257" spans="10:16" hidden="1">
      <c r="J257" t="s">
        <v>432</v>
      </c>
      <c r="K257" t="s">
        <v>99</v>
      </c>
      <c r="L257">
        <v>40730624</v>
      </c>
      <c r="M257" t="s">
        <v>298</v>
      </c>
      <c r="N257" t="s">
        <v>298</v>
      </c>
      <c r="O257" t="s">
        <v>134</v>
      </c>
      <c r="P257" t="str">
        <f t="shared" si="58"/>
        <v>5x</v>
      </c>
    </row>
    <row r="258" spans="10:16" hidden="1">
      <c r="J258" t="s">
        <v>432</v>
      </c>
      <c r="K258" t="s">
        <v>103</v>
      </c>
      <c r="L258">
        <v>223870976</v>
      </c>
      <c r="M258" t="s">
        <v>433</v>
      </c>
      <c r="N258" t="s">
        <v>434</v>
      </c>
      <c r="O258" t="s">
        <v>134</v>
      </c>
      <c r="P258" t="str">
        <f t="shared" si="58"/>
        <v>5x</v>
      </c>
    </row>
    <row r="259" spans="10:16" hidden="1">
      <c r="J259" t="s">
        <v>432</v>
      </c>
      <c r="K259" t="s">
        <v>334</v>
      </c>
      <c r="L259">
        <v>22175744</v>
      </c>
      <c r="M259" t="s">
        <v>435</v>
      </c>
      <c r="N259" t="s">
        <v>435</v>
      </c>
      <c r="O259" t="s">
        <v>134</v>
      </c>
      <c r="P259" t="str">
        <f t="shared" si="58"/>
        <v>5x</v>
      </c>
    </row>
    <row r="260" spans="10:16" hidden="1">
      <c r="J260" t="s">
        <v>432</v>
      </c>
      <c r="K260" t="s">
        <v>69</v>
      </c>
      <c r="L260">
        <v>4096335872</v>
      </c>
      <c r="M260" t="s">
        <v>436</v>
      </c>
      <c r="N260" t="s">
        <v>437</v>
      </c>
      <c r="O260" t="s">
        <v>134</v>
      </c>
      <c r="P260" t="str">
        <f t="shared" si="58"/>
        <v>5x</v>
      </c>
    </row>
    <row r="261" spans="10:16" hidden="1">
      <c r="J261" t="s">
        <v>432</v>
      </c>
      <c r="K261" t="s">
        <v>73</v>
      </c>
      <c r="L261">
        <v>26697728</v>
      </c>
      <c r="M261" t="s">
        <v>438</v>
      </c>
      <c r="N261" t="s">
        <v>438</v>
      </c>
      <c r="O261" t="s">
        <v>134</v>
      </c>
      <c r="P261" t="str">
        <f t="shared" si="58"/>
        <v>5x</v>
      </c>
    </row>
    <row r="262" spans="10:16" hidden="1">
      <c r="J262" t="s">
        <v>432</v>
      </c>
      <c r="K262" t="s">
        <v>126</v>
      </c>
      <c r="L262">
        <v>21700608</v>
      </c>
      <c r="M262" t="s">
        <v>435</v>
      </c>
      <c r="N262" t="s">
        <v>435</v>
      </c>
      <c r="O262" t="s">
        <v>134</v>
      </c>
      <c r="P262" t="str">
        <f t="shared" si="58"/>
        <v>5x</v>
      </c>
    </row>
    <row r="263" spans="10:16" hidden="1">
      <c r="J263" t="s">
        <v>432</v>
      </c>
      <c r="K263" t="s">
        <v>130</v>
      </c>
      <c r="L263">
        <v>434176</v>
      </c>
      <c r="M263" t="s">
        <v>340</v>
      </c>
      <c r="N263" t="s">
        <v>341</v>
      </c>
      <c r="O263" t="s">
        <v>134</v>
      </c>
      <c r="P263" t="str">
        <f t="shared" si="58"/>
        <v>5x</v>
      </c>
    </row>
    <row r="264" spans="10:16" hidden="1">
      <c r="J264" t="s">
        <v>432</v>
      </c>
      <c r="K264" t="s">
        <v>76</v>
      </c>
      <c r="L264">
        <v>202825728</v>
      </c>
      <c r="M264" t="s">
        <v>439</v>
      </c>
      <c r="N264" t="s">
        <v>439</v>
      </c>
      <c r="O264" t="s">
        <v>134</v>
      </c>
      <c r="P264" t="str">
        <f t="shared" si="58"/>
        <v>5x</v>
      </c>
    </row>
    <row r="265" spans="10:16" hidden="1">
      <c r="J265" t="s">
        <v>432</v>
      </c>
      <c r="K265" t="s">
        <v>317</v>
      </c>
      <c r="L265">
        <v>16949248</v>
      </c>
      <c r="M265" t="s">
        <v>123</v>
      </c>
      <c r="N265" t="s">
        <v>123</v>
      </c>
      <c r="O265" t="s">
        <v>134</v>
      </c>
      <c r="P265" t="str">
        <f t="shared" si="58"/>
        <v>5x</v>
      </c>
    </row>
  </sheetData>
  <autoFilter ref="J1:P265" xr:uid="{0818B785-CA88-414A-B941-315E204E4262}">
    <filterColumn colId="0">
      <filters>
        <filter val="aa_sdss2003"/>
        <filter val="aa_sdss2003_10x"/>
        <filter val="aa_sdss2003_10x_optimized"/>
        <filter val="aa_sdss2003_2x"/>
        <filter val="aa_sdss2003_2x_optimized"/>
        <filter val="aa_sdss2003_5x"/>
        <filter val="aa_sdss2003_5x_optimized"/>
        <filter val="aa_sdss2003_optimized"/>
        <filter val="aa_sdss2013_10x_optimized"/>
        <filter val="aa_sdss2013_2x_optimized"/>
        <filter val="aa_sdss2013_5x_optimized"/>
        <filter val="aa_sdss2013_optimized"/>
        <filter val="aa_sdss2023_10x_optimized"/>
        <filter val="aa_sdss2023_2x_optimized"/>
        <filter val="aa_sdss2023_5x_optimized"/>
        <filter val="aa_sdss2023_optimized"/>
      </filters>
    </filterColumn>
    <sortState xmlns:xlrd2="http://schemas.microsoft.com/office/spreadsheetml/2017/richdata2" ref="J2:P193">
      <sortCondition ref="P2:P265" customList="1x,2x,5x,10x"/>
      <sortCondition ref="J2:J265"/>
      <sortCondition ref="K2:K265"/>
    </sortState>
  </autoFilter>
  <sortState xmlns:xlrd2="http://schemas.microsoft.com/office/spreadsheetml/2017/richdata2" ref="J2:P206">
    <sortCondition ref="P2:P206" customList="1x,2x,5x,10x"/>
    <sortCondition ref="J2:J206"/>
    <sortCondition ref="K2:K206"/>
  </sortState>
  <mergeCells count="3">
    <mergeCell ref="B1:H1"/>
    <mergeCell ref="B16:H16"/>
    <mergeCell ref="B8:H8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12F5-2509-4D02-A267-C4D383415FAE}">
  <dimension ref="A1:H7"/>
  <sheetViews>
    <sheetView workbookViewId="0">
      <selection activeCell="D13" sqref="D13"/>
    </sheetView>
  </sheetViews>
  <sheetFormatPr defaultRowHeight="14"/>
  <cols>
    <col min="1" max="1" width="9.58203125" bestFit="1" customWidth="1"/>
    <col min="2" max="2" width="6.1640625" bestFit="1" customWidth="1"/>
    <col min="3" max="4" width="14.4140625" bestFit="1" customWidth="1"/>
    <col min="5" max="5" width="13.1640625" bestFit="1" customWidth="1"/>
    <col min="6" max="6" width="14.4140625" bestFit="1" customWidth="1"/>
    <col min="7" max="7" width="13.1640625" bestFit="1" customWidth="1"/>
    <col min="8" max="8" width="16" bestFit="1" customWidth="1"/>
  </cols>
  <sheetData>
    <row r="1" spans="1:8">
      <c r="B1" s="32" t="s">
        <v>66</v>
      </c>
      <c r="C1" s="32"/>
      <c r="D1" s="32"/>
      <c r="E1" s="32"/>
      <c r="F1" s="32"/>
      <c r="G1" s="32"/>
      <c r="H1" s="32"/>
    </row>
    <row r="2" spans="1:8">
      <c r="A2" s="33" t="s">
        <v>52</v>
      </c>
      <c r="B2" s="35" t="s">
        <v>63</v>
      </c>
      <c r="C2" s="36"/>
      <c r="D2" s="37" t="s">
        <v>64</v>
      </c>
      <c r="E2" s="36"/>
      <c r="F2" s="37" t="s">
        <v>65</v>
      </c>
      <c r="G2" s="35"/>
      <c r="H2" s="36"/>
    </row>
    <row r="3" spans="1:8">
      <c r="A3" s="34"/>
      <c r="B3" s="31" t="s">
        <v>56</v>
      </c>
      <c r="C3" s="30" t="s">
        <v>57</v>
      </c>
      <c r="D3" s="29" t="s">
        <v>58</v>
      </c>
      <c r="E3" s="30" t="s">
        <v>60</v>
      </c>
      <c r="F3" s="29" t="s">
        <v>59</v>
      </c>
      <c r="G3" s="31" t="s">
        <v>61</v>
      </c>
      <c r="H3" s="30" t="s">
        <v>62</v>
      </c>
    </row>
    <row r="4" spans="1:8">
      <c r="A4" s="28" t="s">
        <v>53</v>
      </c>
      <c r="B4" s="47">
        <f>'Query 1x'!$E$8</f>
        <v>73.819725271400003</v>
      </c>
      <c r="C4" s="48">
        <f>'Query 1x'!$E$17</f>
        <v>7.5770482941999999</v>
      </c>
      <c r="D4" s="47">
        <f>'Query 1x'!$E$30</f>
        <v>63.706097233782849</v>
      </c>
      <c r="E4" s="48">
        <f>'Query 1x'!$M$30</f>
        <v>1.9851296588372636</v>
      </c>
      <c r="F4" s="47">
        <f>'Query 1x'!$E$49</f>
        <v>571.18080275875081</v>
      </c>
      <c r="G4" s="39">
        <f>'Query 1x'!$M$49</f>
        <v>232.25221826187337</v>
      </c>
      <c r="H4" s="48">
        <f>'Query 1x'!$U$49</f>
        <v>60.446019065569629</v>
      </c>
    </row>
    <row r="5" spans="1:8">
      <c r="A5" s="28" t="s">
        <v>54</v>
      </c>
      <c r="B5" s="47">
        <f>'Query 2x'!$E$8</f>
        <v>71.277345303040406</v>
      </c>
      <c r="C5" s="48">
        <f>'Query 2x'!$E$17</f>
        <v>5.4333374133213272</v>
      </c>
      <c r="D5" s="49">
        <f>'Query 2x'!$E$30</f>
        <v>60.175215080336883</v>
      </c>
      <c r="E5" s="50">
        <f>'Query 2x'!$M$30</f>
        <v>1.6395190246094384</v>
      </c>
      <c r="F5" s="47">
        <f>'Query 2x'!$E$49</f>
        <v>1124.4442429817898</v>
      </c>
      <c r="G5" s="39">
        <f>'Query 2x'!$M$49</f>
        <v>411.80920825012385</v>
      </c>
      <c r="H5" s="48">
        <f>'Query 2x'!$U$49</f>
        <v>33.858577030907981</v>
      </c>
    </row>
    <row r="6" spans="1:8">
      <c r="A6" s="28" t="s">
        <v>372</v>
      </c>
      <c r="B6" s="54">
        <f>'Query 5x'!$E$8</f>
        <v>71.277345303040406</v>
      </c>
      <c r="C6" s="55">
        <f>'Query 5x'!$E$17</f>
        <v>5.4333374133213272</v>
      </c>
      <c r="D6" s="54">
        <f>'Query 5x'!$E$30</f>
        <v>60.175215080336883</v>
      </c>
      <c r="E6" s="55">
        <f>'Query 5x'!$M$30</f>
        <v>1.6395190246094384</v>
      </c>
      <c r="F6" s="54">
        <f>'Query 5x'!$E$49</f>
        <v>1124.4442429817898</v>
      </c>
      <c r="G6" s="56">
        <f>'Query 5x'!$M$49</f>
        <v>411.80920825012385</v>
      </c>
      <c r="H6" s="55">
        <f>'Query 5x'!$U$49</f>
        <v>33.858577030907981</v>
      </c>
    </row>
    <row r="7" spans="1:8">
      <c r="A7" s="27" t="s">
        <v>55</v>
      </c>
      <c r="B7" s="51">
        <f>'Query 10x'!$E$8</f>
        <v>77.883946386899993</v>
      </c>
      <c r="C7" s="52">
        <f>'Query 10x'!$E$17</f>
        <v>5.3762777140303513</v>
      </c>
      <c r="D7" s="51">
        <f>'Query 10x'!$E$30</f>
        <v>63.700057330667896</v>
      </c>
      <c r="E7" s="52">
        <f>'Query 10x'!$M$30</f>
        <v>0.97310401757942211</v>
      </c>
      <c r="F7" s="51">
        <f>'Query 10x'!$E$49</f>
        <v>3249.2021380132906</v>
      </c>
      <c r="G7" s="53">
        <f>'Query 10x'!$M$49</f>
        <v>2098.2830980171475</v>
      </c>
      <c r="H7" s="52">
        <f>'Query 10x'!$U$49</f>
        <v>231.28878893701815</v>
      </c>
    </row>
  </sheetData>
  <mergeCells count="5">
    <mergeCell ref="A2:A3"/>
    <mergeCell ref="B2:C2"/>
    <mergeCell ref="D2:E2"/>
    <mergeCell ref="F2:H2"/>
    <mergeCell ref="B1:H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4BE4-2E20-4E31-9735-DE89176CACC8}">
  <dimension ref="A1:I8"/>
  <sheetViews>
    <sheetView zoomScale="160" zoomScaleNormal="160" workbookViewId="0">
      <selection activeCell="D4" sqref="D4"/>
    </sheetView>
  </sheetViews>
  <sheetFormatPr defaultRowHeight="14"/>
  <cols>
    <col min="1" max="1" width="5.75" bestFit="1" customWidth="1"/>
    <col min="2" max="3" width="16.75" bestFit="1" customWidth="1"/>
    <col min="4" max="4" width="14" bestFit="1" customWidth="1"/>
    <col min="6" max="6" width="5.75" bestFit="1" customWidth="1"/>
    <col min="7" max="8" width="16.75" bestFit="1" customWidth="1"/>
    <col min="9" max="9" width="14" bestFit="1" customWidth="1"/>
  </cols>
  <sheetData>
    <row r="1" spans="1:9">
      <c r="A1" s="32" t="s">
        <v>46</v>
      </c>
      <c r="B1" s="32"/>
      <c r="C1" s="32"/>
      <c r="D1" s="32"/>
      <c r="F1" s="32" t="s">
        <v>47</v>
      </c>
      <c r="G1" s="32"/>
      <c r="H1" s="32"/>
      <c r="I1" s="32"/>
    </row>
    <row r="2" spans="1:9">
      <c r="A2" t="s">
        <v>49</v>
      </c>
      <c r="B2" t="s">
        <v>50</v>
      </c>
      <c r="C2" t="s">
        <v>50</v>
      </c>
      <c r="D2" t="s">
        <v>48</v>
      </c>
      <c r="F2" t="s">
        <v>49</v>
      </c>
      <c r="G2" t="s">
        <v>50</v>
      </c>
      <c r="H2" t="s">
        <v>50</v>
      </c>
      <c r="I2" t="s">
        <v>48</v>
      </c>
    </row>
    <row r="3" spans="1:9">
      <c r="A3">
        <v>1</v>
      </c>
      <c r="B3" s="6">
        <f>('Query 1x'!$E$30-'Query 1x'!$M$30)*B$8/1000</f>
        <v>617.20967574945576</v>
      </c>
      <c r="C3" s="6">
        <f>('Query 1x'!$E$30-'Query 1x'!$M$30)*C$8/1000</f>
        <v>91910.29756100841</v>
      </c>
      <c r="D3" s="26">
        <f>'Mig 1x'!$K$8</f>
        <v>55.1</v>
      </c>
      <c r="F3">
        <v>1</v>
      </c>
      <c r="G3" s="6">
        <f>('Query 1x'!$M$49-'Query 1x'!$U$49)*G8/1000</f>
        <v>1718.0619919630374</v>
      </c>
      <c r="H3" s="6">
        <f>('Query 1x'!$M$49-'Query 1x'!$U$49)*H8/1000</f>
        <v>622520.86410589505</v>
      </c>
      <c r="I3">
        <f>'Mig 1x'!$K$13</f>
        <v>93</v>
      </c>
    </row>
    <row r="4" spans="1:9">
      <c r="A4">
        <v>2</v>
      </c>
      <c r="B4" s="40">
        <f>('Query 2x'!$E$30-'Query 2x'!$M$30)*B$8/1000</f>
        <v>585.35696055727442</v>
      </c>
      <c r="C4" s="40">
        <f>('Query 2x'!$E$30-'Query 2x'!$M$30)*C$8/1000</f>
        <v>87167.02692468118</v>
      </c>
      <c r="D4" s="26">
        <f>'Mig 2x'!$K$8</f>
        <v>127.1</v>
      </c>
      <c r="F4">
        <v>2</v>
      </c>
      <c r="G4" s="6">
        <f>('Query 2x'!$M$49-'Query 2x'!$U$49)*G8/1000</f>
        <v>3779.5063121921589</v>
      </c>
      <c r="H4" s="6">
        <f>('Query 2x'!$M$49-'Query 2x'!$U$49)*H8/1000</f>
        <v>1369462.5376533947</v>
      </c>
      <c r="I4" s="26">
        <f>'Mig 2x'!$K$13</f>
        <v>233.3</v>
      </c>
    </row>
    <row r="5" spans="1:9">
      <c r="A5">
        <v>5</v>
      </c>
    </row>
    <row r="6" spans="1:9">
      <c r="A6">
        <v>10</v>
      </c>
      <c r="B6" s="6">
        <f>('Query 10x'!$E$30-'Query 10x'!$M$30)*B$8/1000</f>
        <v>627.26953313088472</v>
      </c>
      <c r="C6" s="6">
        <f>('Query 10x'!$E$30-'Query 10x'!$M$30)*C$8/1000</f>
        <v>93408.337079306191</v>
      </c>
      <c r="D6">
        <f>'Mig 10x'!$K$8</f>
        <v>675</v>
      </c>
      <c r="F6">
        <v>10</v>
      </c>
      <c r="G6" s="6">
        <f>('Query 10x'!$M$49-'Query 10x'!$U$49)*G8/1000</f>
        <v>18669.943090801295</v>
      </c>
      <c r="H6" s="6">
        <f>('Query 10x'!$M$49-'Query 10x'!$U$49)*H8/1000</f>
        <v>6764848.5095778499</v>
      </c>
      <c r="I6">
        <f>'Mig 10x'!$K$13</f>
        <v>922</v>
      </c>
    </row>
    <row r="8" spans="1:9">
      <c r="A8" t="s">
        <v>51</v>
      </c>
      <c r="B8">
        <v>10000</v>
      </c>
      <c r="C8">
        <v>1489126</v>
      </c>
      <c r="F8" t="s">
        <v>51</v>
      </c>
      <c r="G8">
        <v>10000</v>
      </c>
      <c r="H8">
        <v>3623390</v>
      </c>
    </row>
  </sheetData>
  <mergeCells count="2">
    <mergeCell ref="A1:D1"/>
    <mergeCell ref="F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Query 1x</vt:lpstr>
      <vt:lpstr>Mig 1x</vt:lpstr>
      <vt:lpstr>Query 2x</vt:lpstr>
      <vt:lpstr>Mig 2x</vt:lpstr>
      <vt:lpstr>Query 5x</vt:lpstr>
      <vt:lpstr>Mig 5x</vt:lpstr>
      <vt:lpstr>Query 10x</vt:lpstr>
      <vt:lpstr>Mig 10x</vt:lpstr>
      <vt:lpstr>Storage</vt:lpstr>
      <vt:lpstr>Optimization</vt:lpstr>
      <vt:lpstr>Migration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Gallinucci</dc:creator>
  <cp:lastModifiedBy>Enrico Gallinucci</cp:lastModifiedBy>
  <dcterms:created xsi:type="dcterms:W3CDTF">2024-11-19T20:35:28Z</dcterms:created>
  <dcterms:modified xsi:type="dcterms:W3CDTF">2024-12-11T11:28:07Z</dcterms:modified>
</cp:coreProperties>
</file>