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Git\nosql-refactoring\results\"/>
    </mc:Choice>
  </mc:AlternateContent>
  <xr:revisionPtr revIDLastSave="0" documentId="13_ncr:1_{D1D7C920-59EA-44B3-9672-0EA4E37E6752}" xr6:coauthVersionLast="47" xr6:coauthVersionMax="47" xr10:uidLastSave="{00000000-0000-0000-0000-000000000000}"/>
  <bookViews>
    <workbookView xWindow="-28920" yWindow="-120" windowWidth="29040" windowHeight="15720" activeTab="9" xr2:uid="{9DCFC8E8-6974-4295-BC43-7328B70AD737}"/>
  </bookViews>
  <sheets>
    <sheet name="Query 1x" sheetId="1" r:id="rId1"/>
    <sheet name="Mig 1x" sheetId="2" r:id="rId2"/>
    <sheet name="Query 2x" sheetId="4" r:id="rId3"/>
    <sheet name="Mig 2x" sheetId="6" r:id="rId4"/>
    <sheet name="Query 5x" sheetId="13" r:id="rId5"/>
    <sheet name="Mig 5x" sheetId="14" r:id="rId6"/>
    <sheet name="Query 10x" sheetId="7" r:id="rId7"/>
    <sheet name="Mig 10x" sheetId="8" r:id="rId8"/>
    <sheet name="Storage" sheetId="12" r:id="rId9"/>
    <sheet name="Optimization" sheetId="11" r:id="rId10"/>
    <sheet name="Migration" sheetId="9" r:id="rId11"/>
    <sheet name="Workload" sheetId="15" r:id="rId12"/>
    <sheet name="Foglio1" sheetId="16" r:id="rId13"/>
  </sheets>
  <definedNames>
    <definedName name="_xlnm._FilterDatabase" localSheetId="8" hidden="1">Storage!$L$1:$R$265</definedName>
    <definedName name="_xlchart.v1.0" hidden="1">Foglio1!$H$1:$H$2579</definedName>
    <definedName name="_xlchart.v1.1" hidden="1">Foglio1!$K$1:$K$2460</definedName>
    <definedName name="_xlchart.v1.2" hidden="1">Foglio1!$H$1:$H$2579</definedName>
    <definedName name="_xlchart.v1.3" hidden="1">Foglio1!$B$1:$B$2600</definedName>
    <definedName name="_xlchart.v1.4" hidden="1">Foglio1!$K$1:$K$2460</definedName>
    <definedName name="_xlchart.v1.5" hidden="1">Foglio1!$E$1:$E$2462</definedName>
    <definedName name="_xlchart.v1.6" hidden="1">Foglio1!$E$1:$E$2462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0" i="9" l="1"/>
  <c r="B39" i="9"/>
  <c r="K40" i="9"/>
  <c r="L40" i="9"/>
  <c r="M40" i="9"/>
  <c r="N40" i="9"/>
  <c r="O40" i="9"/>
  <c r="P40" i="9"/>
  <c r="K41" i="9"/>
  <c r="L41" i="9"/>
  <c r="M41" i="9"/>
  <c r="N41" i="9"/>
  <c r="O41" i="9"/>
  <c r="P41" i="9"/>
  <c r="K42" i="9"/>
  <c r="L42" i="9"/>
  <c r="M42" i="9"/>
  <c r="N42" i="9"/>
  <c r="O42" i="9"/>
  <c r="P42" i="9"/>
  <c r="L39" i="9"/>
  <c r="M39" i="9"/>
  <c r="N39" i="9"/>
  <c r="O39" i="9"/>
  <c r="P39" i="9"/>
  <c r="K39" i="9"/>
  <c r="B40" i="9"/>
  <c r="C40" i="9"/>
  <c r="D40" i="9"/>
  <c r="E40" i="9"/>
  <c r="F40" i="9"/>
  <c r="G40" i="9"/>
  <c r="B41" i="9"/>
  <c r="C41" i="9"/>
  <c r="D41" i="9"/>
  <c r="E41" i="9"/>
  <c r="F41" i="9"/>
  <c r="G41" i="9"/>
  <c r="B42" i="9"/>
  <c r="C42" i="9"/>
  <c r="D42" i="9"/>
  <c r="E42" i="9"/>
  <c r="F42" i="9"/>
  <c r="G42" i="9"/>
  <c r="F39" i="9"/>
  <c r="G39" i="9"/>
  <c r="C39" i="9"/>
  <c r="D39" i="9"/>
  <c r="E39" i="9"/>
  <c r="N20" i="9"/>
  <c r="P20" i="9" s="1"/>
  <c r="L20" i="9"/>
  <c r="L19" i="9"/>
  <c r="P28" i="9"/>
  <c r="L29" i="9"/>
  <c r="M29" i="9"/>
  <c r="N29" i="9"/>
  <c r="O29" i="9"/>
  <c r="K29" i="9"/>
  <c r="K25" i="9"/>
  <c r="K26" i="9"/>
  <c r="K36" i="9"/>
  <c r="K20" i="9"/>
  <c r="K32" i="9"/>
  <c r="K35" i="9"/>
  <c r="K34" i="9"/>
  <c r="K33" i="9"/>
  <c r="B33" i="9"/>
  <c r="B34" i="9"/>
  <c r="B35" i="9"/>
  <c r="B32" i="9"/>
  <c r="F28" i="9"/>
  <c r="F27" i="9"/>
  <c r="L5" i="9"/>
  <c r="K5" i="9"/>
  <c r="K18" i="9"/>
  <c r="K27" i="9" s="1"/>
  <c r="B27" i="9"/>
  <c r="M18" i="9"/>
  <c r="L18" i="9"/>
  <c r="N18" i="9"/>
  <c r="F18" i="9"/>
  <c r="E18" i="9"/>
  <c r="D18" i="9"/>
  <c r="C18" i="9"/>
  <c r="B18" i="9"/>
  <c r="N5" i="9"/>
  <c r="M5" i="9"/>
  <c r="E5" i="9"/>
  <c r="C5" i="9"/>
  <c r="B5" i="9"/>
  <c r="D5" i="9"/>
  <c r="G4" i="11"/>
  <c r="C4" i="11"/>
  <c r="E3" i="12"/>
  <c r="F3" i="12"/>
  <c r="G3" i="12"/>
  <c r="G10" i="12" s="1"/>
  <c r="H3" i="12"/>
  <c r="I3" i="12"/>
  <c r="J3" i="12"/>
  <c r="E4" i="12"/>
  <c r="F4" i="12"/>
  <c r="G4" i="12"/>
  <c r="G11" i="12" s="1"/>
  <c r="H4" i="12"/>
  <c r="I4" i="12"/>
  <c r="J4" i="12"/>
  <c r="E5" i="12"/>
  <c r="F5" i="12"/>
  <c r="G5" i="12"/>
  <c r="G12" i="12" s="1"/>
  <c r="H5" i="12"/>
  <c r="I5" i="12"/>
  <c r="J5" i="12"/>
  <c r="E6" i="12"/>
  <c r="F6" i="12"/>
  <c r="G6" i="12"/>
  <c r="G13" i="12" s="1"/>
  <c r="H6" i="12"/>
  <c r="I6" i="12"/>
  <c r="J6" i="12"/>
  <c r="C3" i="12"/>
  <c r="D3" i="12"/>
  <c r="D10" i="12" s="1"/>
  <c r="C4" i="12"/>
  <c r="D4" i="12"/>
  <c r="D11" i="12" s="1"/>
  <c r="C5" i="12"/>
  <c r="D5" i="12"/>
  <c r="D12" i="12" s="1"/>
  <c r="C6" i="12"/>
  <c r="D6" i="12"/>
  <c r="D13" i="12" s="1"/>
  <c r="B4" i="12"/>
  <c r="B5" i="12"/>
  <c r="B6" i="12"/>
  <c r="B3" i="12"/>
  <c r="AJ329" i="12"/>
  <c r="AI329" i="12"/>
  <c r="AH329" i="12"/>
  <c r="AG329" i="12"/>
  <c r="AF329" i="12"/>
  <c r="AE329" i="12"/>
  <c r="AD329" i="12"/>
  <c r="AC329" i="12"/>
  <c r="AB329" i="12"/>
  <c r="AJ328" i="12"/>
  <c r="AI328" i="12"/>
  <c r="AH328" i="12"/>
  <c r="AG328" i="12"/>
  <c r="AF328" i="12"/>
  <c r="AE328" i="12"/>
  <c r="AD328" i="12"/>
  <c r="AC328" i="12"/>
  <c r="AB328" i="12"/>
  <c r="AJ327" i="12"/>
  <c r="AI327" i="12"/>
  <c r="AH327" i="12"/>
  <c r="AG327" i="12"/>
  <c r="AF327" i="12"/>
  <c r="AE327" i="12"/>
  <c r="AD327" i="12"/>
  <c r="AC327" i="12"/>
  <c r="AB327" i="12"/>
  <c r="AJ326" i="12"/>
  <c r="AI326" i="12"/>
  <c r="AH326" i="12"/>
  <c r="AG326" i="12"/>
  <c r="AF326" i="12"/>
  <c r="AE326" i="12"/>
  <c r="AD326" i="12"/>
  <c r="AC326" i="12"/>
  <c r="AB326" i="12"/>
  <c r="AJ325" i="12"/>
  <c r="AI325" i="12"/>
  <c r="AH325" i="12"/>
  <c r="AG325" i="12"/>
  <c r="AF325" i="12"/>
  <c r="AE325" i="12"/>
  <c r="AD325" i="12"/>
  <c r="AC325" i="12"/>
  <c r="AB325" i="12"/>
  <c r="AJ324" i="12"/>
  <c r="AI324" i="12"/>
  <c r="AH324" i="12"/>
  <c r="AG324" i="12"/>
  <c r="AF324" i="12"/>
  <c r="AE324" i="12"/>
  <c r="AD324" i="12"/>
  <c r="AC324" i="12"/>
  <c r="AB324" i="12"/>
  <c r="AJ323" i="12"/>
  <c r="AI323" i="12"/>
  <c r="AH323" i="12"/>
  <c r="AG323" i="12"/>
  <c r="AF323" i="12"/>
  <c r="AE323" i="12"/>
  <c r="AD323" i="12"/>
  <c r="AC323" i="12"/>
  <c r="AB323" i="12"/>
  <c r="AJ322" i="12"/>
  <c r="AI322" i="12"/>
  <c r="AH322" i="12"/>
  <c r="AG322" i="12"/>
  <c r="AF322" i="12"/>
  <c r="AE322" i="12"/>
  <c r="AD322" i="12"/>
  <c r="AC322" i="12"/>
  <c r="AB322" i="12"/>
  <c r="AJ321" i="12"/>
  <c r="AI321" i="12"/>
  <c r="AH321" i="12"/>
  <c r="AG321" i="12"/>
  <c r="AF321" i="12"/>
  <c r="AE321" i="12"/>
  <c r="AD321" i="12"/>
  <c r="AC321" i="12"/>
  <c r="AB321" i="12"/>
  <c r="AJ320" i="12"/>
  <c r="AI320" i="12"/>
  <c r="AH320" i="12"/>
  <c r="AG320" i="12"/>
  <c r="AF320" i="12"/>
  <c r="AE320" i="12"/>
  <c r="AD320" i="12"/>
  <c r="AC320" i="12"/>
  <c r="AB320" i="12"/>
  <c r="AJ319" i="12"/>
  <c r="AI319" i="12"/>
  <c r="AH319" i="12"/>
  <c r="AG319" i="12"/>
  <c r="AF319" i="12"/>
  <c r="AE319" i="12"/>
  <c r="AD319" i="12"/>
  <c r="AC319" i="12"/>
  <c r="AB319" i="12"/>
  <c r="AJ318" i="12"/>
  <c r="AI318" i="12"/>
  <c r="AH318" i="12"/>
  <c r="AG318" i="12"/>
  <c r="AF318" i="12"/>
  <c r="AE318" i="12"/>
  <c r="AD318" i="12"/>
  <c r="AC318" i="12"/>
  <c r="AB318" i="12"/>
  <c r="AJ317" i="12"/>
  <c r="AI317" i="12"/>
  <c r="AH317" i="12"/>
  <c r="AG317" i="12"/>
  <c r="AF317" i="12"/>
  <c r="AE317" i="12"/>
  <c r="AD317" i="12"/>
  <c r="AC317" i="12"/>
  <c r="AB317" i="12"/>
  <c r="AJ316" i="12"/>
  <c r="AI316" i="12"/>
  <c r="AH316" i="12"/>
  <c r="AG316" i="12"/>
  <c r="AF316" i="12"/>
  <c r="AE316" i="12"/>
  <c r="AD316" i="12"/>
  <c r="AC316" i="12"/>
  <c r="AB316" i="12"/>
  <c r="AJ315" i="12"/>
  <c r="AI315" i="12"/>
  <c r="AH315" i="12"/>
  <c r="AG315" i="12"/>
  <c r="AF315" i="12"/>
  <c r="AE315" i="12"/>
  <c r="AD315" i="12"/>
  <c r="AC315" i="12"/>
  <c r="AB315" i="12"/>
  <c r="AJ314" i="12"/>
  <c r="AI314" i="12"/>
  <c r="AH314" i="12"/>
  <c r="AG314" i="12"/>
  <c r="AF314" i="12"/>
  <c r="AE314" i="12"/>
  <c r="AD314" i="12"/>
  <c r="AC314" i="12"/>
  <c r="AB314" i="12"/>
  <c r="AJ313" i="12"/>
  <c r="AI313" i="12"/>
  <c r="AH313" i="12"/>
  <c r="AG313" i="12"/>
  <c r="AF313" i="12"/>
  <c r="AE313" i="12"/>
  <c r="AD313" i="12"/>
  <c r="AC313" i="12"/>
  <c r="AB313" i="12"/>
  <c r="AJ312" i="12"/>
  <c r="AI312" i="12"/>
  <c r="AH312" i="12"/>
  <c r="AG312" i="12"/>
  <c r="AF312" i="12"/>
  <c r="AE312" i="12"/>
  <c r="AD312" i="12"/>
  <c r="AC312" i="12"/>
  <c r="AB312" i="12"/>
  <c r="AJ311" i="12"/>
  <c r="AI311" i="12"/>
  <c r="AH311" i="12"/>
  <c r="AG311" i="12"/>
  <c r="AF311" i="12"/>
  <c r="AE311" i="12"/>
  <c r="AD311" i="12"/>
  <c r="AC311" i="12"/>
  <c r="AB311" i="12"/>
  <c r="AJ310" i="12"/>
  <c r="AI310" i="12"/>
  <c r="AH310" i="12"/>
  <c r="AG310" i="12"/>
  <c r="AF310" i="12"/>
  <c r="AE310" i="12"/>
  <c r="AD310" i="12"/>
  <c r="AC310" i="12"/>
  <c r="AB310" i="12"/>
  <c r="AJ309" i="12"/>
  <c r="AI309" i="12"/>
  <c r="AH309" i="12"/>
  <c r="AG309" i="12"/>
  <c r="AF309" i="12"/>
  <c r="AE309" i="12"/>
  <c r="AD309" i="12"/>
  <c r="AC309" i="12"/>
  <c r="AB309" i="12"/>
  <c r="AJ308" i="12"/>
  <c r="AI308" i="12"/>
  <c r="AH308" i="12"/>
  <c r="AG308" i="12"/>
  <c r="AF308" i="12"/>
  <c r="AE308" i="12"/>
  <c r="AD308" i="12"/>
  <c r="AC308" i="12"/>
  <c r="AB308" i="12"/>
  <c r="AJ307" i="12"/>
  <c r="AI307" i="12"/>
  <c r="AH307" i="12"/>
  <c r="AG307" i="12"/>
  <c r="AF307" i="12"/>
  <c r="AE307" i="12"/>
  <c r="AD307" i="12"/>
  <c r="AC307" i="12"/>
  <c r="AB307" i="12"/>
  <c r="AJ306" i="12"/>
  <c r="AI306" i="12"/>
  <c r="AH306" i="12"/>
  <c r="AG306" i="12"/>
  <c r="AF306" i="12"/>
  <c r="AE306" i="12"/>
  <c r="AD306" i="12"/>
  <c r="AC306" i="12"/>
  <c r="AB306" i="12"/>
  <c r="AJ305" i="12"/>
  <c r="AI305" i="12"/>
  <c r="AH305" i="12"/>
  <c r="AG305" i="12"/>
  <c r="AF305" i="12"/>
  <c r="AE305" i="12"/>
  <c r="AD305" i="12"/>
  <c r="AC305" i="12"/>
  <c r="AB305" i="12"/>
  <c r="AJ304" i="12"/>
  <c r="AI304" i="12"/>
  <c r="AH304" i="12"/>
  <c r="AG304" i="12"/>
  <c r="AF304" i="12"/>
  <c r="AE304" i="12"/>
  <c r="AD304" i="12"/>
  <c r="AC304" i="12"/>
  <c r="AB304" i="12"/>
  <c r="AJ303" i="12"/>
  <c r="AI303" i="12"/>
  <c r="AH303" i="12"/>
  <c r="AG303" i="12"/>
  <c r="AF303" i="12"/>
  <c r="AE303" i="12"/>
  <c r="AD303" i="12"/>
  <c r="AC303" i="12"/>
  <c r="AB303" i="12"/>
  <c r="AJ302" i="12"/>
  <c r="AI302" i="12"/>
  <c r="AH302" i="12"/>
  <c r="AG302" i="12"/>
  <c r="AF302" i="12"/>
  <c r="AE302" i="12"/>
  <c r="AD302" i="12"/>
  <c r="AC302" i="12"/>
  <c r="AB302" i="12"/>
  <c r="AJ301" i="12"/>
  <c r="AI301" i="12"/>
  <c r="AH301" i="12"/>
  <c r="AG301" i="12"/>
  <c r="AF301" i="12"/>
  <c r="AE301" i="12"/>
  <c r="AD301" i="12"/>
  <c r="AC301" i="12"/>
  <c r="AB301" i="12"/>
  <c r="AJ300" i="12"/>
  <c r="AI300" i="12"/>
  <c r="AH300" i="12"/>
  <c r="AG300" i="12"/>
  <c r="AF300" i="12"/>
  <c r="AE300" i="12"/>
  <c r="AD300" i="12"/>
  <c r="AC300" i="12"/>
  <c r="AB300" i="12"/>
  <c r="AJ299" i="12"/>
  <c r="AI299" i="12"/>
  <c r="AH299" i="12"/>
  <c r="AG299" i="12"/>
  <c r="AF299" i="12"/>
  <c r="AE299" i="12"/>
  <c r="AD299" i="12"/>
  <c r="AC299" i="12"/>
  <c r="AB299" i="12"/>
  <c r="AJ298" i="12"/>
  <c r="AI298" i="12"/>
  <c r="AH298" i="12"/>
  <c r="AG298" i="12"/>
  <c r="AF298" i="12"/>
  <c r="AE298" i="12"/>
  <c r="AD298" i="12"/>
  <c r="AC298" i="12"/>
  <c r="AB298" i="12"/>
  <c r="AJ297" i="12"/>
  <c r="AI297" i="12"/>
  <c r="AH297" i="12"/>
  <c r="AG297" i="12"/>
  <c r="AF297" i="12"/>
  <c r="AE297" i="12"/>
  <c r="AD297" i="12"/>
  <c r="AC297" i="12"/>
  <c r="AB297" i="12"/>
  <c r="AJ296" i="12"/>
  <c r="AI296" i="12"/>
  <c r="AH296" i="12"/>
  <c r="AG296" i="12"/>
  <c r="AF296" i="12"/>
  <c r="AE296" i="12"/>
  <c r="AD296" i="12"/>
  <c r="AC296" i="12"/>
  <c r="AB296" i="12"/>
  <c r="AJ295" i="12"/>
  <c r="AI295" i="12"/>
  <c r="AH295" i="12"/>
  <c r="AG295" i="12"/>
  <c r="AF295" i="12"/>
  <c r="AE295" i="12"/>
  <c r="AD295" i="12"/>
  <c r="AC295" i="12"/>
  <c r="AB295" i="12"/>
  <c r="AJ294" i="12"/>
  <c r="AI294" i="12"/>
  <c r="AH294" i="12"/>
  <c r="AG294" i="12"/>
  <c r="AF294" i="12"/>
  <c r="AE294" i="12"/>
  <c r="AD294" i="12"/>
  <c r="AC294" i="12"/>
  <c r="AB294" i="12"/>
  <c r="AJ293" i="12"/>
  <c r="AI293" i="12"/>
  <c r="AH293" i="12"/>
  <c r="AG293" i="12"/>
  <c r="AF293" i="12"/>
  <c r="AE293" i="12"/>
  <c r="AD293" i="12"/>
  <c r="AC293" i="12"/>
  <c r="AB293" i="12"/>
  <c r="AJ292" i="12"/>
  <c r="AI292" i="12"/>
  <c r="AH292" i="12"/>
  <c r="AG292" i="12"/>
  <c r="AF292" i="12"/>
  <c r="AE292" i="12"/>
  <c r="AD292" i="12"/>
  <c r="AC292" i="12"/>
  <c r="AB292" i="12"/>
  <c r="AJ291" i="12"/>
  <c r="AI291" i="12"/>
  <c r="AH291" i="12"/>
  <c r="AG291" i="12"/>
  <c r="AF291" i="12"/>
  <c r="AE291" i="12"/>
  <c r="AD291" i="12"/>
  <c r="AC291" i="12"/>
  <c r="AB291" i="12"/>
  <c r="AJ290" i="12"/>
  <c r="AI290" i="12"/>
  <c r="AH290" i="12"/>
  <c r="AG290" i="12"/>
  <c r="AF290" i="12"/>
  <c r="AE290" i="12"/>
  <c r="AD290" i="12"/>
  <c r="AC290" i="12"/>
  <c r="AB290" i="12"/>
  <c r="AJ289" i="12"/>
  <c r="AI289" i="12"/>
  <c r="AH289" i="12"/>
  <c r="AG289" i="12"/>
  <c r="AF289" i="12"/>
  <c r="AE289" i="12"/>
  <c r="AD289" i="12"/>
  <c r="AC289" i="12"/>
  <c r="AB289" i="12"/>
  <c r="AJ288" i="12"/>
  <c r="AI288" i="12"/>
  <c r="AH288" i="12"/>
  <c r="AG288" i="12"/>
  <c r="AF288" i="12"/>
  <c r="AE288" i="12"/>
  <c r="AD288" i="12"/>
  <c r="AC288" i="12"/>
  <c r="AB288" i="12"/>
  <c r="AJ287" i="12"/>
  <c r="AI287" i="12"/>
  <c r="AH287" i="12"/>
  <c r="AG287" i="12"/>
  <c r="AF287" i="12"/>
  <c r="AE287" i="12"/>
  <c r="AD287" i="12"/>
  <c r="AC287" i="12"/>
  <c r="AB287" i="12"/>
  <c r="AJ286" i="12"/>
  <c r="AI286" i="12"/>
  <c r="AH286" i="12"/>
  <c r="AG286" i="12"/>
  <c r="AF286" i="12"/>
  <c r="AE286" i="12"/>
  <c r="AD286" i="12"/>
  <c r="AC286" i="12"/>
  <c r="AB286" i="12"/>
  <c r="AJ285" i="12"/>
  <c r="AI285" i="12"/>
  <c r="AH285" i="12"/>
  <c r="AG285" i="12"/>
  <c r="AF285" i="12"/>
  <c r="AE285" i="12"/>
  <c r="AD285" i="12"/>
  <c r="AC285" i="12"/>
  <c r="AB285" i="12"/>
  <c r="AJ284" i="12"/>
  <c r="AI284" i="12"/>
  <c r="AH284" i="12"/>
  <c r="AG284" i="12"/>
  <c r="AF284" i="12"/>
  <c r="AE284" i="12"/>
  <c r="AD284" i="12"/>
  <c r="AC284" i="12"/>
  <c r="AB284" i="12"/>
  <c r="AJ283" i="12"/>
  <c r="AI283" i="12"/>
  <c r="AH283" i="12"/>
  <c r="AG283" i="12"/>
  <c r="AF283" i="12"/>
  <c r="AE283" i="12"/>
  <c r="AD283" i="12"/>
  <c r="AC283" i="12"/>
  <c r="AB283" i="12"/>
  <c r="AJ282" i="12"/>
  <c r="AI282" i="12"/>
  <c r="AH282" i="12"/>
  <c r="AG282" i="12"/>
  <c r="AF282" i="12"/>
  <c r="AE282" i="12"/>
  <c r="AD282" i="12"/>
  <c r="AC282" i="12"/>
  <c r="AB282" i="12"/>
  <c r="AJ281" i="12"/>
  <c r="AI281" i="12"/>
  <c r="AH281" i="12"/>
  <c r="AG281" i="12"/>
  <c r="AF281" i="12"/>
  <c r="AE281" i="12"/>
  <c r="AD281" i="12"/>
  <c r="AC281" i="12"/>
  <c r="AB281" i="12"/>
  <c r="AJ280" i="12"/>
  <c r="AI280" i="12"/>
  <c r="AH280" i="12"/>
  <c r="AG280" i="12"/>
  <c r="AF280" i="12"/>
  <c r="AE280" i="12"/>
  <c r="AD280" i="12"/>
  <c r="AC280" i="12"/>
  <c r="AB280" i="12"/>
  <c r="AJ279" i="12"/>
  <c r="AI279" i="12"/>
  <c r="AH279" i="12"/>
  <c r="AG279" i="12"/>
  <c r="AF279" i="12"/>
  <c r="AE279" i="12"/>
  <c r="AD279" i="12"/>
  <c r="AC279" i="12"/>
  <c r="AB279" i="12"/>
  <c r="AJ278" i="12"/>
  <c r="AI278" i="12"/>
  <c r="AH278" i="12"/>
  <c r="AG278" i="12"/>
  <c r="AF278" i="12"/>
  <c r="AE278" i="12"/>
  <c r="AD278" i="12"/>
  <c r="AC278" i="12"/>
  <c r="AB278" i="12"/>
  <c r="AJ277" i="12"/>
  <c r="AI277" i="12"/>
  <c r="AH277" i="12"/>
  <c r="AG277" i="12"/>
  <c r="AF277" i="12"/>
  <c r="AE277" i="12"/>
  <c r="AD277" i="12"/>
  <c r="AC277" i="12"/>
  <c r="AB277" i="12"/>
  <c r="AJ276" i="12"/>
  <c r="AI276" i="12"/>
  <c r="AH276" i="12"/>
  <c r="AG276" i="12"/>
  <c r="AF276" i="12"/>
  <c r="AE276" i="12"/>
  <c r="AD276" i="12"/>
  <c r="AC276" i="12"/>
  <c r="AB276" i="12"/>
  <c r="AJ275" i="12"/>
  <c r="AI275" i="12"/>
  <c r="AH275" i="12"/>
  <c r="AG275" i="12"/>
  <c r="AF275" i="12"/>
  <c r="AE275" i="12"/>
  <c r="AD275" i="12"/>
  <c r="AC275" i="12"/>
  <c r="AB275" i="12"/>
  <c r="AJ274" i="12"/>
  <c r="AI274" i="12"/>
  <c r="AH274" i="12"/>
  <c r="AG274" i="12"/>
  <c r="AF274" i="12"/>
  <c r="AE274" i="12"/>
  <c r="AD274" i="12"/>
  <c r="AC274" i="12"/>
  <c r="AB274" i="12"/>
  <c r="AJ273" i="12"/>
  <c r="AI273" i="12"/>
  <c r="AH273" i="12"/>
  <c r="AG273" i="12"/>
  <c r="AF273" i="12"/>
  <c r="AE273" i="12"/>
  <c r="AD273" i="12"/>
  <c r="AC273" i="12"/>
  <c r="AB273" i="12"/>
  <c r="AJ272" i="12"/>
  <c r="AI272" i="12"/>
  <c r="AH272" i="12"/>
  <c r="AG272" i="12"/>
  <c r="AF272" i="12"/>
  <c r="AE272" i="12"/>
  <c r="AD272" i="12"/>
  <c r="AC272" i="12"/>
  <c r="AB272" i="12"/>
  <c r="AJ271" i="12"/>
  <c r="AI271" i="12"/>
  <c r="AH271" i="12"/>
  <c r="AG271" i="12"/>
  <c r="AF271" i="12"/>
  <c r="AE271" i="12"/>
  <c r="AD271" i="12"/>
  <c r="AC271" i="12"/>
  <c r="AB271" i="12"/>
  <c r="AJ270" i="12"/>
  <c r="AI270" i="12"/>
  <c r="AH270" i="12"/>
  <c r="AG270" i="12"/>
  <c r="AF270" i="12"/>
  <c r="AE270" i="12"/>
  <c r="AD270" i="12"/>
  <c r="AC270" i="12"/>
  <c r="AB270" i="12"/>
  <c r="AJ269" i="12"/>
  <c r="AI269" i="12"/>
  <c r="AH269" i="12"/>
  <c r="AG269" i="12"/>
  <c r="AF269" i="12"/>
  <c r="AE269" i="12"/>
  <c r="AD269" i="12"/>
  <c r="AC269" i="12"/>
  <c r="AB269" i="12"/>
  <c r="AJ268" i="12"/>
  <c r="AI268" i="12"/>
  <c r="AH268" i="12"/>
  <c r="AG268" i="12"/>
  <c r="AF268" i="12"/>
  <c r="AE268" i="12"/>
  <c r="AD268" i="12"/>
  <c r="AC268" i="12"/>
  <c r="AB268" i="12"/>
  <c r="AJ267" i="12"/>
  <c r="AI267" i="12"/>
  <c r="AH267" i="12"/>
  <c r="AG267" i="12"/>
  <c r="AF267" i="12"/>
  <c r="AE267" i="12"/>
  <c r="AD267" i="12"/>
  <c r="AC267" i="12"/>
  <c r="AB267" i="12"/>
  <c r="AJ266" i="12"/>
  <c r="AI266" i="12"/>
  <c r="AH266" i="12"/>
  <c r="AG266" i="12"/>
  <c r="AF266" i="12"/>
  <c r="AE266" i="12"/>
  <c r="AD266" i="12"/>
  <c r="AC266" i="12"/>
  <c r="AB266" i="12"/>
  <c r="AB193" i="12"/>
  <c r="AC193" i="12"/>
  <c r="AD193" i="12"/>
  <c r="AE193" i="12"/>
  <c r="AF193" i="12"/>
  <c r="AG193" i="12"/>
  <c r="AH193" i="12"/>
  <c r="AI193" i="12"/>
  <c r="R329" i="12"/>
  <c r="R328" i="12"/>
  <c r="R327" i="12"/>
  <c r="R326" i="12"/>
  <c r="R325" i="12"/>
  <c r="R324" i="12"/>
  <c r="R323" i="12"/>
  <c r="R322" i="12"/>
  <c r="R321" i="12"/>
  <c r="R320" i="12"/>
  <c r="R319" i="12"/>
  <c r="R318" i="12"/>
  <c r="R317" i="12"/>
  <c r="R316" i="12"/>
  <c r="R315" i="12"/>
  <c r="R314" i="12"/>
  <c r="R313" i="12"/>
  <c r="R312" i="12"/>
  <c r="R311" i="12"/>
  <c r="R310" i="12"/>
  <c r="R309" i="12"/>
  <c r="R308" i="12"/>
  <c r="R307" i="12"/>
  <c r="R306" i="12"/>
  <c r="R305" i="12"/>
  <c r="R304" i="12"/>
  <c r="R303" i="12"/>
  <c r="R302" i="12"/>
  <c r="R301" i="12"/>
  <c r="R300" i="12"/>
  <c r="R299" i="12"/>
  <c r="R298" i="12"/>
  <c r="R297" i="12"/>
  <c r="R296" i="12"/>
  <c r="R295" i="12"/>
  <c r="R294" i="12"/>
  <c r="R293" i="12"/>
  <c r="R292" i="12"/>
  <c r="R291" i="12"/>
  <c r="R290" i="12"/>
  <c r="R289" i="12"/>
  <c r="R288" i="12"/>
  <c r="R287" i="12"/>
  <c r="R286" i="12"/>
  <c r="R285" i="12"/>
  <c r="R284" i="12"/>
  <c r="R283" i="12"/>
  <c r="R282" i="12"/>
  <c r="R281" i="12"/>
  <c r="R280" i="12"/>
  <c r="R279" i="12"/>
  <c r="R278" i="12"/>
  <c r="R277" i="12"/>
  <c r="R276" i="12"/>
  <c r="R275" i="12"/>
  <c r="R274" i="12"/>
  <c r="R273" i="12"/>
  <c r="R272" i="12"/>
  <c r="R271" i="12"/>
  <c r="R270" i="12"/>
  <c r="R269" i="12"/>
  <c r="R268" i="12"/>
  <c r="R267" i="12"/>
  <c r="R266" i="12"/>
  <c r="U30" i="7"/>
  <c r="D7" i="11" s="1"/>
  <c r="U30" i="13"/>
  <c r="D6" i="11" s="1"/>
  <c r="U30" i="4"/>
  <c r="D5" i="11" s="1"/>
  <c r="AC49" i="7"/>
  <c r="G7" i="11" s="1"/>
  <c r="AC49" i="13"/>
  <c r="G6" i="11" s="1"/>
  <c r="AC49" i="4"/>
  <c r="G5" i="11" s="1"/>
  <c r="AC49" i="1"/>
  <c r="U30" i="1"/>
  <c r="D4" i="11" s="1"/>
  <c r="P26" i="9"/>
  <c r="P25" i="9"/>
  <c r="G25" i="9"/>
  <c r="L25" i="9"/>
  <c r="M25" i="9"/>
  <c r="N25" i="9"/>
  <c r="O25" i="9"/>
  <c r="L26" i="9"/>
  <c r="M26" i="9"/>
  <c r="N26" i="9"/>
  <c r="O26" i="9"/>
  <c r="L27" i="9"/>
  <c r="M27" i="9"/>
  <c r="N27" i="9"/>
  <c r="O27" i="9"/>
  <c r="L28" i="9"/>
  <c r="M28" i="9"/>
  <c r="N28" i="9"/>
  <c r="O28" i="9"/>
  <c r="K28" i="9"/>
  <c r="G26" i="9"/>
  <c r="G28" i="9"/>
  <c r="B26" i="9"/>
  <c r="B28" i="9"/>
  <c r="B25" i="9"/>
  <c r="C26" i="9"/>
  <c r="D26" i="9"/>
  <c r="E26" i="9"/>
  <c r="F26" i="9"/>
  <c r="C27" i="9"/>
  <c r="D27" i="9"/>
  <c r="E27" i="9"/>
  <c r="C28" i="9"/>
  <c r="D28" i="9"/>
  <c r="E28" i="9"/>
  <c r="D25" i="9"/>
  <c r="E25" i="9"/>
  <c r="F25" i="9"/>
  <c r="C25" i="9"/>
  <c r="L17" i="9"/>
  <c r="M19" i="9"/>
  <c r="N6" i="9"/>
  <c r="M17" i="9"/>
  <c r="N4" i="9"/>
  <c r="M16" i="9"/>
  <c r="N3" i="9"/>
  <c r="L16" i="9"/>
  <c r="C19" i="9"/>
  <c r="C17" i="9"/>
  <c r="C16" i="9"/>
  <c r="D3" i="9"/>
  <c r="D6" i="9"/>
  <c r="D4" i="9"/>
  <c r="D19" i="9"/>
  <c r="D17" i="9"/>
  <c r="D16" i="9"/>
  <c r="E3" i="9"/>
  <c r="D3" i="15"/>
  <c r="D4" i="15"/>
  <c r="D2" i="15"/>
  <c r="C8" i="15"/>
  <c r="K16" i="9"/>
  <c r="K17" i="9"/>
  <c r="K19" i="9"/>
  <c r="K6" i="9"/>
  <c r="K4" i="9"/>
  <c r="K3" i="9"/>
  <c r="L11" i="9"/>
  <c r="L12" i="9" s="1"/>
  <c r="B19" i="9"/>
  <c r="B17" i="9"/>
  <c r="B6" i="9"/>
  <c r="B4" i="9"/>
  <c r="B16" i="9"/>
  <c r="B3" i="9"/>
  <c r="C11" i="9"/>
  <c r="C12" i="9" s="1"/>
  <c r="D7" i="2"/>
  <c r="G7" i="2"/>
  <c r="AB50" i="12"/>
  <c r="AC50" i="12"/>
  <c r="AE50" i="12"/>
  <c r="AF50" i="12"/>
  <c r="AH50" i="12"/>
  <c r="AI50" i="12"/>
  <c r="AJ50" i="12"/>
  <c r="AB51" i="12"/>
  <c r="AC51" i="12"/>
  <c r="AE51" i="12"/>
  <c r="AF51" i="12"/>
  <c r="AH51" i="12"/>
  <c r="AI51" i="12"/>
  <c r="AJ51" i="12"/>
  <c r="AB52" i="12"/>
  <c r="AC52" i="12"/>
  <c r="AE52" i="12"/>
  <c r="AF52" i="12"/>
  <c r="AH52" i="12"/>
  <c r="AI52" i="12"/>
  <c r="AJ52" i="12"/>
  <c r="AB53" i="12"/>
  <c r="AC53" i="12"/>
  <c r="AE53" i="12"/>
  <c r="AF53" i="12"/>
  <c r="AH53" i="12"/>
  <c r="AI53" i="12"/>
  <c r="AJ53" i="12"/>
  <c r="AB54" i="12"/>
  <c r="AC54" i="12"/>
  <c r="AE54" i="12"/>
  <c r="AF54" i="12"/>
  <c r="AH54" i="12"/>
  <c r="AI54" i="12"/>
  <c r="AJ54" i="12"/>
  <c r="AB55" i="12"/>
  <c r="AC55" i="12"/>
  <c r="AE55" i="12"/>
  <c r="AF55" i="12"/>
  <c r="AH55" i="12"/>
  <c r="AI55" i="12"/>
  <c r="AJ55" i="12"/>
  <c r="AB56" i="12"/>
  <c r="AC56" i="12"/>
  <c r="AE56" i="12"/>
  <c r="AF56" i="12"/>
  <c r="AH56" i="12"/>
  <c r="AI56" i="12"/>
  <c r="AJ56" i="12"/>
  <c r="AB57" i="12"/>
  <c r="AC57" i="12"/>
  <c r="AE57" i="12"/>
  <c r="AF57" i="12"/>
  <c r="AH57" i="12"/>
  <c r="AI57" i="12"/>
  <c r="AJ57" i="12"/>
  <c r="AB58" i="12"/>
  <c r="AC58" i="12"/>
  <c r="AE58" i="12"/>
  <c r="AF58" i="12"/>
  <c r="AH58" i="12"/>
  <c r="AI58" i="12"/>
  <c r="AJ58" i="12"/>
  <c r="AB59" i="12"/>
  <c r="AC59" i="12"/>
  <c r="AE59" i="12"/>
  <c r="AF59" i="12"/>
  <c r="AH59" i="12"/>
  <c r="AI59" i="12"/>
  <c r="AJ59" i="12"/>
  <c r="AB60" i="12"/>
  <c r="AC60" i="12"/>
  <c r="AE60" i="12"/>
  <c r="AF60" i="12"/>
  <c r="AH60" i="12"/>
  <c r="AI60" i="12"/>
  <c r="AJ60" i="12"/>
  <c r="AB61" i="12"/>
  <c r="AC61" i="12"/>
  <c r="AE61" i="12"/>
  <c r="AF61" i="12"/>
  <c r="AH61" i="12"/>
  <c r="AI61" i="12"/>
  <c r="AJ61" i="12"/>
  <c r="AB62" i="12"/>
  <c r="AC62" i="12"/>
  <c r="AE62" i="12"/>
  <c r="AF62" i="12"/>
  <c r="AH62" i="12"/>
  <c r="AI62" i="12"/>
  <c r="AJ62" i="12"/>
  <c r="AB63" i="12"/>
  <c r="AC63" i="12"/>
  <c r="AE63" i="12"/>
  <c r="AF63" i="12"/>
  <c r="AH63" i="12"/>
  <c r="AI63" i="12"/>
  <c r="AJ63" i="12"/>
  <c r="AB64" i="12"/>
  <c r="AC64" i="12"/>
  <c r="AE64" i="12"/>
  <c r="AF64" i="12"/>
  <c r="AH64" i="12"/>
  <c r="AI64" i="12"/>
  <c r="AJ64" i="12"/>
  <c r="AB65" i="12"/>
  <c r="AC65" i="12"/>
  <c r="AE65" i="12"/>
  <c r="AF65" i="12"/>
  <c r="AH65" i="12"/>
  <c r="AI65" i="12"/>
  <c r="AJ65" i="12"/>
  <c r="AB66" i="12"/>
  <c r="AC66" i="12"/>
  <c r="AE66" i="12"/>
  <c r="AF66" i="12"/>
  <c r="AH66" i="12"/>
  <c r="AI66" i="12"/>
  <c r="AJ66" i="12"/>
  <c r="AB67" i="12"/>
  <c r="AC67" i="12"/>
  <c r="AE67" i="12"/>
  <c r="AF67" i="12"/>
  <c r="AH67" i="12"/>
  <c r="AI67" i="12"/>
  <c r="AJ67" i="12"/>
  <c r="AB68" i="12"/>
  <c r="AC68" i="12"/>
  <c r="AE68" i="12"/>
  <c r="AF68" i="12"/>
  <c r="AH68" i="12"/>
  <c r="AI68" i="12"/>
  <c r="AJ68" i="12"/>
  <c r="AB69" i="12"/>
  <c r="AC69" i="12"/>
  <c r="AE69" i="12"/>
  <c r="AF69" i="12"/>
  <c r="AH69" i="12"/>
  <c r="AI69" i="12"/>
  <c r="AJ69" i="12"/>
  <c r="AB70" i="12"/>
  <c r="AC70" i="12"/>
  <c r="AE70" i="12"/>
  <c r="AF70" i="12"/>
  <c r="AH70" i="12"/>
  <c r="AI70" i="12"/>
  <c r="AJ70" i="12"/>
  <c r="AB71" i="12"/>
  <c r="AC71" i="12"/>
  <c r="AE71" i="12"/>
  <c r="AF71" i="12"/>
  <c r="AH71" i="12"/>
  <c r="AI71" i="12"/>
  <c r="AJ71" i="12"/>
  <c r="AB72" i="12"/>
  <c r="AC72" i="12"/>
  <c r="AE72" i="12"/>
  <c r="AF72" i="12"/>
  <c r="AH72" i="12"/>
  <c r="AI72" i="12"/>
  <c r="AJ72" i="12"/>
  <c r="AB73" i="12"/>
  <c r="AC73" i="12"/>
  <c r="AE73" i="12"/>
  <c r="AF73" i="12"/>
  <c r="AH73" i="12"/>
  <c r="AI73" i="12"/>
  <c r="AJ73" i="12"/>
  <c r="AB74" i="12"/>
  <c r="AC74" i="12"/>
  <c r="AE74" i="12"/>
  <c r="AF74" i="12"/>
  <c r="AH74" i="12"/>
  <c r="AI74" i="12"/>
  <c r="AJ74" i="12"/>
  <c r="AB75" i="12"/>
  <c r="AC75" i="12"/>
  <c r="AE75" i="12"/>
  <c r="AF75" i="12"/>
  <c r="AH75" i="12"/>
  <c r="AI75" i="12"/>
  <c r="AJ75" i="12"/>
  <c r="AB76" i="12"/>
  <c r="AC76" i="12"/>
  <c r="AE76" i="12"/>
  <c r="AF76" i="12"/>
  <c r="AH76" i="12"/>
  <c r="AI76" i="12"/>
  <c r="AJ76" i="12"/>
  <c r="AB77" i="12"/>
  <c r="AC77" i="12"/>
  <c r="AE77" i="12"/>
  <c r="AF77" i="12"/>
  <c r="AH77" i="12"/>
  <c r="AI77" i="12"/>
  <c r="AJ77" i="12"/>
  <c r="AB78" i="12"/>
  <c r="AC78" i="12"/>
  <c r="AE78" i="12"/>
  <c r="AF78" i="12"/>
  <c r="AH78" i="12"/>
  <c r="AI78" i="12"/>
  <c r="AJ78" i="12"/>
  <c r="AB79" i="12"/>
  <c r="AC79" i="12"/>
  <c r="AE79" i="12"/>
  <c r="AF79" i="12"/>
  <c r="AH79" i="12"/>
  <c r="AI79" i="12"/>
  <c r="AJ79" i="12"/>
  <c r="AB80" i="12"/>
  <c r="AC80" i="12"/>
  <c r="AE80" i="12"/>
  <c r="AF80" i="12"/>
  <c r="AH80" i="12"/>
  <c r="AI80" i="12"/>
  <c r="AJ80" i="12"/>
  <c r="AB81" i="12"/>
  <c r="AC81" i="12"/>
  <c r="AE81" i="12"/>
  <c r="AF81" i="12"/>
  <c r="AH81" i="12"/>
  <c r="AI81" i="12"/>
  <c r="AJ81" i="12"/>
  <c r="AB82" i="12"/>
  <c r="AC82" i="12"/>
  <c r="AE82" i="12"/>
  <c r="AF82" i="12"/>
  <c r="AH82" i="12"/>
  <c r="AI82" i="12"/>
  <c r="AJ82" i="12"/>
  <c r="AB83" i="12"/>
  <c r="AC83" i="12"/>
  <c r="AE83" i="12"/>
  <c r="AF83" i="12"/>
  <c r="AH83" i="12"/>
  <c r="AI83" i="12"/>
  <c r="AJ83" i="12"/>
  <c r="AB84" i="12"/>
  <c r="AC84" i="12"/>
  <c r="AE84" i="12"/>
  <c r="AF84" i="12"/>
  <c r="AH84" i="12"/>
  <c r="AI84" i="12"/>
  <c r="AJ84" i="12"/>
  <c r="AB85" i="12"/>
  <c r="AC85" i="12"/>
  <c r="AE85" i="12"/>
  <c r="AF85" i="12"/>
  <c r="AH85" i="12"/>
  <c r="AI85" i="12"/>
  <c r="AJ85" i="12"/>
  <c r="AB86" i="12"/>
  <c r="AC86" i="12"/>
  <c r="AE86" i="12"/>
  <c r="AF86" i="12"/>
  <c r="AH86" i="12"/>
  <c r="AI86" i="12"/>
  <c r="AJ86" i="12"/>
  <c r="AB87" i="12"/>
  <c r="AC87" i="12"/>
  <c r="AE87" i="12"/>
  <c r="AF87" i="12"/>
  <c r="AH87" i="12"/>
  <c r="AI87" i="12"/>
  <c r="AJ87" i="12"/>
  <c r="AB88" i="12"/>
  <c r="AC88" i="12"/>
  <c r="AE88" i="12"/>
  <c r="AF88" i="12"/>
  <c r="AH88" i="12"/>
  <c r="AI88" i="12"/>
  <c r="AJ88" i="12"/>
  <c r="AB89" i="12"/>
  <c r="AC89" i="12"/>
  <c r="AE89" i="12"/>
  <c r="AF89" i="12"/>
  <c r="AH89" i="12"/>
  <c r="AI89" i="12"/>
  <c r="AJ89" i="12"/>
  <c r="AB90" i="12"/>
  <c r="AC90" i="12"/>
  <c r="AE90" i="12"/>
  <c r="AF90" i="12"/>
  <c r="AH90" i="12"/>
  <c r="AI90" i="12"/>
  <c r="AJ90" i="12"/>
  <c r="AB91" i="12"/>
  <c r="AC91" i="12"/>
  <c r="AE91" i="12"/>
  <c r="AF91" i="12"/>
  <c r="AH91" i="12"/>
  <c r="AI91" i="12"/>
  <c r="AJ91" i="12"/>
  <c r="AB92" i="12"/>
  <c r="AC92" i="12"/>
  <c r="AE92" i="12"/>
  <c r="AF92" i="12"/>
  <c r="AH92" i="12"/>
  <c r="AI92" i="12"/>
  <c r="AJ92" i="12"/>
  <c r="AB93" i="12"/>
  <c r="AC93" i="12"/>
  <c r="AE93" i="12"/>
  <c r="AF93" i="12"/>
  <c r="AH93" i="12"/>
  <c r="AI93" i="12"/>
  <c r="AJ93" i="12"/>
  <c r="AB94" i="12"/>
  <c r="AC94" i="12"/>
  <c r="AE94" i="12"/>
  <c r="AF94" i="12"/>
  <c r="AH94" i="12"/>
  <c r="AI94" i="12"/>
  <c r="AJ94" i="12"/>
  <c r="AB95" i="12"/>
  <c r="AC95" i="12"/>
  <c r="AE95" i="12"/>
  <c r="AF95" i="12"/>
  <c r="AH95" i="12"/>
  <c r="AI95" i="12"/>
  <c r="AJ95" i="12"/>
  <c r="AB96" i="12"/>
  <c r="AC96" i="12"/>
  <c r="AE96" i="12"/>
  <c r="AF96" i="12"/>
  <c r="AH96" i="12"/>
  <c r="AI96" i="12"/>
  <c r="AJ96" i="12"/>
  <c r="AB97" i="12"/>
  <c r="AC97" i="12"/>
  <c r="AE97" i="12"/>
  <c r="AF97" i="12"/>
  <c r="AH97" i="12"/>
  <c r="AI97" i="12"/>
  <c r="AJ97" i="12"/>
  <c r="AB98" i="12"/>
  <c r="AC98" i="12"/>
  <c r="AE98" i="12"/>
  <c r="AF98" i="12"/>
  <c r="AH98" i="12"/>
  <c r="AI98" i="12"/>
  <c r="AJ98" i="12"/>
  <c r="AB99" i="12"/>
  <c r="AC99" i="12"/>
  <c r="AE99" i="12"/>
  <c r="AF99" i="12"/>
  <c r="AH99" i="12"/>
  <c r="AI99" i="12"/>
  <c r="AJ99" i="12"/>
  <c r="AB100" i="12"/>
  <c r="AC100" i="12"/>
  <c r="AE100" i="12"/>
  <c r="AF100" i="12"/>
  <c r="AH100" i="12"/>
  <c r="AI100" i="12"/>
  <c r="AJ100" i="12"/>
  <c r="AB101" i="12"/>
  <c r="AC101" i="12"/>
  <c r="AE101" i="12"/>
  <c r="AF101" i="12"/>
  <c r="AH101" i="12"/>
  <c r="AI101" i="12"/>
  <c r="AJ101" i="12"/>
  <c r="AB102" i="12"/>
  <c r="AC102" i="12"/>
  <c r="AE102" i="12"/>
  <c r="AF102" i="12"/>
  <c r="AH102" i="12"/>
  <c r="AI102" i="12"/>
  <c r="AJ102" i="12"/>
  <c r="AB103" i="12"/>
  <c r="AC103" i="12"/>
  <c r="AE103" i="12"/>
  <c r="AF103" i="12"/>
  <c r="AH103" i="12"/>
  <c r="AI103" i="12"/>
  <c r="AJ103" i="12"/>
  <c r="AB104" i="12"/>
  <c r="AC104" i="12"/>
  <c r="AE104" i="12"/>
  <c r="AF104" i="12"/>
  <c r="AH104" i="12"/>
  <c r="AI104" i="12"/>
  <c r="AJ104" i="12"/>
  <c r="AB105" i="12"/>
  <c r="AC105" i="12"/>
  <c r="AE105" i="12"/>
  <c r="AF105" i="12"/>
  <c r="AH105" i="12"/>
  <c r="AI105" i="12"/>
  <c r="AJ105" i="12"/>
  <c r="AB106" i="12"/>
  <c r="AC106" i="12"/>
  <c r="AE106" i="12"/>
  <c r="AF106" i="12"/>
  <c r="AH106" i="12"/>
  <c r="AI106" i="12"/>
  <c r="AJ106" i="12"/>
  <c r="AB107" i="12"/>
  <c r="AC107" i="12"/>
  <c r="AE107" i="12"/>
  <c r="AF107" i="12"/>
  <c r="AH107" i="12"/>
  <c r="AI107" i="12"/>
  <c r="AJ107" i="12"/>
  <c r="AB108" i="12"/>
  <c r="AC108" i="12"/>
  <c r="AE108" i="12"/>
  <c r="AF108" i="12"/>
  <c r="AH108" i="12"/>
  <c r="AI108" i="12"/>
  <c r="AJ108" i="12"/>
  <c r="AB109" i="12"/>
  <c r="AC109" i="12"/>
  <c r="AE109" i="12"/>
  <c r="AF109" i="12"/>
  <c r="AH109" i="12"/>
  <c r="AI109" i="12"/>
  <c r="AJ109" i="12"/>
  <c r="AB110" i="12"/>
  <c r="AC110" i="12"/>
  <c r="AE110" i="12"/>
  <c r="AF110" i="12"/>
  <c r="AH110" i="12"/>
  <c r="AI110" i="12"/>
  <c r="AJ110" i="12"/>
  <c r="AB111" i="12"/>
  <c r="AC111" i="12"/>
  <c r="AE111" i="12"/>
  <c r="AF111" i="12"/>
  <c r="AH111" i="12"/>
  <c r="AI111" i="12"/>
  <c r="AJ111" i="12"/>
  <c r="AB112" i="12"/>
  <c r="AC112" i="12"/>
  <c r="AE112" i="12"/>
  <c r="AF112" i="12"/>
  <c r="AH112" i="12"/>
  <c r="AI112" i="12"/>
  <c r="AJ112" i="12"/>
  <c r="AB113" i="12"/>
  <c r="AC113" i="12"/>
  <c r="AE113" i="12"/>
  <c r="AF113" i="12"/>
  <c r="AH113" i="12"/>
  <c r="AI113" i="12"/>
  <c r="AJ113" i="12"/>
  <c r="AB114" i="12"/>
  <c r="AC114" i="12"/>
  <c r="AE114" i="12"/>
  <c r="AF114" i="12"/>
  <c r="AH114" i="12"/>
  <c r="AI114" i="12"/>
  <c r="AJ114" i="12"/>
  <c r="AB115" i="12"/>
  <c r="AC115" i="12"/>
  <c r="AE115" i="12"/>
  <c r="AF115" i="12"/>
  <c r="AH115" i="12"/>
  <c r="AI115" i="12"/>
  <c r="AJ115" i="12"/>
  <c r="AB116" i="12"/>
  <c r="AC116" i="12"/>
  <c r="AE116" i="12"/>
  <c r="AF116" i="12"/>
  <c r="AH116" i="12"/>
  <c r="AI116" i="12"/>
  <c r="AJ116" i="12"/>
  <c r="AB117" i="12"/>
  <c r="AC117" i="12"/>
  <c r="AE117" i="12"/>
  <c r="AF117" i="12"/>
  <c r="AH117" i="12"/>
  <c r="AI117" i="12"/>
  <c r="AJ117" i="12"/>
  <c r="AB118" i="12"/>
  <c r="AC118" i="12"/>
  <c r="AE118" i="12"/>
  <c r="AF118" i="12"/>
  <c r="AH118" i="12"/>
  <c r="AI118" i="12"/>
  <c r="AJ118" i="12"/>
  <c r="AB119" i="12"/>
  <c r="AC119" i="12"/>
  <c r="AE119" i="12"/>
  <c r="AF119" i="12"/>
  <c r="AH119" i="12"/>
  <c r="AI119" i="12"/>
  <c r="AJ119" i="12"/>
  <c r="AB120" i="12"/>
  <c r="AC120" i="12"/>
  <c r="AE120" i="12"/>
  <c r="AF120" i="12"/>
  <c r="AH120" i="12"/>
  <c r="AI120" i="12"/>
  <c r="AJ120" i="12"/>
  <c r="AB121" i="12"/>
  <c r="AC121" i="12"/>
  <c r="AE121" i="12"/>
  <c r="AF121" i="12"/>
  <c r="AH121" i="12"/>
  <c r="AI121" i="12"/>
  <c r="AJ121" i="12"/>
  <c r="AB122" i="12"/>
  <c r="AC122" i="12"/>
  <c r="AE122" i="12"/>
  <c r="AF122" i="12"/>
  <c r="AH122" i="12"/>
  <c r="AI122" i="12"/>
  <c r="AJ122" i="12"/>
  <c r="AB123" i="12"/>
  <c r="AC123" i="12"/>
  <c r="AE123" i="12"/>
  <c r="AF123" i="12"/>
  <c r="AH123" i="12"/>
  <c r="AI123" i="12"/>
  <c r="AJ123" i="12"/>
  <c r="AB124" i="12"/>
  <c r="AC124" i="12"/>
  <c r="AE124" i="12"/>
  <c r="AF124" i="12"/>
  <c r="AH124" i="12"/>
  <c r="AI124" i="12"/>
  <c r="AJ124" i="12"/>
  <c r="AB125" i="12"/>
  <c r="AC125" i="12"/>
  <c r="AE125" i="12"/>
  <c r="AF125" i="12"/>
  <c r="AH125" i="12"/>
  <c r="AI125" i="12"/>
  <c r="AJ125" i="12"/>
  <c r="AB126" i="12"/>
  <c r="AC126" i="12"/>
  <c r="AE126" i="12"/>
  <c r="AF126" i="12"/>
  <c r="AH126" i="12"/>
  <c r="AI126" i="12"/>
  <c r="AJ126" i="12"/>
  <c r="AB127" i="12"/>
  <c r="AC127" i="12"/>
  <c r="AE127" i="12"/>
  <c r="AF127" i="12"/>
  <c r="AH127" i="12"/>
  <c r="AI127" i="12"/>
  <c r="AJ127" i="12"/>
  <c r="AB128" i="12"/>
  <c r="AC128" i="12"/>
  <c r="AE128" i="12"/>
  <c r="AF128" i="12"/>
  <c r="AH128" i="12"/>
  <c r="AI128" i="12"/>
  <c r="AJ128" i="12"/>
  <c r="AB129" i="12"/>
  <c r="AC129" i="12"/>
  <c r="AE129" i="12"/>
  <c r="AF129" i="12"/>
  <c r="AH129" i="12"/>
  <c r="AI129" i="12"/>
  <c r="AJ129" i="12"/>
  <c r="AB130" i="12"/>
  <c r="AC130" i="12"/>
  <c r="AE130" i="12"/>
  <c r="AF130" i="12"/>
  <c r="AH130" i="12"/>
  <c r="AI130" i="12"/>
  <c r="AJ130" i="12"/>
  <c r="AB131" i="12"/>
  <c r="AC131" i="12"/>
  <c r="AE131" i="12"/>
  <c r="AF131" i="12"/>
  <c r="AH131" i="12"/>
  <c r="AI131" i="12"/>
  <c r="AJ131" i="12"/>
  <c r="AB132" i="12"/>
  <c r="AC132" i="12"/>
  <c r="AE132" i="12"/>
  <c r="AF132" i="12"/>
  <c r="AH132" i="12"/>
  <c r="AI132" i="12"/>
  <c r="AJ132" i="12"/>
  <c r="AB133" i="12"/>
  <c r="AC133" i="12"/>
  <c r="AE133" i="12"/>
  <c r="AF133" i="12"/>
  <c r="AH133" i="12"/>
  <c r="AI133" i="12"/>
  <c r="AJ133" i="12"/>
  <c r="AB134" i="12"/>
  <c r="AC134" i="12"/>
  <c r="AE134" i="12"/>
  <c r="AF134" i="12"/>
  <c r="AH134" i="12"/>
  <c r="AI134" i="12"/>
  <c r="AJ134" i="12"/>
  <c r="AB135" i="12"/>
  <c r="AC135" i="12"/>
  <c r="AE135" i="12"/>
  <c r="AF135" i="12"/>
  <c r="AH135" i="12"/>
  <c r="AI135" i="12"/>
  <c r="AJ135" i="12"/>
  <c r="AB136" i="12"/>
  <c r="AC136" i="12"/>
  <c r="AE136" i="12"/>
  <c r="AF136" i="12"/>
  <c r="AH136" i="12"/>
  <c r="AI136" i="12"/>
  <c r="AJ136" i="12"/>
  <c r="AB137" i="12"/>
  <c r="AC137" i="12"/>
  <c r="AE137" i="12"/>
  <c r="AF137" i="12"/>
  <c r="AH137" i="12"/>
  <c r="AI137" i="12"/>
  <c r="AJ137" i="12"/>
  <c r="AB138" i="12"/>
  <c r="AC138" i="12"/>
  <c r="AE138" i="12"/>
  <c r="AF138" i="12"/>
  <c r="AH138" i="12"/>
  <c r="AI138" i="12"/>
  <c r="AJ138" i="12"/>
  <c r="AB139" i="12"/>
  <c r="AC139" i="12"/>
  <c r="AE139" i="12"/>
  <c r="AF139" i="12"/>
  <c r="AH139" i="12"/>
  <c r="AI139" i="12"/>
  <c r="AJ139" i="12"/>
  <c r="AB140" i="12"/>
  <c r="AC140" i="12"/>
  <c r="AE140" i="12"/>
  <c r="AF140" i="12"/>
  <c r="AH140" i="12"/>
  <c r="AI140" i="12"/>
  <c r="AJ140" i="12"/>
  <c r="AB141" i="12"/>
  <c r="AC141" i="12"/>
  <c r="AE141" i="12"/>
  <c r="AF141" i="12"/>
  <c r="AH141" i="12"/>
  <c r="AI141" i="12"/>
  <c r="AJ141" i="12"/>
  <c r="AB142" i="12"/>
  <c r="AC142" i="12"/>
  <c r="AE142" i="12"/>
  <c r="AF142" i="12"/>
  <c r="AH142" i="12"/>
  <c r="AI142" i="12"/>
  <c r="AJ142" i="12"/>
  <c r="AB143" i="12"/>
  <c r="AC143" i="12"/>
  <c r="AE143" i="12"/>
  <c r="AF143" i="12"/>
  <c r="AH143" i="12"/>
  <c r="AI143" i="12"/>
  <c r="AJ143" i="12"/>
  <c r="AB144" i="12"/>
  <c r="AC144" i="12"/>
  <c r="AE144" i="12"/>
  <c r="AF144" i="12"/>
  <c r="AH144" i="12"/>
  <c r="AI144" i="12"/>
  <c r="AJ144" i="12"/>
  <c r="AB145" i="12"/>
  <c r="AC145" i="12"/>
  <c r="AE145" i="12"/>
  <c r="AF145" i="12"/>
  <c r="AH145" i="12"/>
  <c r="AI145" i="12"/>
  <c r="AJ145" i="12"/>
  <c r="AB146" i="12"/>
  <c r="AC146" i="12"/>
  <c r="AE146" i="12"/>
  <c r="AF146" i="12"/>
  <c r="AH146" i="12"/>
  <c r="AI146" i="12"/>
  <c r="AJ146" i="12"/>
  <c r="AB147" i="12"/>
  <c r="AC147" i="12"/>
  <c r="AE147" i="12"/>
  <c r="AF147" i="12"/>
  <c r="AH147" i="12"/>
  <c r="AI147" i="12"/>
  <c r="AJ147" i="12"/>
  <c r="AB148" i="12"/>
  <c r="AC148" i="12"/>
  <c r="AE148" i="12"/>
  <c r="AF148" i="12"/>
  <c r="AH148" i="12"/>
  <c r="AI148" i="12"/>
  <c r="AJ148" i="12"/>
  <c r="AB149" i="12"/>
  <c r="AC149" i="12"/>
  <c r="AE149" i="12"/>
  <c r="AF149" i="12"/>
  <c r="AH149" i="12"/>
  <c r="AI149" i="12"/>
  <c r="AJ149" i="12"/>
  <c r="AB150" i="12"/>
  <c r="AC150" i="12"/>
  <c r="AE150" i="12"/>
  <c r="AF150" i="12"/>
  <c r="AH150" i="12"/>
  <c r="AI150" i="12"/>
  <c r="AJ150" i="12"/>
  <c r="AB151" i="12"/>
  <c r="AC151" i="12"/>
  <c r="AE151" i="12"/>
  <c r="AF151" i="12"/>
  <c r="AH151" i="12"/>
  <c r="AI151" i="12"/>
  <c r="AJ151" i="12"/>
  <c r="AB152" i="12"/>
  <c r="AC152" i="12"/>
  <c r="AE152" i="12"/>
  <c r="AF152" i="12"/>
  <c r="AH152" i="12"/>
  <c r="AI152" i="12"/>
  <c r="AJ152" i="12"/>
  <c r="AB153" i="12"/>
  <c r="AC153" i="12"/>
  <c r="AE153" i="12"/>
  <c r="AF153" i="12"/>
  <c r="AH153" i="12"/>
  <c r="AI153" i="12"/>
  <c r="AJ153" i="12"/>
  <c r="AB154" i="12"/>
  <c r="AC154" i="12"/>
  <c r="AE154" i="12"/>
  <c r="AF154" i="12"/>
  <c r="AH154" i="12"/>
  <c r="AI154" i="12"/>
  <c r="AJ154" i="12"/>
  <c r="AB155" i="12"/>
  <c r="AC155" i="12"/>
  <c r="AE155" i="12"/>
  <c r="AF155" i="12"/>
  <c r="AH155" i="12"/>
  <c r="AI155" i="12"/>
  <c r="AJ155" i="12"/>
  <c r="AB156" i="12"/>
  <c r="AC156" i="12"/>
  <c r="AE156" i="12"/>
  <c r="AF156" i="12"/>
  <c r="AH156" i="12"/>
  <c r="AI156" i="12"/>
  <c r="AJ156" i="12"/>
  <c r="AB157" i="12"/>
  <c r="AC157" i="12"/>
  <c r="AE157" i="12"/>
  <c r="AF157" i="12"/>
  <c r="AH157" i="12"/>
  <c r="AI157" i="12"/>
  <c r="AJ157" i="12"/>
  <c r="AB158" i="12"/>
  <c r="AC158" i="12"/>
  <c r="AE158" i="12"/>
  <c r="AF158" i="12"/>
  <c r="AH158" i="12"/>
  <c r="AI158" i="12"/>
  <c r="AJ158" i="12"/>
  <c r="AB159" i="12"/>
  <c r="AC159" i="12"/>
  <c r="AE159" i="12"/>
  <c r="AF159" i="12"/>
  <c r="AH159" i="12"/>
  <c r="AI159" i="12"/>
  <c r="AJ159" i="12"/>
  <c r="AB160" i="12"/>
  <c r="AC160" i="12"/>
  <c r="AE160" i="12"/>
  <c r="AF160" i="12"/>
  <c r="AH160" i="12"/>
  <c r="AI160" i="12"/>
  <c r="AJ160" i="12"/>
  <c r="AB161" i="12"/>
  <c r="AC161" i="12"/>
  <c r="AE161" i="12"/>
  <c r="AF161" i="12"/>
  <c r="AH161" i="12"/>
  <c r="AI161" i="12"/>
  <c r="AJ161" i="12"/>
  <c r="AB162" i="12"/>
  <c r="AC162" i="12"/>
  <c r="AE162" i="12"/>
  <c r="AF162" i="12"/>
  <c r="AH162" i="12"/>
  <c r="AI162" i="12"/>
  <c r="AJ162" i="12"/>
  <c r="AB163" i="12"/>
  <c r="AC163" i="12"/>
  <c r="AE163" i="12"/>
  <c r="AF163" i="12"/>
  <c r="AH163" i="12"/>
  <c r="AI163" i="12"/>
  <c r="AJ163" i="12"/>
  <c r="AB164" i="12"/>
  <c r="AC164" i="12"/>
  <c r="AE164" i="12"/>
  <c r="AF164" i="12"/>
  <c r="AH164" i="12"/>
  <c r="AI164" i="12"/>
  <c r="AJ164" i="12"/>
  <c r="AB165" i="12"/>
  <c r="AC165" i="12"/>
  <c r="AE165" i="12"/>
  <c r="AF165" i="12"/>
  <c r="AH165" i="12"/>
  <c r="AI165" i="12"/>
  <c r="AJ165" i="12"/>
  <c r="AB166" i="12"/>
  <c r="AC166" i="12"/>
  <c r="AE166" i="12"/>
  <c r="AF166" i="12"/>
  <c r="AH166" i="12"/>
  <c r="AI166" i="12"/>
  <c r="AJ166" i="12"/>
  <c r="AB167" i="12"/>
  <c r="AC167" i="12"/>
  <c r="AE167" i="12"/>
  <c r="AF167" i="12"/>
  <c r="AH167" i="12"/>
  <c r="AI167" i="12"/>
  <c r="AJ167" i="12"/>
  <c r="AB168" i="12"/>
  <c r="AC168" i="12"/>
  <c r="AE168" i="12"/>
  <c r="AF168" i="12"/>
  <c r="AH168" i="12"/>
  <c r="AI168" i="12"/>
  <c r="AJ168" i="12"/>
  <c r="AB169" i="12"/>
  <c r="AC169" i="12"/>
  <c r="AE169" i="12"/>
  <c r="AF169" i="12"/>
  <c r="AH169" i="12"/>
  <c r="AI169" i="12"/>
  <c r="AJ169" i="12"/>
  <c r="AB170" i="12"/>
  <c r="AC170" i="12"/>
  <c r="AE170" i="12"/>
  <c r="AF170" i="12"/>
  <c r="AH170" i="12"/>
  <c r="AI170" i="12"/>
  <c r="AJ170" i="12"/>
  <c r="AB171" i="12"/>
  <c r="AC171" i="12"/>
  <c r="AE171" i="12"/>
  <c r="AF171" i="12"/>
  <c r="AH171" i="12"/>
  <c r="AI171" i="12"/>
  <c r="AJ171" i="12"/>
  <c r="AB172" i="12"/>
  <c r="AC172" i="12"/>
  <c r="AE172" i="12"/>
  <c r="AF172" i="12"/>
  <c r="AH172" i="12"/>
  <c r="AI172" i="12"/>
  <c r="AJ172" i="12"/>
  <c r="AB173" i="12"/>
  <c r="AC173" i="12"/>
  <c r="AE173" i="12"/>
  <c r="AF173" i="12"/>
  <c r="AH173" i="12"/>
  <c r="AI173" i="12"/>
  <c r="AJ173" i="12"/>
  <c r="AB174" i="12"/>
  <c r="AC174" i="12"/>
  <c r="AE174" i="12"/>
  <c r="AF174" i="12"/>
  <c r="AH174" i="12"/>
  <c r="AI174" i="12"/>
  <c r="AJ174" i="12"/>
  <c r="AB175" i="12"/>
  <c r="AC175" i="12"/>
  <c r="AE175" i="12"/>
  <c r="AF175" i="12"/>
  <c r="AH175" i="12"/>
  <c r="AI175" i="12"/>
  <c r="AJ175" i="12"/>
  <c r="AB176" i="12"/>
  <c r="AC176" i="12"/>
  <c r="AE176" i="12"/>
  <c r="AF176" i="12"/>
  <c r="AH176" i="12"/>
  <c r="AI176" i="12"/>
  <c r="AJ176" i="12"/>
  <c r="AB177" i="12"/>
  <c r="AC177" i="12"/>
  <c r="AE177" i="12"/>
  <c r="AF177" i="12"/>
  <c r="AH177" i="12"/>
  <c r="AI177" i="12"/>
  <c r="AJ177" i="12"/>
  <c r="AB178" i="12"/>
  <c r="AC178" i="12"/>
  <c r="AE178" i="12"/>
  <c r="AF178" i="12"/>
  <c r="AH178" i="12"/>
  <c r="AI178" i="12"/>
  <c r="AJ178" i="12"/>
  <c r="AB179" i="12"/>
  <c r="AC179" i="12"/>
  <c r="AE179" i="12"/>
  <c r="AF179" i="12"/>
  <c r="AH179" i="12"/>
  <c r="AI179" i="12"/>
  <c r="AJ179" i="12"/>
  <c r="AB180" i="12"/>
  <c r="AC180" i="12"/>
  <c r="AE180" i="12"/>
  <c r="AF180" i="12"/>
  <c r="AH180" i="12"/>
  <c r="AI180" i="12"/>
  <c r="AJ180" i="12"/>
  <c r="AB181" i="12"/>
  <c r="AC181" i="12"/>
  <c r="AE181" i="12"/>
  <c r="AF181" i="12"/>
  <c r="AH181" i="12"/>
  <c r="AI181" i="12"/>
  <c r="AJ181" i="12"/>
  <c r="AB182" i="12"/>
  <c r="AC182" i="12"/>
  <c r="AE182" i="12"/>
  <c r="AF182" i="12"/>
  <c r="AH182" i="12"/>
  <c r="AI182" i="12"/>
  <c r="AJ182" i="12"/>
  <c r="AB183" i="12"/>
  <c r="AC183" i="12"/>
  <c r="AE183" i="12"/>
  <c r="AF183" i="12"/>
  <c r="AH183" i="12"/>
  <c r="AI183" i="12"/>
  <c r="AJ183" i="12"/>
  <c r="AB184" i="12"/>
  <c r="AC184" i="12"/>
  <c r="AE184" i="12"/>
  <c r="AF184" i="12"/>
  <c r="AH184" i="12"/>
  <c r="AI184" i="12"/>
  <c r="AJ184" i="12"/>
  <c r="AB185" i="12"/>
  <c r="AC185" i="12"/>
  <c r="AE185" i="12"/>
  <c r="AF185" i="12"/>
  <c r="AH185" i="12"/>
  <c r="AI185" i="12"/>
  <c r="AJ185" i="12"/>
  <c r="AB186" i="12"/>
  <c r="AC186" i="12"/>
  <c r="AE186" i="12"/>
  <c r="AF186" i="12"/>
  <c r="AH186" i="12"/>
  <c r="AI186" i="12"/>
  <c r="AJ186" i="12"/>
  <c r="AB187" i="12"/>
  <c r="AC187" i="12"/>
  <c r="AE187" i="12"/>
  <c r="AF187" i="12"/>
  <c r="AH187" i="12"/>
  <c r="AI187" i="12"/>
  <c r="AJ187" i="12"/>
  <c r="AB188" i="12"/>
  <c r="AC188" i="12"/>
  <c r="AE188" i="12"/>
  <c r="AF188" i="12"/>
  <c r="AH188" i="12"/>
  <c r="AI188" i="12"/>
  <c r="AJ188" i="12"/>
  <c r="AB189" i="12"/>
  <c r="AC189" i="12"/>
  <c r="AE189" i="12"/>
  <c r="AF189" i="12"/>
  <c r="AH189" i="12"/>
  <c r="AI189" i="12"/>
  <c r="AJ189" i="12"/>
  <c r="AB190" i="12"/>
  <c r="AC190" i="12"/>
  <c r="AE190" i="12"/>
  <c r="AF190" i="12"/>
  <c r="AH190" i="12"/>
  <c r="AI190" i="12"/>
  <c r="AJ190" i="12"/>
  <c r="AB191" i="12"/>
  <c r="AC191" i="12"/>
  <c r="AE191" i="12"/>
  <c r="AF191" i="12"/>
  <c r="AH191" i="12"/>
  <c r="AI191" i="12"/>
  <c r="AJ191" i="12"/>
  <c r="AB192" i="12"/>
  <c r="AC192" i="12"/>
  <c r="AE192" i="12"/>
  <c r="AF192" i="12"/>
  <c r="AH192" i="12"/>
  <c r="AI192" i="12"/>
  <c r="AJ192" i="12"/>
  <c r="AJ193" i="12"/>
  <c r="R265" i="12"/>
  <c r="R264" i="12"/>
  <c r="R263" i="12"/>
  <c r="R262" i="12"/>
  <c r="R261" i="12"/>
  <c r="R260" i="12"/>
  <c r="R259" i="12"/>
  <c r="R258" i="12"/>
  <c r="R257" i="12"/>
  <c r="R256" i="12"/>
  <c r="R255" i="12"/>
  <c r="R254" i="12"/>
  <c r="R253" i="12"/>
  <c r="R252" i="12"/>
  <c r="R251" i="12"/>
  <c r="R250" i="12"/>
  <c r="R249" i="12"/>
  <c r="R248" i="12"/>
  <c r="R247" i="12"/>
  <c r="R246" i="12"/>
  <c r="R245" i="12"/>
  <c r="R244" i="12"/>
  <c r="R243" i="12"/>
  <c r="R242" i="12"/>
  <c r="R241" i="12"/>
  <c r="R240" i="12"/>
  <c r="R239" i="12"/>
  <c r="R238" i="12"/>
  <c r="R237" i="12"/>
  <c r="R236" i="12"/>
  <c r="R235" i="12"/>
  <c r="R234" i="12"/>
  <c r="R233" i="12"/>
  <c r="R232" i="12"/>
  <c r="R231" i="12"/>
  <c r="R230" i="12"/>
  <c r="R229" i="12"/>
  <c r="R228" i="12"/>
  <c r="R227" i="12"/>
  <c r="R226" i="12"/>
  <c r="R225" i="12"/>
  <c r="R224" i="12"/>
  <c r="R223" i="12"/>
  <c r="R222" i="12"/>
  <c r="R221" i="12"/>
  <c r="R220" i="12"/>
  <c r="R219" i="12"/>
  <c r="R218" i="12"/>
  <c r="R217" i="12"/>
  <c r="R216" i="12"/>
  <c r="R215" i="12"/>
  <c r="R214" i="12"/>
  <c r="R213" i="12"/>
  <c r="R212" i="12"/>
  <c r="R211" i="12"/>
  <c r="R210" i="12"/>
  <c r="R209" i="12"/>
  <c r="R208" i="12"/>
  <c r="R207" i="12"/>
  <c r="R195" i="12"/>
  <c r="J6" i="11"/>
  <c r="D24" i="14"/>
  <c r="L13" i="14"/>
  <c r="M13" i="14" s="1"/>
  <c r="N13" i="14" s="1"/>
  <c r="O13" i="14" s="1"/>
  <c r="L8" i="14"/>
  <c r="M8" i="14" s="1"/>
  <c r="N8" i="14" s="1"/>
  <c r="O8" i="14" s="1"/>
  <c r="U49" i="13"/>
  <c r="B13" i="14" s="1"/>
  <c r="M49" i="13"/>
  <c r="B12" i="14" s="1"/>
  <c r="E49" i="13"/>
  <c r="B11" i="14" s="1"/>
  <c r="M30" i="13"/>
  <c r="B8" i="14" s="1"/>
  <c r="E30" i="13"/>
  <c r="B7" i="14" s="1"/>
  <c r="E17" i="13"/>
  <c r="C6" i="11" s="1"/>
  <c r="E8" i="13"/>
  <c r="B6" i="11" s="1"/>
  <c r="AJ195" i="12"/>
  <c r="AI195" i="12"/>
  <c r="AH195" i="12"/>
  <c r="AF195" i="12"/>
  <c r="AE195" i="12"/>
  <c r="AC195" i="12"/>
  <c r="AB195" i="12"/>
  <c r="AJ194" i="12"/>
  <c r="AI194" i="12"/>
  <c r="AH194" i="12"/>
  <c r="AF194" i="12"/>
  <c r="AE194" i="12"/>
  <c r="AC194" i="12"/>
  <c r="AB194" i="12"/>
  <c r="AJ49" i="12"/>
  <c r="AI49" i="12"/>
  <c r="AH49" i="12"/>
  <c r="AF49" i="12"/>
  <c r="AE49" i="12"/>
  <c r="AC49" i="12"/>
  <c r="AB49" i="12"/>
  <c r="AJ48" i="12"/>
  <c r="AI48" i="12"/>
  <c r="AH48" i="12"/>
  <c r="AF48" i="12"/>
  <c r="AE48" i="12"/>
  <c r="AC48" i="12"/>
  <c r="AB48" i="12"/>
  <c r="AJ47" i="12"/>
  <c r="AI47" i="12"/>
  <c r="AH47" i="12"/>
  <c r="AF47" i="12"/>
  <c r="AE47" i="12"/>
  <c r="AC47" i="12"/>
  <c r="AB47" i="12"/>
  <c r="AJ46" i="12"/>
  <c r="AI46" i="12"/>
  <c r="AH46" i="12"/>
  <c r="AF46" i="12"/>
  <c r="AE46" i="12"/>
  <c r="AC46" i="12"/>
  <c r="AB46" i="12"/>
  <c r="AJ45" i="12"/>
  <c r="AI45" i="12"/>
  <c r="AH45" i="12"/>
  <c r="AF45" i="12"/>
  <c r="AE45" i="12"/>
  <c r="AC45" i="12"/>
  <c r="AB45" i="12"/>
  <c r="AJ44" i="12"/>
  <c r="AI44" i="12"/>
  <c r="AH44" i="12"/>
  <c r="AF44" i="12"/>
  <c r="AE44" i="12"/>
  <c r="AC44" i="12"/>
  <c r="AB44" i="12"/>
  <c r="AJ43" i="12"/>
  <c r="AI43" i="12"/>
  <c r="AH43" i="12"/>
  <c r="AF43" i="12"/>
  <c r="AE43" i="12"/>
  <c r="AC43" i="12"/>
  <c r="AB43" i="12"/>
  <c r="AJ42" i="12"/>
  <c r="AI42" i="12"/>
  <c r="AH42" i="12"/>
  <c r="AF42" i="12"/>
  <c r="AE42" i="12"/>
  <c r="AC42" i="12"/>
  <c r="AB42" i="12"/>
  <c r="AJ41" i="12"/>
  <c r="AI41" i="12"/>
  <c r="AH41" i="12"/>
  <c r="AF41" i="12"/>
  <c r="AE41" i="12"/>
  <c r="AC41" i="12"/>
  <c r="AB41" i="12"/>
  <c r="AJ40" i="12"/>
  <c r="AI40" i="12"/>
  <c r="AH40" i="12"/>
  <c r="AF40" i="12"/>
  <c r="AE40" i="12"/>
  <c r="AC40" i="12"/>
  <c r="AB40" i="12"/>
  <c r="AJ39" i="12"/>
  <c r="AI39" i="12"/>
  <c r="AH39" i="12"/>
  <c r="AF39" i="12"/>
  <c r="AE39" i="12"/>
  <c r="AC39" i="12"/>
  <c r="AB39" i="12"/>
  <c r="AJ38" i="12"/>
  <c r="AI38" i="12"/>
  <c r="AH38" i="12"/>
  <c r="AF38" i="12"/>
  <c r="AE38" i="12"/>
  <c r="AC38" i="12"/>
  <c r="AB38" i="12"/>
  <c r="AJ37" i="12"/>
  <c r="AI37" i="12"/>
  <c r="AH37" i="12"/>
  <c r="AF37" i="12"/>
  <c r="AE37" i="12"/>
  <c r="AC37" i="12"/>
  <c r="AB37" i="12"/>
  <c r="AJ36" i="12"/>
  <c r="AI36" i="12"/>
  <c r="AH36" i="12"/>
  <c r="AF36" i="12"/>
  <c r="AE36" i="12"/>
  <c r="AC36" i="12"/>
  <c r="AB36" i="12"/>
  <c r="AJ35" i="12"/>
  <c r="AI35" i="12"/>
  <c r="AH35" i="12"/>
  <c r="AF35" i="12"/>
  <c r="AE35" i="12"/>
  <c r="AC35" i="12"/>
  <c r="AB35" i="12"/>
  <c r="AJ34" i="12"/>
  <c r="AI34" i="12"/>
  <c r="AH34" i="12"/>
  <c r="AF34" i="12"/>
  <c r="AE34" i="12"/>
  <c r="AC34" i="12"/>
  <c r="AB34" i="12"/>
  <c r="AJ33" i="12"/>
  <c r="AI33" i="12"/>
  <c r="AH33" i="12"/>
  <c r="AF33" i="12"/>
  <c r="AE33" i="12"/>
  <c r="AC33" i="12"/>
  <c r="AB33" i="12"/>
  <c r="AJ32" i="12"/>
  <c r="AI32" i="12"/>
  <c r="AH32" i="12"/>
  <c r="AF32" i="12"/>
  <c r="AE32" i="12"/>
  <c r="AC32" i="12"/>
  <c r="AB32" i="12"/>
  <c r="AJ31" i="12"/>
  <c r="AI31" i="12"/>
  <c r="AH31" i="12"/>
  <c r="AF31" i="12"/>
  <c r="AE31" i="12"/>
  <c r="AC31" i="12"/>
  <c r="AB31" i="12"/>
  <c r="AJ30" i="12"/>
  <c r="AI30" i="12"/>
  <c r="AH30" i="12"/>
  <c r="AF30" i="12"/>
  <c r="AE30" i="12"/>
  <c r="AC30" i="12"/>
  <c r="AB30" i="12"/>
  <c r="AJ29" i="12"/>
  <c r="AI29" i="12"/>
  <c r="AH29" i="12"/>
  <c r="AF29" i="12"/>
  <c r="AE29" i="12"/>
  <c r="AC29" i="12"/>
  <c r="AB29" i="12"/>
  <c r="AJ28" i="12"/>
  <c r="AI28" i="12"/>
  <c r="AH28" i="12"/>
  <c r="AF28" i="12"/>
  <c r="AE28" i="12"/>
  <c r="AC28" i="12"/>
  <c r="AB28" i="12"/>
  <c r="AJ27" i="12"/>
  <c r="AI27" i="12"/>
  <c r="AH27" i="12"/>
  <c r="AF27" i="12"/>
  <c r="AE27" i="12"/>
  <c r="AC27" i="12"/>
  <c r="AB27" i="12"/>
  <c r="AJ26" i="12"/>
  <c r="AI26" i="12"/>
  <c r="AH26" i="12"/>
  <c r="AF26" i="12"/>
  <c r="AE26" i="12"/>
  <c r="AC26" i="12"/>
  <c r="AB26" i="12"/>
  <c r="AJ25" i="12"/>
  <c r="AI25" i="12"/>
  <c r="AH25" i="12"/>
  <c r="AF25" i="12"/>
  <c r="AE25" i="12"/>
  <c r="AC25" i="12"/>
  <c r="AB25" i="12"/>
  <c r="AJ24" i="12"/>
  <c r="AI24" i="12"/>
  <c r="AH24" i="12"/>
  <c r="AF24" i="12"/>
  <c r="AE24" i="12"/>
  <c r="AC24" i="12"/>
  <c r="AB24" i="12"/>
  <c r="AJ23" i="12"/>
  <c r="AI23" i="12"/>
  <c r="AH23" i="12"/>
  <c r="AF23" i="12"/>
  <c r="AE23" i="12"/>
  <c r="AC23" i="12"/>
  <c r="AB23" i="12"/>
  <c r="AJ22" i="12"/>
  <c r="AI22" i="12"/>
  <c r="AH22" i="12"/>
  <c r="AF22" i="12"/>
  <c r="AE22" i="12"/>
  <c r="AC22" i="12"/>
  <c r="AB22" i="12"/>
  <c r="AJ21" i="12"/>
  <c r="AI21" i="12"/>
  <c r="AH21" i="12"/>
  <c r="AF21" i="12"/>
  <c r="AE21" i="12"/>
  <c r="AC21" i="12"/>
  <c r="AB21" i="12"/>
  <c r="AJ20" i="12"/>
  <c r="AI20" i="12"/>
  <c r="AH20" i="12"/>
  <c r="AF20" i="12"/>
  <c r="AE20" i="12"/>
  <c r="AC20" i="12"/>
  <c r="AB20" i="12"/>
  <c r="AJ19" i="12"/>
  <c r="AI19" i="12"/>
  <c r="AH19" i="12"/>
  <c r="AF19" i="12"/>
  <c r="AE19" i="12"/>
  <c r="AC19" i="12"/>
  <c r="AB19" i="12"/>
  <c r="AJ18" i="12"/>
  <c r="AI18" i="12"/>
  <c r="AH18" i="12"/>
  <c r="AF18" i="12"/>
  <c r="AE18" i="12"/>
  <c r="AC18" i="12"/>
  <c r="AB18" i="12"/>
  <c r="AJ17" i="12"/>
  <c r="AI17" i="12"/>
  <c r="AH17" i="12"/>
  <c r="AF17" i="12"/>
  <c r="AE17" i="12"/>
  <c r="AC17" i="12"/>
  <c r="AB17" i="12"/>
  <c r="AJ16" i="12"/>
  <c r="AI16" i="12"/>
  <c r="AH16" i="12"/>
  <c r="AF16" i="12"/>
  <c r="AE16" i="12"/>
  <c r="AC16" i="12"/>
  <c r="AB16" i="12"/>
  <c r="AJ15" i="12"/>
  <c r="AI15" i="12"/>
  <c r="AH15" i="12"/>
  <c r="AF15" i="12"/>
  <c r="AE15" i="12"/>
  <c r="AC15" i="12"/>
  <c r="AB15" i="12"/>
  <c r="AJ14" i="12"/>
  <c r="AI14" i="12"/>
  <c r="AH14" i="12"/>
  <c r="AF14" i="12"/>
  <c r="AE14" i="12"/>
  <c r="AC14" i="12"/>
  <c r="AB14" i="12"/>
  <c r="AJ13" i="12"/>
  <c r="AI13" i="12"/>
  <c r="AH13" i="12"/>
  <c r="AF13" i="12"/>
  <c r="AE13" i="12"/>
  <c r="AC13" i="12"/>
  <c r="AB13" i="12"/>
  <c r="AJ12" i="12"/>
  <c r="AI12" i="12"/>
  <c r="AH12" i="12"/>
  <c r="AF12" i="12"/>
  <c r="AE12" i="12"/>
  <c r="AC12" i="12"/>
  <c r="AB12" i="12"/>
  <c r="AJ11" i="12"/>
  <c r="AI11" i="12"/>
  <c r="AH11" i="12"/>
  <c r="AF11" i="12"/>
  <c r="AE11" i="12"/>
  <c r="AC11" i="12"/>
  <c r="AB11" i="12"/>
  <c r="AJ10" i="12"/>
  <c r="AI10" i="12"/>
  <c r="AH10" i="12"/>
  <c r="AF10" i="12"/>
  <c r="AE10" i="12"/>
  <c r="AC10" i="12"/>
  <c r="AB10" i="12"/>
  <c r="AJ9" i="12"/>
  <c r="AI9" i="12"/>
  <c r="AH9" i="12"/>
  <c r="AF9" i="12"/>
  <c r="AE9" i="12"/>
  <c r="AC9" i="12"/>
  <c r="AB9" i="12"/>
  <c r="AJ8" i="12"/>
  <c r="AI8" i="12"/>
  <c r="AH8" i="12"/>
  <c r="AF8" i="12"/>
  <c r="AE8" i="12"/>
  <c r="AC8" i="12"/>
  <c r="AB8" i="12"/>
  <c r="AJ7" i="12"/>
  <c r="AI7" i="12"/>
  <c r="AH7" i="12"/>
  <c r="AF7" i="12"/>
  <c r="AE7" i="12"/>
  <c r="AC7" i="12"/>
  <c r="AB7" i="12"/>
  <c r="AJ6" i="12"/>
  <c r="AI6" i="12"/>
  <c r="AH6" i="12"/>
  <c r="AF6" i="12"/>
  <c r="AE6" i="12"/>
  <c r="AC6" i="12"/>
  <c r="AB6" i="12"/>
  <c r="AJ5" i="12"/>
  <c r="AI5" i="12"/>
  <c r="AH5" i="12"/>
  <c r="AF5" i="12"/>
  <c r="AE5" i="12"/>
  <c r="AC5" i="12"/>
  <c r="AB5" i="12"/>
  <c r="AJ4" i="12"/>
  <c r="AI4" i="12"/>
  <c r="AH4" i="12"/>
  <c r="AF4" i="12"/>
  <c r="AE4" i="12"/>
  <c r="AC4" i="12"/>
  <c r="AB4" i="12"/>
  <c r="AJ3" i="12"/>
  <c r="AI3" i="12"/>
  <c r="AH3" i="12"/>
  <c r="AF3" i="12"/>
  <c r="AE3" i="12"/>
  <c r="AC3" i="12"/>
  <c r="AB3" i="12"/>
  <c r="AC2" i="12"/>
  <c r="AE2" i="12"/>
  <c r="AF2" i="12"/>
  <c r="AH2" i="12"/>
  <c r="AI2" i="12"/>
  <c r="AJ2" i="12"/>
  <c r="AB2" i="12"/>
  <c r="O20" i="9" l="1"/>
  <c r="P18" i="9"/>
  <c r="O18" i="9"/>
  <c r="P27" i="9"/>
  <c r="G18" i="9"/>
  <c r="G27" i="9"/>
  <c r="F6" i="11"/>
  <c r="I6" i="11"/>
  <c r="H6" i="11"/>
  <c r="E6" i="11"/>
  <c r="D7" i="14"/>
  <c r="G7" i="14" s="1"/>
  <c r="C7" i="14"/>
  <c r="F7" i="14" s="1"/>
  <c r="D8" i="14"/>
  <c r="G8" i="14" s="1"/>
  <c r="C8" i="14"/>
  <c r="F8" i="14" s="1"/>
  <c r="C11" i="14"/>
  <c r="F11" i="14" s="1"/>
  <c r="D11" i="14"/>
  <c r="G11" i="14" s="1"/>
  <c r="H11" i="14" s="1"/>
  <c r="I11" i="14" s="1"/>
  <c r="D12" i="14"/>
  <c r="G12" i="14" s="1"/>
  <c r="H12" i="14" s="1"/>
  <c r="I12" i="14" s="1"/>
  <c r="C12" i="14"/>
  <c r="F12" i="14" s="1"/>
  <c r="D13" i="14"/>
  <c r="G13" i="14" s="1"/>
  <c r="H13" i="14" s="1"/>
  <c r="I13" i="14" s="1"/>
  <c r="C13" i="14"/>
  <c r="F13" i="14" s="1"/>
  <c r="R3" i="12"/>
  <c r="R4" i="12"/>
  <c r="R193" i="12"/>
  <c r="R83" i="12"/>
  <c r="R84" i="12"/>
  <c r="R85" i="12"/>
  <c r="R86" i="12"/>
  <c r="R87" i="12"/>
  <c r="R88" i="12"/>
  <c r="R89" i="12"/>
  <c r="R90" i="12"/>
  <c r="R91" i="12"/>
  <c r="R92" i="12"/>
  <c r="R93" i="12"/>
  <c r="R94" i="12"/>
  <c r="R95" i="12"/>
  <c r="R96" i="12"/>
  <c r="R97" i="12"/>
  <c r="R131" i="12"/>
  <c r="R132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116" i="12"/>
  <c r="R117" i="12"/>
  <c r="R118" i="12"/>
  <c r="R146" i="12"/>
  <c r="R147" i="12"/>
  <c r="R148" i="12"/>
  <c r="R149" i="12"/>
  <c r="R150" i="12"/>
  <c r="R151" i="12"/>
  <c r="R152" i="12"/>
  <c r="R153" i="12"/>
  <c r="R154" i="12"/>
  <c r="R155" i="12"/>
  <c r="R156" i="12"/>
  <c r="R157" i="12"/>
  <c r="R158" i="12"/>
  <c r="R159" i="12"/>
  <c r="R160" i="12"/>
  <c r="R133" i="12"/>
  <c r="R134" i="12"/>
  <c r="R135" i="12"/>
  <c r="R136" i="12"/>
  <c r="R137" i="12"/>
  <c r="R138" i="12"/>
  <c r="R139" i="12"/>
  <c r="R140" i="12"/>
  <c r="R141" i="12"/>
  <c r="R142" i="12"/>
  <c r="R143" i="12"/>
  <c r="R144" i="12"/>
  <c r="R145" i="12"/>
  <c r="R35" i="12"/>
  <c r="R36" i="12"/>
  <c r="R119" i="12"/>
  <c r="R120" i="12"/>
  <c r="R121" i="12"/>
  <c r="R122" i="12"/>
  <c r="R123" i="12"/>
  <c r="R124" i="12"/>
  <c r="R125" i="12"/>
  <c r="R126" i="12"/>
  <c r="R127" i="12"/>
  <c r="R128" i="12"/>
  <c r="R129" i="12"/>
  <c r="R130" i="12"/>
  <c r="R20" i="12"/>
  <c r="R21" i="12"/>
  <c r="R22" i="12"/>
  <c r="R161" i="12"/>
  <c r="R162" i="12"/>
  <c r="R163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194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179" i="12"/>
  <c r="R180" i="12"/>
  <c r="R181" i="12"/>
  <c r="R62" i="12"/>
  <c r="R63" i="12"/>
  <c r="R64" i="12"/>
  <c r="R65" i="12"/>
  <c r="R66" i="12"/>
  <c r="R67" i="12"/>
  <c r="R98" i="12"/>
  <c r="R99" i="12"/>
  <c r="R100" i="12"/>
  <c r="R101" i="12"/>
  <c r="R102" i="12"/>
  <c r="R103" i="12"/>
  <c r="R104" i="12"/>
  <c r="R105" i="12"/>
  <c r="R106" i="12"/>
  <c r="R169" i="12"/>
  <c r="R170" i="12"/>
  <c r="R171" i="12"/>
  <c r="R172" i="12"/>
  <c r="R173" i="12"/>
  <c r="R174" i="12"/>
  <c r="R175" i="12"/>
  <c r="R176" i="12"/>
  <c r="R177" i="12"/>
  <c r="R178" i="12"/>
  <c r="R107" i="12"/>
  <c r="R108" i="12"/>
  <c r="R109" i="12"/>
  <c r="R110" i="12"/>
  <c r="R111" i="12"/>
  <c r="R112" i="12"/>
  <c r="R113" i="12"/>
  <c r="R114" i="12"/>
  <c r="R115" i="12"/>
  <c r="R5" i="12"/>
  <c r="R14" i="12"/>
  <c r="R15" i="12"/>
  <c r="R16" i="12"/>
  <c r="R17" i="12"/>
  <c r="R18" i="12"/>
  <c r="R19" i="12"/>
  <c r="R164" i="12"/>
  <c r="R165" i="12"/>
  <c r="R166" i="12"/>
  <c r="R167" i="12"/>
  <c r="R168" i="12"/>
  <c r="R196" i="12"/>
  <c r="R197" i="12"/>
  <c r="R198" i="12"/>
  <c r="R199" i="12"/>
  <c r="R200" i="12"/>
  <c r="R201" i="12"/>
  <c r="R202" i="12"/>
  <c r="R203" i="12"/>
  <c r="R204" i="12"/>
  <c r="R205" i="12"/>
  <c r="R206" i="12"/>
  <c r="R182" i="12"/>
  <c r="R183" i="12"/>
  <c r="R184" i="12"/>
  <c r="R185" i="12"/>
  <c r="R186" i="12"/>
  <c r="R187" i="12"/>
  <c r="R188" i="12"/>
  <c r="R189" i="12"/>
  <c r="R190" i="12"/>
  <c r="R191" i="12"/>
  <c r="R192" i="12"/>
  <c r="R6" i="12"/>
  <c r="R7" i="12"/>
  <c r="R8" i="12"/>
  <c r="R9" i="12"/>
  <c r="R10" i="12"/>
  <c r="R11" i="12"/>
  <c r="R12" i="12"/>
  <c r="R13" i="12"/>
  <c r="R2" i="12"/>
  <c r="J7" i="11"/>
  <c r="J5" i="11"/>
  <c r="I7" i="11"/>
  <c r="I5" i="11"/>
  <c r="H7" i="11"/>
  <c r="H5" i="11"/>
  <c r="F7" i="11"/>
  <c r="E7" i="11"/>
  <c r="C7" i="11"/>
  <c r="C5" i="11"/>
  <c r="B7" i="11"/>
  <c r="B5" i="11"/>
  <c r="J4" i="11"/>
  <c r="I4" i="11"/>
  <c r="H4" i="11"/>
  <c r="B4" i="11"/>
  <c r="L6" i="9"/>
  <c r="M6" i="9" s="1"/>
  <c r="L4" i="9"/>
  <c r="M4" i="9" s="1"/>
  <c r="L3" i="9"/>
  <c r="M3" i="9" s="1"/>
  <c r="C6" i="9"/>
  <c r="E16" i="9"/>
  <c r="N19" i="9"/>
  <c r="N17" i="9"/>
  <c r="N16" i="9"/>
  <c r="E6" i="9"/>
  <c r="E19" i="9" s="1"/>
  <c r="E4" i="9"/>
  <c r="E17" i="9" s="1"/>
  <c r="D24" i="8"/>
  <c r="L13" i="8"/>
  <c r="M13" i="8" s="1"/>
  <c r="N13" i="8" s="1"/>
  <c r="O13" i="8" s="1"/>
  <c r="L8" i="8"/>
  <c r="M8" i="8" s="1"/>
  <c r="N8" i="8" s="1"/>
  <c r="O8" i="8" s="1"/>
  <c r="U49" i="7"/>
  <c r="B13" i="8" s="1"/>
  <c r="M49" i="7"/>
  <c r="B12" i="8" s="1"/>
  <c r="E49" i="7"/>
  <c r="B11" i="8" s="1"/>
  <c r="M30" i="7"/>
  <c r="B8" i="8" s="1"/>
  <c r="E30" i="7"/>
  <c r="B7" i="8" s="1"/>
  <c r="E17" i="7"/>
  <c r="E8" i="7"/>
  <c r="E49" i="4"/>
  <c r="B11" i="6" s="1"/>
  <c r="B13" i="6"/>
  <c r="B12" i="6"/>
  <c r="D24" i="6"/>
  <c r="L13" i="6" s="1"/>
  <c r="M13" i="6" s="1"/>
  <c r="N13" i="6" s="1"/>
  <c r="O13" i="6" s="1"/>
  <c r="D13" i="6"/>
  <c r="G13" i="6" s="1"/>
  <c r="H13" i="6" s="1"/>
  <c r="I13" i="6" s="1"/>
  <c r="D12" i="6"/>
  <c r="G12" i="6" s="1"/>
  <c r="H12" i="6" s="1"/>
  <c r="I12" i="6" s="1"/>
  <c r="C12" i="6"/>
  <c r="F12" i="6" s="1"/>
  <c r="I11" i="2"/>
  <c r="H12" i="2"/>
  <c r="H13" i="2"/>
  <c r="H11" i="2"/>
  <c r="G11" i="2"/>
  <c r="B10" i="12" l="1"/>
  <c r="J12" i="12"/>
  <c r="I12" i="12"/>
  <c r="H12" i="12"/>
  <c r="F12" i="12"/>
  <c r="E12" i="12"/>
  <c r="C12" i="12"/>
  <c r="B12" i="12"/>
  <c r="P16" i="9"/>
  <c r="O16" i="9"/>
  <c r="P17" i="9"/>
  <c r="O17" i="9"/>
  <c r="P19" i="9"/>
  <c r="O19" i="9"/>
  <c r="G16" i="9"/>
  <c r="F16" i="9"/>
  <c r="G19" i="9"/>
  <c r="F19" i="9"/>
  <c r="G17" i="9"/>
  <c r="F17" i="9"/>
  <c r="B13" i="12"/>
  <c r="F11" i="12"/>
  <c r="J11" i="12"/>
  <c r="E10" i="12"/>
  <c r="J10" i="12"/>
  <c r="F10" i="12"/>
  <c r="H10" i="12"/>
  <c r="I10" i="12"/>
  <c r="H11" i="12"/>
  <c r="I11" i="12"/>
  <c r="I13" i="12"/>
  <c r="F13" i="12"/>
  <c r="C13" i="12"/>
  <c r="C10" i="12"/>
  <c r="C11" i="12"/>
  <c r="E11" i="12"/>
  <c r="J13" i="12"/>
  <c r="H13" i="12"/>
  <c r="B11" i="12"/>
  <c r="E13" i="12"/>
  <c r="D7" i="8"/>
  <c r="G7" i="8" s="1"/>
  <c r="C7" i="8"/>
  <c r="F7" i="8" s="1"/>
  <c r="C8" i="8"/>
  <c r="F8" i="8" s="1"/>
  <c r="D8" i="8"/>
  <c r="G8" i="8" s="1"/>
  <c r="C12" i="8"/>
  <c r="F12" i="8" s="1"/>
  <c r="D12" i="8"/>
  <c r="G12" i="8" s="1"/>
  <c r="H12" i="8" s="1"/>
  <c r="I12" i="8" s="1"/>
  <c r="D13" i="8"/>
  <c r="G13" i="8" s="1"/>
  <c r="H13" i="8" s="1"/>
  <c r="I13" i="8" s="1"/>
  <c r="C13" i="8"/>
  <c r="F13" i="8" s="1"/>
  <c r="C11" i="8"/>
  <c r="F11" i="8" s="1"/>
  <c r="D11" i="8"/>
  <c r="G11" i="8" s="1"/>
  <c r="H11" i="8" s="1"/>
  <c r="I11" i="8" s="1"/>
  <c r="D11" i="6"/>
  <c r="G11" i="6" s="1"/>
  <c r="H11" i="6" s="1"/>
  <c r="I11" i="6" s="1"/>
  <c r="C11" i="6"/>
  <c r="F11" i="6" s="1"/>
  <c r="L8" i="6"/>
  <c r="M8" i="6" s="1"/>
  <c r="N8" i="6" s="1"/>
  <c r="O8" i="6" s="1"/>
  <c r="C13" i="6"/>
  <c r="F13" i="6" s="1"/>
  <c r="U49" i="4"/>
  <c r="M49" i="4"/>
  <c r="M30" i="4"/>
  <c r="E30" i="4"/>
  <c r="E17" i="4"/>
  <c r="E8" i="4"/>
  <c r="D24" i="2"/>
  <c r="L13" i="2" s="1"/>
  <c r="M13" i="2" s="1"/>
  <c r="N13" i="2" s="1"/>
  <c r="O13" i="2" s="1"/>
  <c r="B12" i="2"/>
  <c r="B11" i="2"/>
  <c r="E8" i="1"/>
  <c r="U49" i="1"/>
  <c r="B13" i="2" s="1"/>
  <c r="M49" i="1"/>
  <c r="M30" i="1"/>
  <c r="F4" i="11" s="1"/>
  <c r="E49" i="1"/>
  <c r="E30" i="1"/>
  <c r="E17" i="1"/>
  <c r="B8" i="2" l="1"/>
  <c r="E4" i="11"/>
  <c r="C3" i="9"/>
  <c r="B7" i="2"/>
  <c r="F5" i="11"/>
  <c r="B8" i="6"/>
  <c r="E5" i="11"/>
  <c r="B7" i="6"/>
  <c r="C4" i="9"/>
  <c r="C8" i="2"/>
  <c r="F8" i="2" s="1"/>
  <c r="D8" i="2"/>
  <c r="G8" i="2" s="1"/>
  <c r="C12" i="2"/>
  <c r="F12" i="2" s="1"/>
  <c r="I12" i="2" s="1"/>
  <c r="D12" i="2"/>
  <c r="G12" i="2" s="1"/>
  <c r="D13" i="2"/>
  <c r="G13" i="2" s="1"/>
  <c r="C13" i="2"/>
  <c r="F13" i="2" s="1"/>
  <c r="I13" i="2" s="1"/>
  <c r="D11" i="2"/>
  <c r="C11" i="2"/>
  <c r="F11" i="2" s="1"/>
  <c r="L8" i="2"/>
  <c r="M8" i="2" s="1"/>
  <c r="N8" i="2" s="1"/>
  <c r="O8" i="2" s="1"/>
  <c r="C7" i="2" l="1"/>
  <c r="F7" i="2" s="1"/>
  <c r="D8" i="6"/>
  <c r="G8" i="6" s="1"/>
  <c r="C8" i="6"/>
  <c r="F8" i="6" s="1"/>
  <c r="D7" i="6"/>
  <c r="G7" i="6" s="1"/>
  <c r="C7" i="6"/>
  <c r="F7" i="6" s="1"/>
</calcChain>
</file>

<file path=xl/sharedStrings.xml><?xml version="1.0" encoding="utf-8"?>
<sst xmlns="http://schemas.openxmlformats.org/spreadsheetml/2006/main" count="2283" uniqueCount="487">
  <si>
    <t>Total_Execution_Time</t>
  </si>
  <si>
    <t>Execution_Count</t>
  </si>
  <si>
    <t>Mean_Execution_Time</t>
  </si>
  <si>
    <t>Std_Dev_Execution_Time</t>
  </si>
  <si>
    <t>Total_Execution_Percentage</t>
  </si>
  <si>
    <t>QueryType</t>
  </si>
  <si>
    <t>2003 opt</t>
  </si>
  <si>
    <t>2013 over03opt</t>
  </si>
  <si>
    <t>2013 opt</t>
  </si>
  <si>
    <t>Weight</t>
  </si>
  <si>
    <t>2023 over03opt</t>
  </si>
  <si>
    <t>2023 over13opt</t>
  </si>
  <si>
    <t>2023 opt</t>
  </si>
  <si>
    <t>Query volume</t>
  </si>
  <si>
    <t>D2_alpha</t>
  </si>
  <si>
    <t>D2_beta</t>
  </si>
  <si>
    <t>Avg q time</t>
  </si>
  <si>
    <t>D3_alpha</t>
  </si>
  <si>
    <t>D3_beta</t>
  </si>
  <si>
    <t>D3_gamma</t>
  </si>
  <si>
    <t>Mig time (sec) from alpha</t>
  </si>
  <si>
    <t>Mig time (sec) from beta</t>
  </si>
  <si>
    <t>W</t>
  </si>
  <si>
    <t>alpha</t>
  </si>
  <si>
    <t>beta</t>
  </si>
  <si>
    <t>gamma</t>
  </si>
  <si>
    <t>Table</t>
  </si>
  <si>
    <t>Original card</t>
  </si>
  <si>
    <t>Sample card</t>
  </si>
  <si>
    <t>Rate</t>
  </si>
  <si>
    <t>PhotoObjAll</t>
  </si>
  <si>
    <t>Scaled (sec)</t>
  </si>
  <si>
    <t>Scaled (min)</t>
  </si>
  <si>
    <t>Scaled (h)</t>
  </si>
  <si>
    <t>Scaled (d)</t>
  </si>
  <si>
    <t>Original query volume</t>
  </si>
  <si>
    <t>W beta (2013)</t>
  </si>
  <si>
    <t>W gamma (2023)</t>
  </si>
  <si>
    <t>Total time (sec) on original query volume</t>
  </si>
  <si>
    <t>Total time (sec) on query volume</t>
  </si>
  <si>
    <t>Total time (min) on query volume</t>
  </si>
  <si>
    <t>Total time (min) on original query volume</t>
  </si>
  <si>
    <t>Total time (h) on original query volume</t>
  </si>
  <si>
    <t>Total time (d) on original query volume</t>
  </si>
  <si>
    <t>Mig time (sec) from D1_alpha</t>
  </si>
  <si>
    <t>Mig time (sec) from D2_beta</t>
  </si>
  <si>
    <t>alpha to beta</t>
  </si>
  <si>
    <t>beta to gamma</t>
  </si>
  <si>
    <t>migration time</t>
  </si>
  <si>
    <t>scale</t>
  </si>
  <si>
    <t>time saving in sec</t>
  </si>
  <si>
    <t>|W|</t>
  </si>
  <si>
    <t>Scale</t>
  </si>
  <si>
    <t>100K</t>
  </si>
  <si>
    <t>200K</t>
  </si>
  <si>
    <t>1M</t>
  </si>
  <si>
    <t>$D_1$</t>
  </si>
  <si>
    <t>$D_1^{\alpha}$</t>
  </si>
  <si>
    <t>$D_2^{\alpha}$</t>
  </si>
  <si>
    <t>$D_3^{\alpha}$</t>
  </si>
  <si>
    <t>$D_2^{\beta}$</t>
  </si>
  <si>
    <t>$D_3^{\beta}$</t>
  </si>
  <si>
    <t>$D_3^{\gamma}$</t>
  </si>
  <si>
    <t>$W^{\alpha}$</t>
  </si>
  <si>
    <t>$W^{\beta}$</t>
  </si>
  <si>
    <t>$W^{\gamma}$</t>
  </si>
  <si>
    <t>Average query time (ms)</t>
  </si>
  <si>
    <t>Total size (MB)</t>
  </si>
  <si>
    <t>aa_sdss2003</t>
  </si>
  <si>
    <t>photoobjall</t>
  </si>
  <si>
    <t>596 MB</t>
  </si>
  <si>
    <t>5888 kB</t>
  </si>
  <si>
    <t>5312 kB</t>
  </si>
  <si>
    <t>photoz</t>
  </si>
  <si>
    <t>17 MB</t>
  </si>
  <si>
    <t>784 kB</t>
  </si>
  <si>
    <t>specobjall</t>
  </si>
  <si>
    <t>69 MB</t>
  </si>
  <si>
    <t>1488 kB</t>
  </si>
  <si>
    <t>1856 kB</t>
  </si>
  <si>
    <t>aa_sdss2003_10x</t>
  </si>
  <si>
    <t>5964 MB</t>
  </si>
  <si>
    <t>57 MB</t>
  </si>
  <si>
    <t>52 MB</t>
  </si>
  <si>
    <t>173 MB</t>
  </si>
  <si>
    <t>165 MB</t>
  </si>
  <si>
    <t>7480 kB</t>
  </si>
  <si>
    <t>687 MB</t>
  </si>
  <si>
    <t>15 MB</t>
  </si>
  <si>
    <t>18 MB</t>
  </si>
  <si>
    <t>aa_sdss2003_10x_optimized</t>
  </si>
  <si>
    <t>field</t>
  </si>
  <si>
    <t>67 MB</t>
  </si>
  <si>
    <t>664 kB</t>
  </si>
  <si>
    <t>264 kB</t>
  </si>
  <si>
    <t>frame</t>
  </si>
  <si>
    <t>30 MB</t>
  </si>
  <si>
    <t>29 MB</t>
  </si>
  <si>
    <t>1392 kB</t>
  </si>
  <si>
    <t>galspecextra</t>
  </si>
  <si>
    <t>300 MB</t>
  </si>
  <si>
    <t>296 MB</t>
  </si>
  <si>
    <t>4824 kB</t>
  </si>
  <si>
    <t>galspecindx</t>
  </si>
  <si>
    <t>13 MB</t>
  </si>
  <si>
    <t>photoobjall_galaxy</t>
  </si>
  <si>
    <t>72 kB</t>
  </si>
  <si>
    <t>32 kB</t>
  </si>
  <si>
    <t>photoobjall_galaxycomplementary</t>
  </si>
  <si>
    <t>344 kB</t>
  </si>
  <si>
    <t>8192 bytes</t>
  </si>
  <si>
    <t>16 kB</t>
  </si>
  <si>
    <t>photoobjall_other</t>
  </si>
  <si>
    <t>3665 MB</t>
  </si>
  <si>
    <t>36 MB</t>
  </si>
  <si>
    <t>32 MB</t>
  </si>
  <si>
    <t>photoobjall_primary</t>
  </si>
  <si>
    <t>218 MB</t>
  </si>
  <si>
    <t>198 MB</t>
  </si>
  <si>
    <t>20 MB</t>
  </si>
  <si>
    <t>photoobjall_primarycomplementary</t>
  </si>
  <si>
    <t>2295 MB</t>
  </si>
  <si>
    <t>22 MB</t>
  </si>
  <si>
    <t>16 MB</t>
  </si>
  <si>
    <t>photoz_complementary</t>
  </si>
  <si>
    <t>48 kB</t>
  </si>
  <si>
    <t>photozrf</t>
  </si>
  <si>
    <t>136 MB</t>
  </si>
  <si>
    <t>132 MB</t>
  </si>
  <si>
    <t>3736 kB</t>
  </si>
  <si>
    <t>platex</t>
  </si>
  <si>
    <t>728 kB</t>
  </si>
  <si>
    <t>704 kB</t>
  </si>
  <si>
    <t>specobjall_complementary</t>
  </si>
  <si>
    <t>0 bytes</t>
  </si>
  <si>
    <t>aa_sdss2003_2x</t>
  </si>
  <si>
    <t>1193 MB</t>
  </si>
  <si>
    <t>11 MB</t>
  </si>
  <si>
    <t>10 MB</t>
  </si>
  <si>
    <t>35 MB</t>
  </si>
  <si>
    <t>33 MB</t>
  </si>
  <si>
    <t>1520 kB</t>
  </si>
  <si>
    <t>137 MB</t>
  </si>
  <si>
    <t>2968 kB</t>
  </si>
  <si>
    <t>3672 kB</t>
  </si>
  <si>
    <t>aa_sdss2003_2x_optimized</t>
  </si>
  <si>
    <t>59 MB</t>
  </si>
  <si>
    <t>58 MB</t>
  </si>
  <si>
    <t>976 kB</t>
  </si>
  <si>
    <t>119 MB</t>
  </si>
  <si>
    <t>2600 kB</t>
  </si>
  <si>
    <t>104 kB</t>
  </si>
  <si>
    <t>733 MB</t>
  </si>
  <si>
    <t>7288 kB</t>
  </si>
  <si>
    <t>6584 kB</t>
  </si>
  <si>
    <t>44 MB</t>
  </si>
  <si>
    <t>40 MB</t>
  </si>
  <si>
    <t>4056 kB</t>
  </si>
  <si>
    <t>459 MB</t>
  </si>
  <si>
    <t>4488 kB</t>
  </si>
  <si>
    <t>3376 kB</t>
  </si>
  <si>
    <t>40 kB</t>
  </si>
  <si>
    <t>27 MB</t>
  </si>
  <si>
    <t>26 MB</t>
  </si>
  <si>
    <t>760 kB</t>
  </si>
  <si>
    <t>aa_sdss2003_optimized</t>
  </si>
  <si>
    <t>496 kB</t>
  </si>
  <si>
    <t>60 MB</t>
  </si>
  <si>
    <t>1304 kB</t>
  </si>
  <si>
    <t>367 MB</t>
  </si>
  <si>
    <t>3648 kB</t>
  </si>
  <si>
    <t>3296 kB</t>
  </si>
  <si>
    <t>2040 kB</t>
  </si>
  <si>
    <t>230 MB</t>
  </si>
  <si>
    <t>2248 kB</t>
  </si>
  <si>
    <t>1712 kB</t>
  </si>
  <si>
    <t>14 MB</t>
  </si>
  <si>
    <t>392 kB</t>
  </si>
  <si>
    <t>aa_sdss2013_10x_optimized</t>
  </si>
  <si>
    <t>65 MB</t>
  </si>
  <si>
    <t>1003 MB</t>
  </si>
  <si>
    <t>9800 kB</t>
  </si>
  <si>
    <t>7352 kB</t>
  </si>
  <si>
    <t>3647 MB</t>
  </si>
  <si>
    <t>84 MB</t>
  </si>
  <si>
    <t>80 MB</t>
  </si>
  <si>
    <t>4728 kB</t>
  </si>
  <si>
    <t>1292 MB</t>
  </si>
  <si>
    <t>12 MB</t>
  </si>
  <si>
    <t>9456 kB</t>
  </si>
  <si>
    <t>2984 kB</t>
  </si>
  <si>
    <t>2784 kB</t>
  </si>
  <si>
    <t>160 kB</t>
  </si>
  <si>
    <t>148 MB</t>
  </si>
  <si>
    <t>145 MB</t>
  </si>
  <si>
    <t>2344 kB</t>
  </si>
  <si>
    <t>2224 kB</t>
  </si>
  <si>
    <t>80 kB</t>
  </si>
  <si>
    <t>photozrf_complementary</t>
  </si>
  <si>
    <t>122 MB</t>
  </si>
  <si>
    <t>118 MB</t>
  </si>
  <si>
    <t>700 MB</t>
  </si>
  <si>
    <t>aa_sdss2013_2x_optimized</t>
  </si>
  <si>
    <t>744 kB</t>
  </si>
  <si>
    <t>201 MB</t>
  </si>
  <si>
    <t>1960 kB</t>
  </si>
  <si>
    <t>730 MB</t>
  </si>
  <si>
    <t>2744 kB</t>
  </si>
  <si>
    <t>960 kB</t>
  </si>
  <si>
    <t>258 MB</t>
  </si>
  <si>
    <t>2528 kB</t>
  </si>
  <si>
    <t>1920 kB</t>
  </si>
  <si>
    <t>632 kB</t>
  </si>
  <si>
    <t>560 kB</t>
  </si>
  <si>
    <t>64 kB</t>
  </si>
  <si>
    <t>488 kB</t>
  </si>
  <si>
    <t>448 kB</t>
  </si>
  <si>
    <t>24 MB</t>
  </si>
  <si>
    <t>140 MB</t>
  </si>
  <si>
    <t>6328 kB</t>
  </si>
  <si>
    <t>aa_sdss2013_optimized</t>
  </si>
  <si>
    <t>7088 kB</t>
  </si>
  <si>
    <t>6664 kB</t>
  </si>
  <si>
    <t>384 kB</t>
  </si>
  <si>
    <t>100 MB</t>
  </si>
  <si>
    <t>984 kB</t>
  </si>
  <si>
    <t>768 kB</t>
  </si>
  <si>
    <t>365 MB</t>
  </si>
  <si>
    <t>1376 kB</t>
  </si>
  <si>
    <t>8736 kB</t>
  </si>
  <si>
    <t>8208 kB</t>
  </si>
  <si>
    <t>129 MB</t>
  </si>
  <si>
    <t>1264 kB</t>
  </si>
  <si>
    <t>320 kB</t>
  </si>
  <si>
    <t>280 kB</t>
  </si>
  <si>
    <t>248 kB</t>
  </si>
  <si>
    <t>224 kB</t>
  </si>
  <si>
    <t>70 MB</t>
  </si>
  <si>
    <t>3192 kB</t>
  </si>
  <si>
    <t>aa_sdss2023_10x_optimized</t>
  </si>
  <si>
    <t>field_other</t>
  </si>
  <si>
    <t>frame_0</t>
  </si>
  <si>
    <t>752 kB</t>
  </si>
  <si>
    <t>360 kB</t>
  </si>
  <si>
    <t>frame_other</t>
  </si>
  <si>
    <t>23 MB</t>
  </si>
  <si>
    <t>1048 kB</t>
  </si>
  <si>
    <t>185 MB</t>
  </si>
  <si>
    <t>176 MB</t>
  </si>
  <si>
    <t>8920 kB</t>
  </si>
  <si>
    <t>2435 MB</t>
  </si>
  <si>
    <t>2239 MB</t>
  </si>
  <si>
    <t>87 MB</t>
  </si>
  <si>
    <t>83 MB</t>
  </si>
  <si>
    <t>4672 kB</t>
  </si>
  <si>
    <t>1271 MB</t>
  </si>
  <si>
    <t>288 kB</t>
  </si>
  <si>
    <t>168 kB</t>
  </si>
  <si>
    <t>photozcomplementary</t>
  </si>
  <si>
    <t>2480 kB</t>
  </si>
  <si>
    <t>61 MB</t>
  </si>
  <si>
    <t>specobjallcomplementary</t>
  </si>
  <si>
    <t>675 MB</t>
  </si>
  <si>
    <t>5448 kB</t>
  </si>
  <si>
    <t>aa_sdss2023_2x_optimized</t>
  </si>
  <si>
    <t>37 MB</t>
  </si>
  <si>
    <t>1792 kB</t>
  </si>
  <si>
    <t>487 MB</t>
  </si>
  <si>
    <t>4776 kB</t>
  </si>
  <si>
    <t>448 MB</t>
  </si>
  <si>
    <t>4504 kB</t>
  </si>
  <si>
    <t>4072 kB</t>
  </si>
  <si>
    <t>944 kB</t>
  </si>
  <si>
    <t>254 MB</t>
  </si>
  <si>
    <t>2496 kB</t>
  </si>
  <si>
    <t>536 kB</t>
  </si>
  <si>
    <t>135 MB</t>
  </si>
  <si>
    <t>1104 kB</t>
  </si>
  <si>
    <t>aa_sdss2023_optimized</t>
  </si>
  <si>
    <t>19 MB</t>
  </si>
  <si>
    <t>904 kB</t>
  </si>
  <si>
    <t>244 MB</t>
  </si>
  <si>
    <t>2392 kB</t>
  </si>
  <si>
    <t>224 MB</t>
  </si>
  <si>
    <t>2256 kB</t>
  </si>
  <si>
    <t>2048 kB</t>
  </si>
  <si>
    <t>8992 kB</t>
  </si>
  <si>
    <t>8472 kB</t>
  </si>
  <si>
    <t>480 kB</t>
  </si>
  <si>
    <t>127 MB</t>
  </si>
  <si>
    <t>1248 kB</t>
  </si>
  <si>
    <t>24 kB</t>
  </si>
  <si>
    <t>272 kB</t>
  </si>
  <si>
    <t>8864 kB</t>
  </si>
  <si>
    <t>6408 kB</t>
  </si>
  <si>
    <t>2416 kB</t>
  </si>
  <si>
    <t>68 MB</t>
  </si>
  <si>
    <t>sdss2003_optimized</t>
  </si>
  <si>
    <t>39 MB</t>
  </si>
  <si>
    <t>2208 kB</t>
  </si>
  <si>
    <t>601 MB</t>
  </si>
  <si>
    <t>290 MB</t>
  </si>
  <si>
    <t>278 MB</t>
  </si>
  <si>
    <t>313 MB</t>
  </si>
  <si>
    <t>6792 kB</t>
  </si>
  <si>
    <t>2544 kB</t>
  </si>
  <si>
    <t>sdss_relational</t>
  </si>
  <si>
    <t>632 MB</t>
  </si>
  <si>
    <t>631 MB</t>
  </si>
  <si>
    <t>211 MB</t>
  </si>
  <si>
    <t>107 MB</t>
  </si>
  <si>
    <t>589 MB</t>
  </si>
  <si>
    <t>588 MB</t>
  </si>
  <si>
    <t>781 MB</t>
  </si>
  <si>
    <t>6288 kB</t>
  </si>
  <si>
    <t>6248 kB</t>
  </si>
  <si>
    <t>179 MB</t>
  </si>
  <si>
    <t>zoospec</t>
  </si>
  <si>
    <t>sdss_relational2</t>
  </si>
  <si>
    <t>7984 kB</t>
  </si>
  <si>
    <t>7952 kB</t>
  </si>
  <si>
    <t>43 MB</t>
  </si>
  <si>
    <t>5240 kB</t>
  </si>
  <si>
    <t>5208 kB</t>
  </si>
  <si>
    <t>4264 kB</t>
  </si>
  <si>
    <t>4232 kB</t>
  </si>
  <si>
    <t>936 kB</t>
  </si>
  <si>
    <t>896 kB</t>
  </si>
  <si>
    <t>samplesizes</t>
  </si>
  <si>
    <t>3344 kB</t>
  </si>
  <si>
    <t>3304 kB</t>
  </si>
  <si>
    <t>sdss_relational_10x</t>
  </si>
  <si>
    <t>78 MB</t>
  </si>
  <si>
    <t>427 MB</t>
  </si>
  <si>
    <t>mapping</t>
  </si>
  <si>
    <t>42 MB</t>
  </si>
  <si>
    <t>7813 MB</t>
  </si>
  <si>
    <t>7811 MB</t>
  </si>
  <si>
    <t>51 MB</t>
  </si>
  <si>
    <t>41 MB</t>
  </si>
  <si>
    <t>424 kB</t>
  </si>
  <si>
    <t>416 kB</t>
  </si>
  <si>
    <t>387 MB</t>
  </si>
  <si>
    <t>sdss_relational_2x</t>
  </si>
  <si>
    <t>85 MB</t>
  </si>
  <si>
    <t>8680 kB</t>
  </si>
  <si>
    <t>8648 kB</t>
  </si>
  <si>
    <t>1563 MB</t>
  </si>
  <si>
    <t>1562 MB</t>
  </si>
  <si>
    <t>8496 kB</t>
  </si>
  <si>
    <t>8464 kB</t>
  </si>
  <si>
    <t>77 MB</t>
  </si>
  <si>
    <t>6648 kB</t>
  </si>
  <si>
    <t>6608 kB</t>
  </si>
  <si>
    <t>sdss_relational_3x</t>
  </si>
  <si>
    <t>38 MB</t>
  </si>
  <si>
    <t>207 MB</t>
  </si>
  <si>
    <t>2344 MB</t>
  </si>
  <si>
    <t>2343 MB</t>
  </si>
  <si>
    <t>116 MB</t>
  </si>
  <si>
    <t>9952 kB</t>
  </si>
  <si>
    <t>9912 kB</t>
  </si>
  <si>
    <t>Schema</t>
  </si>
  <si>
    <t>Total</t>
  </si>
  <si>
    <t>Data</t>
  </si>
  <si>
    <t>Indexes</t>
  </si>
  <si>
    <t>Total H</t>
  </si>
  <si>
    <t>1x</t>
  </si>
  <si>
    <t>2x</t>
  </si>
  <si>
    <t>10x</t>
  </si>
  <si>
    <t>Set of involved tables</t>
  </si>
  <si>
    <t>5x</t>
  </si>
  <si>
    <t>500K</t>
  </si>
  <si>
    <t>aa_sdss2003_5x</t>
  </si>
  <si>
    <t>2982 MB</t>
  </si>
  <si>
    <t>86 MB</t>
  </si>
  <si>
    <t>3760 kB</t>
  </si>
  <si>
    <t>344 MB</t>
  </si>
  <si>
    <t>7432 kB</t>
  </si>
  <si>
    <t>9088 kB</t>
  </si>
  <si>
    <t>aa_sdss2003_5x_optimized</t>
  </si>
  <si>
    <t>149 MB</t>
  </si>
  <si>
    <t>147 MB</t>
  </si>
  <si>
    <t>2424 kB</t>
  </si>
  <si>
    <t>298 MB</t>
  </si>
  <si>
    <t>6488 kB</t>
  </si>
  <si>
    <t>56 kB</t>
  </si>
  <si>
    <t>192 kB</t>
  </si>
  <si>
    <t>1833 MB</t>
  </si>
  <si>
    <t>109 MB</t>
  </si>
  <si>
    <t>99 MB</t>
  </si>
  <si>
    <t>10096 kB</t>
  </si>
  <si>
    <t>1148 MB</t>
  </si>
  <si>
    <t>8408 kB</t>
  </si>
  <si>
    <t>66 MB</t>
  </si>
  <si>
    <t>1872 kB</t>
  </si>
  <si>
    <t>aa_sdss2013_5x_optimized</t>
  </si>
  <si>
    <t>34 MB</t>
  </si>
  <si>
    <t>1840 kB</t>
  </si>
  <si>
    <t>502 MB</t>
  </si>
  <si>
    <t>4904 kB</t>
  </si>
  <si>
    <t>3696 kB</t>
  </si>
  <si>
    <t>1824 MB</t>
  </si>
  <si>
    <t>6808 kB</t>
  </si>
  <si>
    <t>2376 kB</t>
  </si>
  <si>
    <t>646 MB</t>
  </si>
  <si>
    <t>6312 kB</t>
  </si>
  <si>
    <t>4752 kB</t>
  </si>
  <si>
    <t>1528 kB</t>
  </si>
  <si>
    <t>96 kB</t>
  </si>
  <si>
    <t>74 MB</t>
  </si>
  <si>
    <t>72 MB</t>
  </si>
  <si>
    <t>1200 kB</t>
  </si>
  <si>
    <t>1112 kB</t>
  </si>
  <si>
    <t>350 MB</t>
  </si>
  <si>
    <t>aa_sdss2023_5x_optimized</t>
  </si>
  <si>
    <t>92 MB</t>
  </si>
  <si>
    <t>88 MB</t>
  </si>
  <si>
    <t>4472 kB</t>
  </si>
  <si>
    <t>1217 MB</t>
  </si>
  <si>
    <t>1120 MB</t>
  </si>
  <si>
    <t>10136 kB</t>
  </si>
  <si>
    <t>2352 kB</t>
  </si>
  <si>
    <t>636 MB</t>
  </si>
  <si>
    <t>6232 kB</t>
  </si>
  <si>
    <t>176 kB</t>
  </si>
  <si>
    <t>88 kB</t>
  </si>
  <si>
    <t>1328 kB</t>
  </si>
  <si>
    <t>1240 kB</t>
  </si>
  <si>
    <t>337 MB</t>
  </si>
  <si>
    <t>7416 kB</t>
  </si>
  <si>
    <t>2736 kB</t>
  </si>
  <si>
    <t>sdss_relational_5x</t>
  </si>
  <si>
    <t>214 MB</t>
  </si>
  <si>
    <t>213 MB</t>
  </si>
  <si>
    <t>21 MB</t>
  </si>
  <si>
    <t>3907 MB</t>
  </si>
  <si>
    <t>3905 MB</t>
  </si>
  <si>
    <t>25 MB</t>
  </si>
  <si>
    <t>193 MB</t>
  </si>
  <si>
    <t>Total size (bytes)</t>
  </si>
  <si>
    <t>migration time in sec</t>
  </si>
  <si>
    <t>Seconds per month</t>
  </si>
  <si>
    <t>1 query every ... seconds</t>
  </si>
  <si>
    <t>Workload</t>
  </si>
  <si>
    <t>N. query patterns</t>
  </si>
  <si>
    <t>N. queries per month</t>
  </si>
  <si>
    <t>Query frequency (s)</t>
  </si>
  <si>
    <t>Time saved per query (s)</t>
  </si>
  <si>
    <t>N. queries to reach migration time</t>
  </si>
  <si>
    <t>Time to reach migration time (min)</t>
  </si>
  <si>
    <t>Workload percentage to reach migration time</t>
  </si>
  <si>
    <t>time saving in h</t>
  </si>
  <si>
    <t>time saving in d</t>
  </si>
  <si>
    <t>Time saved per workload (h)</t>
  </si>
  <si>
    <t>Migration time (s)</t>
  </si>
  <si>
    <t>TP</t>
  </si>
  <si>
    <t>$D_2$</t>
  </si>
  <si>
    <t>$D_3$</t>
  </si>
  <si>
    <t>aa_sdss2013</t>
  </si>
  <si>
    <t>593 MB</t>
  </si>
  <si>
    <t>aa_sdss2013_2x</t>
  </si>
  <si>
    <t>1187 MB</t>
  </si>
  <si>
    <t>4408 kB</t>
  </si>
  <si>
    <t>aa_sdss2013_5x</t>
  </si>
  <si>
    <t>2967 MB</t>
  </si>
  <si>
    <t>aa_sdss2013_10x</t>
  </si>
  <si>
    <t>5934 MB</t>
  </si>
  <si>
    <t>169 MB</t>
  </si>
  <si>
    <t>aa_sdss2023</t>
  </si>
  <si>
    <t>599 MB</t>
  </si>
  <si>
    <t>7520 kB</t>
  </si>
  <si>
    <t>1640 kB</t>
  </si>
  <si>
    <t>aa_sdss2023_2x</t>
  </si>
  <si>
    <t>1197 MB</t>
  </si>
  <si>
    <t>3224 kB</t>
  </si>
  <si>
    <t>aa_sdss2023_5x</t>
  </si>
  <si>
    <t>2993 MB</t>
  </si>
  <si>
    <t>342 MB</t>
  </si>
  <si>
    <t>7992 kB</t>
  </si>
  <si>
    <t>aa_sdss2023_10x</t>
  </si>
  <si>
    <t>5985 MB</t>
  </si>
  <si>
    <t>73 MB</t>
  </si>
  <si>
    <t>685 MB</t>
  </si>
  <si>
    <t>if db is big enough to make mig time &gt;90Kseconds, then mig is not convenient</t>
  </si>
  <si>
    <t>dtype:</t>
  </si>
  <si>
    <t>float64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</si>
</sst>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.000"/>
    <numFmt numFmtId="165" formatCode="0.0"/>
    <numFmt numFmtId="166" formatCode="0.000"/>
    <numFmt numFmtId="167" formatCode="_-* #,##0_-;\-* #,##0_-;_-* &quot;-&quot;??_-;_-@_-"/>
    <numFmt numFmtId="169" formatCode="0.00000"/>
  </numFmts>
  <fonts count="8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7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4" fontId="2" fillId="2" borderId="1" xfId="0" applyNumberFormat="1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2" fontId="0" fillId="0" borderId="0" xfId="0" applyNumberFormat="1"/>
    <xf numFmtId="10" fontId="3" fillId="0" borderId="1" xfId="0" applyNumberFormat="1" applyFont="1" applyBorder="1" applyAlignment="1">
      <alignment horizontal="center" vertical="center" wrapText="1"/>
    </xf>
    <xf numFmtId="0" fontId="4" fillId="0" borderId="0" xfId="0" applyFont="1"/>
    <xf numFmtId="0" fontId="3" fillId="0" borderId="1" xfId="0" applyFont="1" applyBorder="1" applyAlignment="1">
      <alignment horizontal="center" vertical="center" wrapText="1"/>
    </xf>
    <xf numFmtId="2" fontId="0" fillId="3" borderId="0" xfId="0" applyNumberFormat="1" applyFill="1"/>
    <xf numFmtId="4" fontId="2" fillId="4" borderId="1" xfId="0" applyNumberFormat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2" fontId="0" fillId="5" borderId="0" xfId="0" applyNumberFormat="1" applyFill="1" applyAlignment="1">
      <alignment wrapText="1"/>
    </xf>
    <xf numFmtId="165" fontId="0" fillId="5" borderId="0" xfId="0" applyNumberFormat="1" applyFill="1" applyAlignment="1">
      <alignment wrapText="1"/>
    </xf>
    <xf numFmtId="165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0" fillId="0" borderId="0" xfId="0" applyAlignment="1">
      <alignment horizontal="right" wrapText="1"/>
    </xf>
    <xf numFmtId="0" fontId="5" fillId="6" borderId="0" xfId="0" applyFont="1" applyFill="1" applyAlignment="1">
      <alignment wrapText="1"/>
    </xf>
    <xf numFmtId="1" fontId="0" fillId="6" borderId="0" xfId="0" applyNumberFormat="1" applyFill="1" applyAlignment="1">
      <alignment wrapText="1"/>
    </xf>
    <xf numFmtId="165" fontId="0" fillId="6" borderId="0" xfId="0" applyNumberFormat="1" applyFill="1" applyAlignment="1">
      <alignment wrapText="1"/>
    </xf>
    <xf numFmtId="1" fontId="0" fillId="7" borderId="0" xfId="0" applyNumberFormat="1" applyFill="1" applyAlignment="1">
      <alignment wrapText="1"/>
    </xf>
    <xf numFmtId="0" fontId="5" fillId="7" borderId="0" xfId="0" applyFont="1" applyFill="1" applyAlignment="1">
      <alignment wrapText="1"/>
    </xf>
    <xf numFmtId="165" fontId="0" fillId="7" borderId="0" xfId="0" applyNumberFormat="1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0" fontId="6" fillId="0" borderId="8" xfId="0" applyFont="1" applyBorder="1"/>
    <xf numFmtId="0" fontId="6" fillId="0" borderId="9" xfId="0" applyFont="1" applyBorder="1"/>
    <xf numFmtId="0" fontId="6" fillId="0" borderId="6" xfId="0" applyFont="1" applyBorder="1"/>
    <xf numFmtId="0" fontId="0" fillId="0" borderId="0" xfId="0" applyAlignment="1">
      <alignment horizontal="center"/>
    </xf>
    <xf numFmtId="0" fontId="5" fillId="0" borderId="0" xfId="0" applyFont="1"/>
    <xf numFmtId="165" fontId="0" fillId="0" borderId="0" xfId="0" applyNumberFormat="1"/>
    <xf numFmtId="2" fontId="0" fillId="0" borderId="0" xfId="0" applyNumberFormat="1" applyFill="1"/>
    <xf numFmtId="0" fontId="6" fillId="0" borderId="0" xfId="0" applyFont="1" applyFill="1" applyBorder="1"/>
    <xf numFmtId="0" fontId="0" fillId="0" borderId="0" xfId="0" applyBorder="1"/>
    <xf numFmtId="0" fontId="6" fillId="0" borderId="0" xfId="0" applyFont="1" applyBorder="1"/>
    <xf numFmtId="0" fontId="5" fillId="0" borderId="0" xfId="0" applyFont="1" applyBorder="1"/>
    <xf numFmtId="165" fontId="0" fillId="0" borderId="2" xfId="0" applyNumberFormat="1" applyBorder="1"/>
    <xf numFmtId="165" fontId="0" fillId="0" borderId="3" xfId="0" applyNumberFormat="1" applyBorder="1"/>
    <xf numFmtId="165" fontId="0" fillId="0" borderId="2" xfId="0" applyNumberFormat="1" applyFill="1" applyBorder="1"/>
    <xf numFmtId="165" fontId="0" fillId="0" borderId="3" xfId="0" applyNumberFormat="1" applyFill="1" applyBorder="1"/>
    <xf numFmtId="165" fontId="0" fillId="0" borderId="4" xfId="0" applyNumberFormat="1" applyBorder="1"/>
    <xf numFmtId="165" fontId="0" fillId="0" borderId="5" xfId="0" applyNumberFormat="1" applyBorder="1"/>
    <xf numFmtId="165" fontId="0" fillId="0" borderId="6" xfId="0" applyNumberFormat="1" applyBorder="1"/>
    <xf numFmtId="0" fontId="0" fillId="2" borderId="0" xfId="0" applyFill="1" applyBorder="1"/>
    <xf numFmtId="0" fontId="6" fillId="2" borderId="0" xfId="0" applyFont="1" applyFill="1" applyBorder="1"/>
    <xf numFmtId="1" fontId="0" fillId="2" borderId="0" xfId="0" applyNumberFormat="1" applyFill="1" applyBorder="1"/>
    <xf numFmtId="166" fontId="0" fillId="0" borderId="0" xfId="0" applyNumberFormat="1"/>
    <xf numFmtId="10" fontId="0" fillId="0" borderId="0" xfId="2" applyNumberFormat="1" applyFont="1"/>
    <xf numFmtId="167" fontId="0" fillId="0" borderId="0" xfId="1" applyNumberFormat="1" applyFont="1"/>
    <xf numFmtId="167" fontId="0" fillId="0" borderId="0" xfId="0" applyNumberFormat="1"/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Border="1"/>
    <xf numFmtId="165" fontId="0" fillId="0" borderId="0" xfId="0" applyNumberFormat="1" applyFill="1" applyBorder="1"/>
    <xf numFmtId="0" fontId="6" fillId="0" borderId="3" xfId="0" applyFont="1" applyBorder="1"/>
    <xf numFmtId="0" fontId="6" fillId="0" borderId="10" xfId="0" applyFont="1" applyBorder="1"/>
    <xf numFmtId="0" fontId="6" fillId="0" borderId="12" xfId="0" applyFont="1" applyBorder="1"/>
    <xf numFmtId="0" fontId="6" fillId="0" borderId="11" xfId="0" applyFont="1" applyBorder="1"/>
    <xf numFmtId="165" fontId="0" fillId="0" borderId="14" xfId="0" applyNumberFormat="1" applyBorder="1"/>
    <xf numFmtId="165" fontId="0" fillId="0" borderId="13" xfId="0" applyNumberFormat="1" applyBorder="1"/>
    <xf numFmtId="165" fontId="0" fillId="0" borderId="15" xfId="0" applyNumberFormat="1" applyBorder="1"/>
    <xf numFmtId="169" fontId="0" fillId="0" borderId="0" xfId="0" applyNumberFormat="1"/>
    <xf numFmtId="3" fontId="0" fillId="0" borderId="0" xfId="0" applyNumberFormat="1"/>
    <xf numFmtId="165" fontId="0" fillId="0" borderId="4" xfId="0" applyNumberFormat="1" applyFill="1" applyBorder="1"/>
  </cellXfs>
  <cellStyles count="3">
    <cellStyle name="Migliaia" xfId="1" builtinId="3"/>
    <cellStyle name="Normale" xfId="0" builtinId="0"/>
    <cellStyle name="Percentuale" xfId="2" builtinId="5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1D44-AC13-4E05-B908-0B5C89C2B65C}">
  <dimension ref="A1:AE49"/>
  <sheetViews>
    <sheetView topLeftCell="A19" zoomScaleNormal="100" workbookViewId="0">
      <selection activeCell="S21" sqref="S21:W29"/>
    </sheetView>
  </sheetViews>
  <sheetFormatPr defaultColWidth="28.1640625" defaultRowHeight="14"/>
  <cols>
    <col min="1" max="1" width="7.83203125" customWidth="1"/>
    <col min="2" max="2" width="6.25" bestFit="1" customWidth="1"/>
    <col min="3" max="5" width="12.58203125" customWidth="1"/>
    <col min="6" max="6" width="12.58203125" hidden="1" customWidth="1"/>
    <col min="7" max="7" width="12.58203125" customWidth="1"/>
    <col min="8" max="8" width="4.83203125" customWidth="1"/>
    <col min="9" max="9" width="7.4140625" customWidth="1"/>
    <col min="10" max="10" width="6.4140625" bestFit="1" customWidth="1"/>
    <col min="11" max="13" width="11.83203125" customWidth="1"/>
    <col min="14" max="14" width="11.83203125" hidden="1" customWidth="1"/>
    <col min="15" max="15" width="11.83203125" customWidth="1"/>
    <col min="16" max="16" width="5.75" customWidth="1"/>
    <col min="17" max="18" width="6.75" customWidth="1"/>
    <col min="19" max="21" width="12.4140625" customWidth="1"/>
    <col min="22" max="22" width="12.4140625" hidden="1" customWidth="1"/>
    <col min="23" max="23" width="12.4140625" customWidth="1"/>
    <col min="24" max="24" width="6.33203125" customWidth="1"/>
    <col min="25" max="25" width="6.6640625" customWidth="1"/>
    <col min="26" max="26" width="6.4140625" bestFit="1" customWidth="1"/>
    <col min="27" max="29" width="11.58203125" customWidth="1"/>
    <col min="30" max="30" width="11.58203125" hidden="1" customWidth="1"/>
    <col min="31" max="31" width="11.58203125" customWidth="1"/>
  </cols>
  <sheetData>
    <row r="1" spans="1:7" ht="39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6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827.58900000000006</v>
      </c>
      <c r="D3" s="2">
        <v>569</v>
      </c>
      <c r="E3" s="4">
        <v>1.4544619999999999</v>
      </c>
      <c r="F3" s="2">
        <v>2.3388460000000002</v>
      </c>
      <c r="G3" s="2">
        <v>1.0448409999999999</v>
      </c>
    </row>
    <row r="4" spans="1:7">
      <c r="A4" s="1">
        <v>2</v>
      </c>
      <c r="B4" s="7">
        <v>0.22459999999999999</v>
      </c>
      <c r="C4" s="2">
        <v>45250.428999999996</v>
      </c>
      <c r="D4" s="2">
        <v>235</v>
      </c>
      <c r="E4" s="4">
        <v>192.55501699999999</v>
      </c>
      <c r="F4" s="2">
        <v>120.07904000000001</v>
      </c>
      <c r="G4" s="2">
        <v>57.129185</v>
      </c>
    </row>
    <row r="5" spans="1:7">
      <c r="A5" s="1">
        <v>3</v>
      </c>
      <c r="B5" s="7">
        <v>4.7500000000000001E-2</v>
      </c>
      <c r="C5" s="2">
        <v>8857.1110000000008</v>
      </c>
      <c r="D5" s="2">
        <v>45</v>
      </c>
      <c r="E5" s="4">
        <v>196.82468900000001</v>
      </c>
      <c r="F5" s="2">
        <v>157.26190800000001</v>
      </c>
      <c r="G5" s="2">
        <v>11.182204</v>
      </c>
    </row>
    <row r="6" spans="1:7">
      <c r="A6" s="1">
        <v>4</v>
      </c>
      <c r="B6" s="7">
        <v>0.114</v>
      </c>
      <c r="C6" s="2">
        <v>24271.597000000002</v>
      </c>
      <c r="D6" s="2">
        <v>136</v>
      </c>
      <c r="E6" s="4">
        <v>178.467625</v>
      </c>
      <c r="F6" s="2">
        <v>143.379818</v>
      </c>
      <c r="G6" s="2">
        <v>30.643169</v>
      </c>
    </row>
    <row r="7" spans="1:7">
      <c r="A7" s="1">
        <v>5</v>
      </c>
      <c r="B7" s="7">
        <v>1.09E-2</v>
      </c>
      <c r="C7" s="2">
        <v>0.47599999999999998</v>
      </c>
      <c r="D7" s="2">
        <v>15</v>
      </c>
      <c r="E7" s="4">
        <v>3.1732999999999997E-2</v>
      </c>
      <c r="F7" s="2">
        <v>2.5003999999999998E-2</v>
      </c>
      <c r="G7" s="2">
        <v>6.0099999999999997E-4</v>
      </c>
    </row>
    <row r="8" spans="1:7">
      <c r="B8" s="8"/>
      <c r="E8" s="10">
        <f>SUMPRODUCT(B3:B7,E3:E7)</f>
        <v>73.819725271400003</v>
      </c>
    </row>
    <row r="9" spans="1:7">
      <c r="B9" s="8"/>
      <c r="E9" s="6"/>
    </row>
    <row r="10" spans="1:7" ht="39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6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915.39800000000002</v>
      </c>
      <c r="D12" s="3">
        <v>586</v>
      </c>
      <c r="E12" s="5">
        <v>1.5621130000000001</v>
      </c>
      <c r="F12" s="3">
        <v>1.3263879999999999</v>
      </c>
      <c r="G12" s="3">
        <v>12.084562999999999</v>
      </c>
    </row>
    <row r="13" spans="1:7">
      <c r="A13" s="1">
        <v>2</v>
      </c>
      <c r="B13" s="7">
        <v>0.22459999999999999</v>
      </c>
      <c r="C13" s="2">
        <v>2855.54</v>
      </c>
      <c r="D13" s="3">
        <v>248</v>
      </c>
      <c r="E13" s="5">
        <v>11.514274</v>
      </c>
      <c r="F13" s="3">
        <v>7.6724079999999999</v>
      </c>
      <c r="G13" s="3">
        <v>37.697211000000003</v>
      </c>
    </row>
    <row r="14" spans="1:7">
      <c r="A14" s="1">
        <v>3</v>
      </c>
      <c r="B14" s="7">
        <v>4.7500000000000001E-2</v>
      </c>
      <c r="C14" s="2">
        <v>1130.3620000000001</v>
      </c>
      <c r="D14" s="3">
        <v>42</v>
      </c>
      <c r="E14" s="5">
        <v>26.913381000000001</v>
      </c>
      <c r="F14" s="3">
        <v>20.521536999999999</v>
      </c>
      <c r="G14" s="3">
        <v>14.922395</v>
      </c>
    </row>
    <row r="15" spans="1:7">
      <c r="A15" s="1">
        <v>4</v>
      </c>
      <c r="B15" s="7">
        <v>0.114</v>
      </c>
      <c r="C15" s="2">
        <v>2672.6379999999999</v>
      </c>
      <c r="D15" s="3">
        <v>110</v>
      </c>
      <c r="E15" s="5">
        <v>24.296709</v>
      </c>
      <c r="F15" s="3">
        <v>19.526899</v>
      </c>
      <c r="G15" s="3">
        <v>35.282643</v>
      </c>
    </row>
    <row r="16" spans="1:7">
      <c r="A16" s="1">
        <v>5</v>
      </c>
      <c r="B16" s="7">
        <v>1.09E-2</v>
      </c>
      <c r="C16" s="2">
        <v>0.999</v>
      </c>
      <c r="D16" s="3">
        <v>14</v>
      </c>
      <c r="E16" s="5">
        <v>7.1357000000000004E-2</v>
      </c>
      <c r="F16" s="3">
        <v>3.7962999999999997E-2</v>
      </c>
      <c r="G16" s="3">
        <v>1.3188E-2</v>
      </c>
    </row>
    <row r="17" spans="1:31">
      <c r="B17" s="8"/>
      <c r="E17" s="10">
        <f>SUMPRODUCT(B12:B16,E12:E16)</f>
        <v>7.5770482941999999</v>
      </c>
    </row>
    <row r="18" spans="1:31">
      <c r="B18" s="8"/>
    </row>
    <row r="19" spans="1:31" ht="39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  <c r="Q19" s="1">
        <v>2013</v>
      </c>
      <c r="R19" s="1" t="s">
        <v>9</v>
      </c>
      <c r="S19" s="1" t="s">
        <v>0</v>
      </c>
      <c r="T19" s="1" t="s">
        <v>1</v>
      </c>
      <c r="U19" s="1" t="s">
        <v>2</v>
      </c>
      <c r="V19" s="1" t="s">
        <v>3</v>
      </c>
      <c r="W19" s="1" t="s">
        <v>4</v>
      </c>
    </row>
    <row r="20" spans="1:31" ht="26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  <c r="Q20" s="1" t="s">
        <v>5</v>
      </c>
      <c r="R20" s="9"/>
      <c r="S20" s="1"/>
      <c r="T20" s="1"/>
      <c r="U20" s="1"/>
      <c r="V20" s="1"/>
      <c r="W20" s="1"/>
    </row>
    <row r="21" spans="1:31">
      <c r="A21" s="1">
        <v>1</v>
      </c>
      <c r="B21" s="7">
        <v>0.1066</v>
      </c>
      <c r="C21" s="2">
        <v>1715.498</v>
      </c>
      <c r="D21" s="2">
        <v>1901</v>
      </c>
      <c r="E21" s="2">
        <v>9.0241899999999992E-7</v>
      </c>
      <c r="F21" s="2">
        <v>1.0240130000000001</v>
      </c>
      <c r="G21" s="2">
        <v>1.5064100000000001E-7</v>
      </c>
      <c r="I21" s="1">
        <v>1</v>
      </c>
      <c r="J21" s="7">
        <v>0.1066</v>
      </c>
      <c r="K21" s="2">
        <v>4060.7649999999999</v>
      </c>
      <c r="L21" s="2">
        <v>1935</v>
      </c>
      <c r="M21" s="2">
        <v>2.0985870000000002</v>
      </c>
      <c r="N21" s="2">
        <v>1.3372850000000001</v>
      </c>
      <c r="O21" s="2">
        <v>11.015605000000001</v>
      </c>
      <c r="Q21" s="1">
        <v>1</v>
      </c>
      <c r="R21" s="7">
        <v>0.1066</v>
      </c>
      <c r="S21" s="2">
        <v>18502.884999999998</v>
      </c>
      <c r="T21" s="2">
        <v>1873</v>
      </c>
      <c r="U21" s="2">
        <v>9.8787430000000001</v>
      </c>
      <c r="V21" s="2">
        <v>8.0131650000000008</v>
      </c>
      <c r="W21" s="2">
        <v>3.7332529999999999</v>
      </c>
    </row>
    <row r="22" spans="1:31">
      <c r="A22" s="1">
        <v>2</v>
      </c>
      <c r="B22" s="7">
        <v>1.3299999999999999E-2</v>
      </c>
      <c r="C22" s="2">
        <v>2220.5770000000002</v>
      </c>
      <c r="D22" s="2">
        <v>251</v>
      </c>
      <c r="E22" s="2">
        <v>8.8469200000000008</v>
      </c>
      <c r="F22" s="2">
        <v>6.5103419999999996</v>
      </c>
      <c r="G22" s="2">
        <v>1.94993E-7</v>
      </c>
      <c r="I22" s="1">
        <v>2</v>
      </c>
      <c r="J22" s="7">
        <v>1.3299999999999999E-2</v>
      </c>
      <c r="K22" s="2">
        <v>3572.9229999999998</v>
      </c>
      <c r="L22" s="2">
        <v>262</v>
      </c>
      <c r="M22" s="2">
        <v>13.637111000000001</v>
      </c>
      <c r="N22" s="2">
        <v>7.656898</v>
      </c>
      <c r="O22" s="2">
        <v>9.69224</v>
      </c>
      <c r="Q22" s="1">
        <v>2</v>
      </c>
      <c r="R22" s="7">
        <v>1.3299999999999999E-2</v>
      </c>
      <c r="S22" s="2">
        <v>72964.784</v>
      </c>
      <c r="T22" s="2">
        <v>213</v>
      </c>
      <c r="U22" s="2">
        <v>342.55767100000003</v>
      </c>
      <c r="V22" s="2">
        <v>192.53296900000001</v>
      </c>
      <c r="W22" s="2">
        <v>14.721811000000001</v>
      </c>
    </row>
    <row r="23" spans="1:31">
      <c r="A23" s="1">
        <v>3</v>
      </c>
      <c r="B23" s="7">
        <v>0.14130000000000001</v>
      </c>
      <c r="C23" s="2">
        <v>1132941.7520000001</v>
      </c>
      <c r="D23" s="2">
        <v>2521</v>
      </c>
      <c r="E23" s="2">
        <v>449.401726</v>
      </c>
      <c r="F23" s="2">
        <v>250.91588200000001</v>
      </c>
      <c r="G23" s="2">
        <v>99.485776000000001</v>
      </c>
      <c r="I23" s="1">
        <v>3</v>
      </c>
      <c r="J23" s="7">
        <v>0.14130000000000001</v>
      </c>
      <c r="K23" s="2">
        <v>18876.531999999999</v>
      </c>
      <c r="L23" s="2">
        <v>2574</v>
      </c>
      <c r="M23" s="2">
        <v>7.3335400000000002</v>
      </c>
      <c r="N23" s="2">
        <v>3.696383</v>
      </c>
      <c r="O23" s="2">
        <v>51.206220000000002</v>
      </c>
      <c r="Q23" s="1">
        <v>3</v>
      </c>
      <c r="R23" s="7">
        <v>0.14130000000000001</v>
      </c>
      <c r="S23" s="2">
        <v>399282.07900000003</v>
      </c>
      <c r="T23" s="2">
        <v>2568</v>
      </c>
      <c r="U23" s="2">
        <v>155.483676</v>
      </c>
      <c r="V23" s="2">
        <v>89.186210000000003</v>
      </c>
      <c r="W23" s="2">
        <v>80.561541000000005</v>
      </c>
    </row>
    <row r="24" spans="1:31">
      <c r="A24" s="1">
        <v>4</v>
      </c>
      <c r="B24" s="7">
        <v>5.4699999999999999E-2</v>
      </c>
      <c r="C24" s="2">
        <v>41.125</v>
      </c>
      <c r="D24" s="2">
        <v>982</v>
      </c>
      <c r="E24" s="2">
        <v>4.1879000000000001E-8</v>
      </c>
      <c r="F24" s="2">
        <v>2.9314E-8</v>
      </c>
      <c r="G24" s="2">
        <v>3.611E-9</v>
      </c>
      <c r="I24" s="1">
        <v>4</v>
      </c>
      <c r="J24" s="7">
        <v>5.4699999999999999E-2</v>
      </c>
      <c r="K24" s="2">
        <v>62.694000000000003</v>
      </c>
      <c r="L24" s="2">
        <v>970</v>
      </c>
      <c r="M24" s="2">
        <v>6.4632999999999994E-8</v>
      </c>
      <c r="N24" s="2">
        <v>5.6754299999999999E-7</v>
      </c>
      <c r="O24" s="2">
        <v>1.7006999999999999E-7</v>
      </c>
      <c r="Q24" s="1">
        <v>4</v>
      </c>
      <c r="R24" s="7">
        <v>5.4699999999999999E-2</v>
      </c>
      <c r="S24" s="2">
        <v>20.443000000000001</v>
      </c>
      <c r="T24" s="2">
        <v>976</v>
      </c>
      <c r="U24" s="2">
        <v>2.0945999999999998E-8</v>
      </c>
      <c r="V24" s="2">
        <v>1.1950000000000001E-8</v>
      </c>
      <c r="W24" s="2">
        <v>4.1250000000000005E-9</v>
      </c>
    </row>
    <row r="25" spans="1:31">
      <c r="A25" s="1">
        <v>5</v>
      </c>
      <c r="B25" s="7">
        <v>4.6800000000000001E-2</v>
      </c>
      <c r="C25" s="2">
        <v>23</v>
      </c>
      <c r="D25" s="2">
        <v>861</v>
      </c>
      <c r="E25" s="2">
        <v>2.6712999999999999E-8</v>
      </c>
      <c r="F25" s="2">
        <v>2.0211999999999999E-8</v>
      </c>
      <c r="G25" s="2">
        <v>2.0200000000000001E-9</v>
      </c>
      <c r="I25" s="1">
        <v>5</v>
      </c>
      <c r="J25" s="7">
        <v>4.6800000000000001E-2</v>
      </c>
      <c r="K25" s="2">
        <v>589.89200000000005</v>
      </c>
      <c r="L25" s="2">
        <v>774</v>
      </c>
      <c r="M25" s="2">
        <v>7.6213399999999996E-7</v>
      </c>
      <c r="N25" s="2">
        <v>5.5340480000000003</v>
      </c>
      <c r="O25" s="2">
        <v>1.600195</v>
      </c>
      <c r="Q25" s="1">
        <v>5</v>
      </c>
      <c r="R25" s="7">
        <v>4.6800000000000001E-2</v>
      </c>
      <c r="S25" s="2">
        <v>10.651999999999999</v>
      </c>
      <c r="T25" s="2">
        <v>843</v>
      </c>
      <c r="U25" s="2">
        <v>1.2636E-8</v>
      </c>
      <c r="V25" s="2">
        <v>8.4279999999999994E-9</v>
      </c>
      <c r="W25" s="2">
        <v>2.1489999999999999E-9</v>
      </c>
    </row>
    <row r="26" spans="1:31">
      <c r="A26" s="1">
        <v>6</v>
      </c>
      <c r="B26" s="7">
        <v>0.10780000000000001</v>
      </c>
      <c r="C26" s="2">
        <v>227.59</v>
      </c>
      <c r="D26" s="2">
        <v>1873</v>
      </c>
      <c r="E26" s="2">
        <v>1.2151099999999998E-7</v>
      </c>
      <c r="F26" s="2">
        <v>1.5622700000000001E-7</v>
      </c>
      <c r="G26" s="2">
        <v>1.9985E-8</v>
      </c>
      <c r="I26" s="1">
        <v>6</v>
      </c>
      <c r="J26" s="7">
        <v>0.10780000000000001</v>
      </c>
      <c r="K26" s="2">
        <v>3366.0360000000001</v>
      </c>
      <c r="L26" s="2">
        <v>1923</v>
      </c>
      <c r="M26" s="2">
        <v>1.7504090000000001</v>
      </c>
      <c r="N26" s="2">
        <v>13.801484</v>
      </c>
      <c r="O26" s="2">
        <v>9.1310190000000002</v>
      </c>
      <c r="Q26" s="1">
        <v>6</v>
      </c>
      <c r="R26" s="7">
        <v>0.10780000000000001</v>
      </c>
      <c r="S26" s="2">
        <v>26.056000000000001</v>
      </c>
      <c r="T26" s="2">
        <v>1915</v>
      </c>
      <c r="U26" s="2">
        <v>1.3606E-8</v>
      </c>
      <c r="V26" s="2">
        <v>8.307999999999999E-9</v>
      </c>
      <c r="W26" s="2">
        <v>5.2570000000000004E-9</v>
      </c>
    </row>
    <row r="27" spans="1:31">
      <c r="A27" s="1">
        <v>7</v>
      </c>
      <c r="B27" s="7">
        <v>3.49E-2</v>
      </c>
      <c r="C27" s="2">
        <v>17.433</v>
      </c>
      <c r="D27" s="2">
        <v>617</v>
      </c>
      <c r="E27" s="2">
        <v>2.8254000000000003E-8</v>
      </c>
      <c r="F27" s="2">
        <v>2.1226999999999999E-8</v>
      </c>
      <c r="G27" s="2">
        <v>1.531E-9</v>
      </c>
      <c r="I27" s="1">
        <v>7</v>
      </c>
      <c r="J27" s="7">
        <v>3.49E-2</v>
      </c>
      <c r="K27" s="2">
        <v>2997.01</v>
      </c>
      <c r="L27" s="2">
        <v>601</v>
      </c>
      <c r="M27" s="2">
        <v>4.9867049999999997</v>
      </c>
      <c r="N27" s="2">
        <v>44.382409000000003</v>
      </c>
      <c r="O27" s="2">
        <v>8.1299659999999996</v>
      </c>
      <c r="Q27" s="1">
        <v>7</v>
      </c>
      <c r="R27" s="7">
        <v>3.49E-2</v>
      </c>
      <c r="S27" s="2">
        <v>3378.5830000000001</v>
      </c>
      <c r="T27" s="2">
        <v>627</v>
      </c>
      <c r="U27" s="2">
        <v>5.38849</v>
      </c>
      <c r="V27" s="2">
        <v>45.228506000000003</v>
      </c>
      <c r="W27" s="2">
        <v>6.8168300000000003E-7</v>
      </c>
    </row>
    <row r="28" spans="1:31">
      <c r="A28" s="1">
        <v>8</v>
      </c>
      <c r="B28" s="7">
        <v>2.63E-2</v>
      </c>
      <c r="C28" s="2">
        <v>12.48</v>
      </c>
      <c r="D28" s="2">
        <v>498</v>
      </c>
      <c r="E28" s="2">
        <v>2.5059999999999997E-8</v>
      </c>
      <c r="F28" s="2">
        <v>1.7746000000000002E-8</v>
      </c>
      <c r="G28" s="2">
        <v>1.0959999999999999E-9</v>
      </c>
      <c r="I28" s="1">
        <v>8</v>
      </c>
      <c r="J28" s="7">
        <v>2.63E-2</v>
      </c>
      <c r="K28" s="2">
        <v>41.177</v>
      </c>
      <c r="L28" s="2">
        <v>464</v>
      </c>
      <c r="M28" s="2">
        <v>8.8744000000000004E-8</v>
      </c>
      <c r="N28" s="2">
        <v>5.5640799999999999E-7</v>
      </c>
      <c r="O28" s="2">
        <v>1.1170099999999999E-7</v>
      </c>
      <c r="Q28" s="1">
        <v>8</v>
      </c>
      <c r="R28" s="7">
        <v>2.63E-2</v>
      </c>
      <c r="S28" s="2">
        <v>10.952999999999999</v>
      </c>
      <c r="T28" s="2">
        <v>474</v>
      </c>
      <c r="U28" s="2">
        <v>2.3108000000000001E-8</v>
      </c>
      <c r="V28" s="2">
        <v>1.4441E-8</v>
      </c>
      <c r="W28" s="2">
        <v>2.21E-9</v>
      </c>
    </row>
    <row r="29" spans="1:31">
      <c r="A29" s="1">
        <v>9</v>
      </c>
      <c r="B29" s="7">
        <v>2.7300000000000001E-2</v>
      </c>
      <c r="C29" s="2">
        <v>1598.268</v>
      </c>
      <c r="D29" s="2">
        <v>496</v>
      </c>
      <c r="E29" s="2">
        <v>3.222315</v>
      </c>
      <c r="F29" s="2">
        <v>2.479346</v>
      </c>
      <c r="G29" s="2">
        <v>1.4034700000000001E-7</v>
      </c>
      <c r="I29" s="1">
        <v>9</v>
      </c>
      <c r="J29" s="7">
        <v>2.7300000000000001E-2</v>
      </c>
      <c r="K29" s="2">
        <v>3296.7190000000001</v>
      </c>
      <c r="L29" s="2">
        <v>497</v>
      </c>
      <c r="M29" s="2">
        <v>6.6332370000000003</v>
      </c>
      <c r="N29" s="2">
        <v>2.8590840000000002</v>
      </c>
      <c r="O29" s="2">
        <v>8.9429839999999992</v>
      </c>
      <c r="Q29" s="1">
        <v>9</v>
      </c>
      <c r="R29" s="7">
        <v>2.7300000000000001E-2</v>
      </c>
      <c r="S29" s="2">
        <v>1427.2529999999999</v>
      </c>
      <c r="T29" s="2">
        <v>511</v>
      </c>
      <c r="U29" s="2">
        <v>2.793059</v>
      </c>
      <c r="V29" s="2">
        <v>1.901538</v>
      </c>
      <c r="W29" s="2">
        <v>2.8797099999999998E-7</v>
      </c>
    </row>
    <row r="30" spans="1:31">
      <c r="B30" s="8"/>
      <c r="E30" s="10">
        <f>SUMPRODUCT(B21:B29,E21:E29)</f>
        <v>63.706097233782849</v>
      </c>
      <c r="M30" s="10">
        <f>SUMPRODUCT(J21:J29,M21:M29)</f>
        <v>1.9851296588372636</v>
      </c>
      <c r="U30" s="10">
        <f>SUMPRODUCT(R21:R29,U21:U29)</f>
        <v>27.84324326241158</v>
      </c>
    </row>
    <row r="31" spans="1:31">
      <c r="B31" s="8"/>
    </row>
    <row r="32" spans="1:31" ht="39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  <c r="Y32" s="1">
        <v>2023</v>
      </c>
      <c r="Z32" s="1" t="s">
        <v>9</v>
      </c>
      <c r="AA32" s="1" t="s">
        <v>0</v>
      </c>
      <c r="AB32" s="1" t="s">
        <v>1</v>
      </c>
      <c r="AC32" s="1" t="s">
        <v>2</v>
      </c>
      <c r="AD32" s="1" t="s">
        <v>3</v>
      </c>
      <c r="AE32" s="1" t="s">
        <v>4</v>
      </c>
    </row>
    <row r="33" spans="1:31" ht="26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  <c r="Y33" s="1" t="s">
        <v>5</v>
      </c>
      <c r="Z33" s="9"/>
      <c r="AA33" s="1"/>
      <c r="AB33" s="1"/>
      <c r="AC33" s="1"/>
      <c r="AD33" s="1"/>
      <c r="AE33" s="1"/>
    </row>
    <row r="34" spans="1:31">
      <c r="A34" s="1">
        <v>1</v>
      </c>
      <c r="B34" s="7">
        <v>7.9299999999999995E-2</v>
      </c>
      <c r="C34" s="2">
        <v>7086.8249999999998</v>
      </c>
      <c r="D34" s="2">
        <v>794</v>
      </c>
      <c r="E34" s="2">
        <v>8.9254719999999992</v>
      </c>
      <c r="F34" s="2">
        <v>7.0637569999999998</v>
      </c>
      <c r="G34" s="2">
        <v>1.13449E-7</v>
      </c>
      <c r="I34" s="1">
        <v>1</v>
      </c>
      <c r="J34" s="7">
        <v>7.9299999999999995E-2</v>
      </c>
      <c r="K34" s="2">
        <v>292597.20199999999</v>
      </c>
      <c r="L34" s="2">
        <v>846</v>
      </c>
      <c r="M34" s="2">
        <v>345.859577</v>
      </c>
      <c r="N34" s="2">
        <v>48.309655999999997</v>
      </c>
      <c r="O34" s="2">
        <v>10.109639</v>
      </c>
      <c r="Q34" s="1">
        <v>1</v>
      </c>
      <c r="R34" s="7">
        <v>7.9299999999999995E-2</v>
      </c>
      <c r="S34">
        <v>10102.714</v>
      </c>
      <c r="T34">
        <v>822</v>
      </c>
      <c r="U34">
        <v>12.290406000000001</v>
      </c>
      <c r="V34">
        <v>8.4700290000000003</v>
      </c>
      <c r="W34">
        <v>1.364325</v>
      </c>
      <c r="Y34" s="1">
        <v>1</v>
      </c>
      <c r="Z34" s="7">
        <v>7.9299999999999995E-2</v>
      </c>
      <c r="AA34">
        <v>60549.925999999999</v>
      </c>
      <c r="AB34">
        <v>831</v>
      </c>
      <c r="AC34">
        <v>72.863929999999996</v>
      </c>
      <c r="AD34">
        <v>42.566394000000003</v>
      </c>
      <c r="AE34">
        <v>4.0658300000000001</v>
      </c>
    </row>
    <row r="35" spans="1:31">
      <c r="A35" s="1">
        <v>2</v>
      </c>
      <c r="B35" s="7">
        <v>6.1600000000000002E-2</v>
      </c>
      <c r="C35" s="2">
        <v>535.41700000000003</v>
      </c>
      <c r="D35" s="2">
        <v>616</v>
      </c>
      <c r="E35" s="2">
        <v>8.6918300000000003E-7</v>
      </c>
      <c r="F35" s="2">
        <v>9.3168600000000005E-7</v>
      </c>
      <c r="G35" s="2">
        <v>8.5710000000000011E-9</v>
      </c>
      <c r="I35" s="1">
        <v>2</v>
      </c>
      <c r="J35" s="7">
        <v>6.1600000000000002E-2</v>
      </c>
      <c r="K35" s="2">
        <v>254.613</v>
      </c>
      <c r="L35" s="2">
        <v>607</v>
      </c>
      <c r="M35" s="2">
        <v>4.1946099999999995E-7</v>
      </c>
      <c r="N35" s="2">
        <v>4.5815200000000001E-7</v>
      </c>
      <c r="O35" s="2">
        <v>8.7969999999999993E-9</v>
      </c>
      <c r="Q35" s="1">
        <v>2</v>
      </c>
      <c r="R35" s="7">
        <v>6.1600000000000002E-2</v>
      </c>
      <c r="S35">
        <v>733.52099999999996</v>
      </c>
      <c r="T35">
        <v>608</v>
      </c>
      <c r="U35">
        <v>1.2064490000000001</v>
      </c>
      <c r="V35">
        <v>1.443203</v>
      </c>
      <c r="W35">
        <v>9.9059E-8</v>
      </c>
      <c r="Y35" s="1">
        <v>2</v>
      </c>
      <c r="Z35" s="7">
        <v>6.1600000000000002E-2</v>
      </c>
      <c r="AA35">
        <v>2665.34</v>
      </c>
      <c r="AB35">
        <v>666</v>
      </c>
      <c r="AC35">
        <v>4.0020119999999997</v>
      </c>
      <c r="AD35">
        <v>2.9187970000000001</v>
      </c>
      <c r="AE35">
        <v>1.78973E-7</v>
      </c>
    </row>
    <row r="36" spans="1:31">
      <c r="A36" s="1">
        <v>3</v>
      </c>
      <c r="B36" s="7">
        <v>9.0300000000000005E-2</v>
      </c>
      <c r="C36" s="2">
        <v>112051.011</v>
      </c>
      <c r="D36" s="2">
        <v>956</v>
      </c>
      <c r="E36" s="2">
        <v>117.20817099999999</v>
      </c>
      <c r="F36" s="2">
        <v>163.155598</v>
      </c>
      <c r="G36" s="2">
        <v>1.7937620000000001</v>
      </c>
      <c r="I36" s="1">
        <v>3</v>
      </c>
      <c r="J36" s="7">
        <v>9.0300000000000005E-2</v>
      </c>
      <c r="K36" s="2">
        <v>6078.9939999999997</v>
      </c>
      <c r="L36" s="2">
        <v>954</v>
      </c>
      <c r="M36" s="2">
        <v>6.3721110000000003</v>
      </c>
      <c r="N36" s="2">
        <v>6.0734680000000001</v>
      </c>
      <c r="O36" s="2">
        <v>2.1003799999999999E-7</v>
      </c>
      <c r="Q36" s="1">
        <v>3</v>
      </c>
      <c r="R36" s="7">
        <v>9.0300000000000005E-2</v>
      </c>
      <c r="S36">
        <v>46837.082999999999</v>
      </c>
      <c r="T36">
        <v>863</v>
      </c>
      <c r="U36">
        <v>54.272402</v>
      </c>
      <c r="V36">
        <v>69.290690999999995</v>
      </c>
      <c r="W36">
        <v>6.325132</v>
      </c>
      <c r="Y36" s="1">
        <v>3</v>
      </c>
      <c r="Z36" s="7">
        <v>9.0300000000000005E-2</v>
      </c>
      <c r="AA36">
        <v>18227.59</v>
      </c>
      <c r="AB36">
        <v>955</v>
      </c>
      <c r="AC36">
        <v>19.086482</v>
      </c>
      <c r="AD36">
        <v>25.383277</v>
      </c>
      <c r="AE36">
        <v>1.2239530000000001</v>
      </c>
    </row>
    <row r="37" spans="1:31">
      <c r="A37" s="1">
        <v>4</v>
      </c>
      <c r="B37" s="7">
        <v>7.6700000000000004E-2</v>
      </c>
      <c r="C37" s="2">
        <v>426870.788</v>
      </c>
      <c r="D37" s="2">
        <v>803</v>
      </c>
      <c r="E37" s="2">
        <v>531.59500400000002</v>
      </c>
      <c r="F37" s="2">
        <v>213.16259099999999</v>
      </c>
      <c r="G37" s="2">
        <v>6.8335359999999996</v>
      </c>
      <c r="I37" s="1">
        <v>4</v>
      </c>
      <c r="J37" s="7">
        <v>7.6700000000000004E-2</v>
      </c>
      <c r="K37" s="2">
        <v>99561.641000000003</v>
      </c>
      <c r="L37" s="2">
        <v>807</v>
      </c>
      <c r="M37" s="2">
        <v>123.372542</v>
      </c>
      <c r="N37" s="2">
        <v>296.18137200000001</v>
      </c>
      <c r="O37" s="2">
        <v>3.4399929999999999</v>
      </c>
      <c r="Q37" s="1">
        <v>4</v>
      </c>
      <c r="R37" s="7">
        <v>7.6700000000000004E-2</v>
      </c>
      <c r="S37">
        <v>3620.0160000000001</v>
      </c>
      <c r="T37">
        <v>829</v>
      </c>
      <c r="U37">
        <v>4.3667259999999999</v>
      </c>
      <c r="V37">
        <v>9.7993369999999995</v>
      </c>
      <c r="W37">
        <v>4.88866E-7</v>
      </c>
      <c r="Y37" s="1">
        <v>4</v>
      </c>
      <c r="Z37" s="7">
        <v>7.6700000000000004E-2</v>
      </c>
      <c r="AA37">
        <v>393686.35800000001</v>
      </c>
      <c r="AB37">
        <v>761</v>
      </c>
      <c r="AC37">
        <v>517.32767100000001</v>
      </c>
      <c r="AD37">
        <v>208.58052599999999</v>
      </c>
      <c r="AE37">
        <v>26.435404999999999</v>
      </c>
    </row>
    <row r="38" spans="1:31">
      <c r="A38" s="1">
        <v>5</v>
      </c>
      <c r="B38" s="7">
        <v>1.4200000000000001E-2</v>
      </c>
      <c r="C38" s="2">
        <v>4.931</v>
      </c>
      <c r="D38" s="2">
        <v>139</v>
      </c>
      <c r="E38" s="2">
        <v>3.5474999999999998E-8</v>
      </c>
      <c r="F38" s="2">
        <v>2.7178E-8</v>
      </c>
      <c r="G38" s="2">
        <v>7.8999999999999999E-11</v>
      </c>
      <c r="I38" s="1">
        <v>5</v>
      </c>
      <c r="J38" s="7">
        <v>1.4200000000000001E-2</v>
      </c>
      <c r="K38" s="2">
        <v>5.3159999999999998</v>
      </c>
      <c r="L38" s="2">
        <v>142</v>
      </c>
      <c r="M38" s="2">
        <v>3.7437E-8</v>
      </c>
      <c r="N38" s="2">
        <v>2.3383999999999999E-8</v>
      </c>
      <c r="O38" s="2">
        <v>1.8400000000000001E-10</v>
      </c>
      <c r="Q38" s="1">
        <v>5</v>
      </c>
      <c r="R38" s="7">
        <v>1.4200000000000001E-2</v>
      </c>
      <c r="S38">
        <v>3.4289999999999998</v>
      </c>
      <c r="T38">
        <v>148</v>
      </c>
      <c r="U38">
        <v>2.3168999999999997E-8</v>
      </c>
      <c r="V38">
        <v>1.6193999999999999E-8</v>
      </c>
      <c r="W38">
        <v>4.63E-10</v>
      </c>
      <c r="Y38" s="1">
        <v>5</v>
      </c>
      <c r="Z38" s="7">
        <v>1.4200000000000001E-2</v>
      </c>
      <c r="AA38">
        <v>1.722</v>
      </c>
      <c r="AB38">
        <v>154</v>
      </c>
      <c r="AC38">
        <v>1.1181999999999999E-8</v>
      </c>
      <c r="AD38">
        <v>4.7630000000000002E-9</v>
      </c>
      <c r="AE38">
        <v>1.16E-10</v>
      </c>
    </row>
    <row r="39" spans="1:31">
      <c r="A39" s="1">
        <v>6</v>
      </c>
      <c r="B39" s="7">
        <v>0.38009999999999999</v>
      </c>
      <c r="C39" s="2">
        <v>636.73699999999997</v>
      </c>
      <c r="D39" s="2">
        <v>3886</v>
      </c>
      <c r="E39" s="2">
        <v>1.6385400000000001E-7</v>
      </c>
      <c r="F39" s="2">
        <v>1.6594600000000002E-7</v>
      </c>
      <c r="G39" s="2">
        <v>1.0193000000000001E-8</v>
      </c>
      <c r="I39" s="1">
        <v>6</v>
      </c>
      <c r="J39" s="7">
        <v>0.38009999999999999</v>
      </c>
      <c r="K39" s="2">
        <v>757.43399999999997</v>
      </c>
      <c r="L39" s="2">
        <v>3964</v>
      </c>
      <c r="M39" s="2">
        <v>1.9107799999999999E-7</v>
      </c>
      <c r="N39" s="2">
        <v>1.6928299999999999E-7</v>
      </c>
      <c r="O39" s="2">
        <v>2.6169999999999999E-8</v>
      </c>
      <c r="Q39" s="1">
        <v>6</v>
      </c>
      <c r="R39" s="7">
        <v>0.38009999999999999</v>
      </c>
      <c r="S39">
        <v>938.97500000000002</v>
      </c>
      <c r="T39">
        <v>4079</v>
      </c>
      <c r="U39">
        <v>2.3019700000000001E-7</v>
      </c>
      <c r="V39">
        <v>1.7263400000000001E-7</v>
      </c>
      <c r="W39">
        <v>1.26804E-7</v>
      </c>
      <c r="Y39" s="1">
        <v>6</v>
      </c>
      <c r="Z39" s="7">
        <v>0.38009999999999999</v>
      </c>
      <c r="AA39">
        <v>165.273</v>
      </c>
      <c r="AB39">
        <v>4047</v>
      </c>
      <c r="AC39">
        <v>4.0837999999999998E-8</v>
      </c>
      <c r="AD39">
        <v>6.4435000000000008E-8</v>
      </c>
      <c r="AE39">
        <v>1.1098E-8</v>
      </c>
    </row>
    <row r="40" spans="1:31">
      <c r="A40" s="1">
        <v>7</v>
      </c>
      <c r="B40" s="7">
        <v>4.53E-2</v>
      </c>
      <c r="C40" s="2">
        <v>4786249.92</v>
      </c>
      <c r="D40" s="2">
        <v>483</v>
      </c>
      <c r="E40" s="2">
        <v>9909.4201240000002</v>
      </c>
      <c r="F40" s="2">
        <v>4050.822917</v>
      </c>
      <c r="G40" s="2">
        <v>76.620407</v>
      </c>
      <c r="I40" s="1">
        <v>7</v>
      </c>
      <c r="J40" s="7">
        <v>4.53E-2</v>
      </c>
      <c r="K40" s="2">
        <v>1812630.284</v>
      </c>
      <c r="L40" s="2">
        <v>496</v>
      </c>
      <c r="M40" s="2">
        <v>3654.4965400000001</v>
      </c>
      <c r="N40" s="2">
        <v>1364.9548030000001</v>
      </c>
      <c r="O40" s="2">
        <v>62.628891000000003</v>
      </c>
      <c r="Q40" s="1">
        <v>7</v>
      </c>
      <c r="R40" s="7">
        <v>4.53E-2</v>
      </c>
      <c r="S40">
        <v>254725.171</v>
      </c>
      <c r="T40">
        <v>463</v>
      </c>
      <c r="U40">
        <v>550.16235600000005</v>
      </c>
      <c r="V40">
        <v>983.88583200000005</v>
      </c>
      <c r="W40">
        <v>34.399461000000002</v>
      </c>
      <c r="Y40" s="1">
        <v>7</v>
      </c>
      <c r="Z40" s="7">
        <v>4.53E-2</v>
      </c>
      <c r="AA40">
        <v>692063.41500000004</v>
      </c>
      <c r="AB40">
        <v>451</v>
      </c>
      <c r="AC40">
        <v>1534.508681</v>
      </c>
      <c r="AD40">
        <v>2174.2692269999998</v>
      </c>
      <c r="AE40">
        <v>46.470942999999998</v>
      </c>
    </row>
    <row r="41" spans="1:31">
      <c r="A41" s="1">
        <v>8</v>
      </c>
      <c r="B41" s="7">
        <v>8.2000000000000003E-2</v>
      </c>
      <c r="C41" s="2">
        <v>173.809</v>
      </c>
      <c r="D41" s="2">
        <v>895</v>
      </c>
      <c r="E41" s="2">
        <v>1.9420000000000001E-7</v>
      </c>
      <c r="F41" s="2">
        <v>2.08083E-7</v>
      </c>
      <c r="G41" s="2">
        <v>2.7820000000000001E-9</v>
      </c>
      <c r="I41" s="1">
        <v>8</v>
      </c>
      <c r="J41" s="7">
        <v>8.2000000000000003E-2</v>
      </c>
      <c r="K41" s="2">
        <v>153.70699999999999</v>
      </c>
      <c r="L41" s="2">
        <v>902</v>
      </c>
      <c r="M41" s="2">
        <v>1.70407E-7</v>
      </c>
      <c r="N41" s="2">
        <v>1.5755E-7</v>
      </c>
      <c r="O41" s="2">
        <v>5.3109999999999995E-9</v>
      </c>
      <c r="Q41" s="1">
        <v>8</v>
      </c>
      <c r="R41" s="7">
        <v>8.2000000000000003E-2</v>
      </c>
      <c r="S41">
        <v>183.233</v>
      </c>
      <c r="T41">
        <v>858</v>
      </c>
      <c r="U41">
        <v>2.1355799999999999E-7</v>
      </c>
      <c r="V41">
        <v>1.8099199999999998E-7</v>
      </c>
      <c r="W41">
        <v>2.4745000000000001E-8</v>
      </c>
      <c r="Y41" s="1">
        <v>8</v>
      </c>
      <c r="Z41" s="7">
        <v>8.2000000000000003E-2</v>
      </c>
      <c r="AA41">
        <v>14.778</v>
      </c>
      <c r="AB41">
        <v>804</v>
      </c>
      <c r="AC41">
        <v>1.8381000000000001E-8</v>
      </c>
      <c r="AD41">
        <v>1.9748000000000003E-8</v>
      </c>
      <c r="AE41">
        <v>9.9200000000000009E-10</v>
      </c>
    </row>
    <row r="42" spans="1:31">
      <c r="A42" s="1">
        <v>9</v>
      </c>
      <c r="B42" s="7">
        <v>6.1000000000000004E-3</v>
      </c>
      <c r="C42" s="2">
        <v>118452.363</v>
      </c>
      <c r="D42" s="2">
        <v>72</v>
      </c>
      <c r="E42" s="2">
        <v>1645.1717080000001</v>
      </c>
      <c r="F42" s="2">
        <v>498.36442199999999</v>
      </c>
      <c r="G42" s="2">
        <v>1.8962380000000001</v>
      </c>
      <c r="I42" s="1">
        <v>9</v>
      </c>
      <c r="J42" s="7">
        <v>6.1000000000000004E-3</v>
      </c>
      <c r="K42" s="2">
        <v>178472.39</v>
      </c>
      <c r="L42" s="2">
        <v>66</v>
      </c>
      <c r="M42" s="2">
        <v>2704.127121</v>
      </c>
      <c r="N42" s="2">
        <v>1089.722935</v>
      </c>
      <c r="O42" s="2">
        <v>6.1664690000000002</v>
      </c>
      <c r="Q42" s="1">
        <v>9</v>
      </c>
      <c r="R42" s="7">
        <v>6.1000000000000004E-3</v>
      </c>
      <c r="S42">
        <v>3393.6550000000002</v>
      </c>
      <c r="T42">
        <v>62</v>
      </c>
      <c r="U42" s="2">
        <v>54.736370999999998</v>
      </c>
      <c r="V42">
        <v>99.199455</v>
      </c>
      <c r="W42">
        <v>4.5829699999999999E-7</v>
      </c>
      <c r="Y42" s="1">
        <v>9</v>
      </c>
      <c r="Z42" s="7">
        <v>6.1000000000000004E-3</v>
      </c>
      <c r="AA42">
        <v>59771.34</v>
      </c>
      <c r="AB42">
        <v>67</v>
      </c>
      <c r="AC42" s="2">
        <v>892.10955200000001</v>
      </c>
      <c r="AD42">
        <v>1722.465989</v>
      </c>
      <c r="AE42">
        <v>4.0135490000000003</v>
      </c>
    </row>
    <row r="43" spans="1:31">
      <c r="A43" s="1">
        <v>10</v>
      </c>
      <c r="B43" s="7">
        <v>5.4999999999999997E-3</v>
      </c>
      <c r="C43" s="2">
        <v>116362.038</v>
      </c>
      <c r="D43" s="2">
        <v>70</v>
      </c>
      <c r="E43" s="2">
        <v>1662.3148289999999</v>
      </c>
      <c r="F43" s="2">
        <v>480.93154500000003</v>
      </c>
      <c r="G43" s="2">
        <v>1.8627750000000001</v>
      </c>
      <c r="I43" s="1">
        <v>10</v>
      </c>
      <c r="J43" s="7">
        <v>5.4999999999999997E-3</v>
      </c>
      <c r="K43" s="2">
        <v>151989.21299999999</v>
      </c>
      <c r="L43" s="2">
        <v>56</v>
      </c>
      <c r="M43" s="2">
        <v>2714.093089</v>
      </c>
      <c r="N43" s="2">
        <v>864.30380500000001</v>
      </c>
      <c r="O43" s="2">
        <v>5.2514380000000003</v>
      </c>
      <c r="Q43" s="1">
        <v>10</v>
      </c>
      <c r="R43" s="7">
        <v>5.4999999999999997E-3</v>
      </c>
      <c r="S43">
        <v>2795.0509999999999</v>
      </c>
      <c r="T43">
        <v>65</v>
      </c>
      <c r="U43">
        <v>43.000785</v>
      </c>
      <c r="V43">
        <v>19.369022999999999</v>
      </c>
      <c r="W43">
        <v>3.7745899999999997E-7</v>
      </c>
      <c r="Y43" s="1">
        <v>10</v>
      </c>
      <c r="Z43" s="7">
        <v>5.4999999999999997E-3</v>
      </c>
      <c r="AA43">
        <v>16288.583000000001</v>
      </c>
      <c r="AB43">
        <v>49</v>
      </c>
      <c r="AC43">
        <v>332.42006099999998</v>
      </c>
      <c r="AD43">
        <v>268.87516699999998</v>
      </c>
      <c r="AE43">
        <v>1.0937520000000001</v>
      </c>
    </row>
    <row r="44" spans="1:31">
      <c r="A44" s="1">
        <v>11</v>
      </c>
      <c r="B44" s="7">
        <v>9.7000000000000003E-3</v>
      </c>
      <c r="C44" s="2">
        <v>83629.521999999997</v>
      </c>
      <c r="D44" s="2">
        <v>102</v>
      </c>
      <c r="E44" s="2">
        <v>819.89727500000004</v>
      </c>
      <c r="F44" s="2">
        <v>14.50006</v>
      </c>
      <c r="G44" s="2">
        <v>1.338778</v>
      </c>
      <c r="I44" s="1">
        <v>11</v>
      </c>
      <c r="J44" s="7">
        <v>9.7000000000000003E-3</v>
      </c>
      <c r="K44" s="2">
        <v>28401.687000000002</v>
      </c>
      <c r="L44" s="2">
        <v>86</v>
      </c>
      <c r="M44" s="2">
        <v>330.25217400000002</v>
      </c>
      <c r="N44" s="2">
        <v>12.928972</v>
      </c>
      <c r="O44" s="2">
        <v>9.8131800000000011E-7</v>
      </c>
      <c r="Q44" s="1">
        <v>11</v>
      </c>
      <c r="R44" s="7">
        <v>9.7000000000000003E-3</v>
      </c>
      <c r="S44">
        <v>672.20699999999999</v>
      </c>
      <c r="T44">
        <v>101</v>
      </c>
      <c r="U44">
        <v>6.6555150000000003</v>
      </c>
      <c r="V44">
        <v>4.3190879999999998</v>
      </c>
      <c r="W44">
        <v>9.0777999999999994E-8</v>
      </c>
      <c r="Y44" s="1">
        <v>11</v>
      </c>
      <c r="Z44" s="7">
        <v>9.7000000000000003E-3</v>
      </c>
      <c r="AA44">
        <v>18304.471000000001</v>
      </c>
      <c r="AB44">
        <v>84</v>
      </c>
      <c r="AC44">
        <v>217.910369</v>
      </c>
      <c r="AD44">
        <v>8.5535709999999998</v>
      </c>
      <c r="AE44">
        <v>1.2291160000000001</v>
      </c>
    </row>
    <row r="45" spans="1:31">
      <c r="A45" s="1">
        <v>12</v>
      </c>
      <c r="B45" s="7">
        <v>6.1999999999999998E-3</v>
      </c>
      <c r="C45" s="2">
        <v>101664.01300000001</v>
      </c>
      <c r="D45" s="2">
        <v>64</v>
      </c>
      <c r="E45" s="2">
        <v>1588.5002030000001</v>
      </c>
      <c r="F45" s="2">
        <v>517.03240700000003</v>
      </c>
      <c r="G45" s="2">
        <v>1.627483</v>
      </c>
      <c r="I45" s="1">
        <v>12</v>
      </c>
      <c r="J45" s="7">
        <v>6.1999999999999998E-3</v>
      </c>
      <c r="K45" s="2">
        <v>171736.848</v>
      </c>
      <c r="L45" s="2">
        <v>68</v>
      </c>
      <c r="M45" s="2">
        <v>2525.541882</v>
      </c>
      <c r="N45" s="2">
        <v>510.99542000000002</v>
      </c>
      <c r="O45" s="2">
        <v>5.9337460000000002</v>
      </c>
      <c r="Q45" s="1">
        <v>12</v>
      </c>
      <c r="R45" s="7">
        <v>6.1999999999999998E-3</v>
      </c>
      <c r="S45">
        <v>4781.982</v>
      </c>
      <c r="T45">
        <v>70</v>
      </c>
      <c r="U45">
        <v>68.314029000000005</v>
      </c>
      <c r="V45">
        <v>12.51304</v>
      </c>
      <c r="W45">
        <v>6.4578500000000004E-7</v>
      </c>
      <c r="Y45" s="1">
        <v>12</v>
      </c>
      <c r="Z45" s="7">
        <v>6.1999999999999998E-3</v>
      </c>
      <c r="AA45">
        <v>36005.421999999999</v>
      </c>
      <c r="AB45">
        <v>73</v>
      </c>
      <c r="AC45">
        <v>493.22495900000001</v>
      </c>
      <c r="AD45">
        <v>196.06330299999999</v>
      </c>
      <c r="AE45">
        <v>2.4177059999999999</v>
      </c>
    </row>
    <row r="46" spans="1:31">
      <c r="A46" s="1">
        <v>13</v>
      </c>
      <c r="B46" s="7">
        <v>6.1000000000000004E-3</v>
      </c>
      <c r="C46" s="2">
        <v>484645.576</v>
      </c>
      <c r="D46" s="2">
        <v>91</v>
      </c>
      <c r="E46" s="2">
        <v>5325.77556</v>
      </c>
      <c r="F46" s="2">
        <v>1694.139874</v>
      </c>
      <c r="G46" s="2">
        <v>7.7584210000000002</v>
      </c>
      <c r="I46" s="1">
        <v>13</v>
      </c>
      <c r="J46" s="7">
        <v>6.1000000000000004E-3</v>
      </c>
      <c r="K46" s="2">
        <v>143296.30600000001</v>
      </c>
      <c r="L46" s="2">
        <v>56</v>
      </c>
      <c r="M46" s="2">
        <v>2558.862607</v>
      </c>
      <c r="N46" s="2">
        <v>466.26275900000002</v>
      </c>
      <c r="O46" s="2">
        <v>4.9510860000000001</v>
      </c>
      <c r="Q46" s="1">
        <v>13</v>
      </c>
      <c r="R46" s="7">
        <v>6.1000000000000004E-3</v>
      </c>
      <c r="S46">
        <v>406167.18300000002</v>
      </c>
      <c r="T46">
        <v>73</v>
      </c>
      <c r="U46">
        <v>5563.9340140000004</v>
      </c>
      <c r="V46">
        <v>19783.101938</v>
      </c>
      <c r="W46">
        <v>54.851007000000003</v>
      </c>
      <c r="Y46" s="1">
        <v>13</v>
      </c>
      <c r="Z46" s="7">
        <v>6.1000000000000004E-3</v>
      </c>
      <c r="AA46">
        <v>189375.21299999999</v>
      </c>
      <c r="AB46">
        <v>71</v>
      </c>
      <c r="AC46">
        <v>2667.2565209999998</v>
      </c>
      <c r="AD46">
        <v>4253.3020630000001</v>
      </c>
      <c r="AE46">
        <v>12.716240000000001</v>
      </c>
    </row>
    <row r="47" spans="1:31">
      <c r="A47" s="1">
        <v>14</v>
      </c>
      <c r="B47" s="7">
        <v>1.6199999999999999E-2</v>
      </c>
      <c r="C47" s="2">
        <v>1029.6790000000001</v>
      </c>
      <c r="D47" s="2">
        <v>165</v>
      </c>
      <c r="E47" s="2">
        <v>6.2404789999999997</v>
      </c>
      <c r="F47" s="2">
        <v>5.4604229999999996</v>
      </c>
      <c r="G47" s="2">
        <v>1.6483999999999997E-8</v>
      </c>
      <c r="I47" s="1">
        <v>14</v>
      </c>
      <c r="J47" s="7">
        <v>1.6199999999999999E-2</v>
      </c>
      <c r="K47" s="2">
        <v>952.86699999999996</v>
      </c>
      <c r="L47" s="2">
        <v>152</v>
      </c>
      <c r="M47" s="2">
        <v>6.2688620000000004</v>
      </c>
      <c r="N47" s="2">
        <v>5.4402020000000002</v>
      </c>
      <c r="O47" s="2">
        <v>3.2923000000000003E-8</v>
      </c>
      <c r="Q47" s="1">
        <v>14</v>
      </c>
      <c r="R47" s="7">
        <v>1.6199999999999999E-2</v>
      </c>
      <c r="S47">
        <v>74.179000000000002</v>
      </c>
      <c r="T47">
        <v>159</v>
      </c>
      <c r="U47">
        <v>4.6653499999999996E-7</v>
      </c>
      <c r="V47">
        <v>7.9882900000000004E-7</v>
      </c>
      <c r="W47">
        <v>1.0018000000000001E-8</v>
      </c>
      <c r="Y47" s="1">
        <v>14</v>
      </c>
      <c r="Z47" s="7">
        <v>1.6199999999999999E-2</v>
      </c>
      <c r="AA47">
        <v>787.41099999999994</v>
      </c>
      <c r="AB47">
        <v>169</v>
      </c>
      <c r="AC47">
        <v>4.6592370000000001</v>
      </c>
      <c r="AD47">
        <v>2.9970650000000001</v>
      </c>
      <c r="AE47">
        <v>5.2873000000000006E-8</v>
      </c>
    </row>
    <row r="48" spans="1:31">
      <c r="A48" s="1">
        <v>15</v>
      </c>
      <c r="B48" s="7">
        <v>7.6899999999999996E-2</v>
      </c>
      <c r="C48" s="2">
        <v>7311.26</v>
      </c>
      <c r="D48" s="2">
        <v>864</v>
      </c>
      <c r="E48" s="2">
        <v>8.4621060000000003</v>
      </c>
      <c r="F48" s="2">
        <v>5.9198690000000003</v>
      </c>
      <c r="G48" s="2">
        <v>1.17042E-7</v>
      </c>
      <c r="I48" s="1">
        <v>15</v>
      </c>
      <c r="J48" s="7">
        <v>7.6899999999999996E-2</v>
      </c>
      <c r="K48" s="2">
        <v>7351.2960000000003</v>
      </c>
      <c r="L48" s="2">
        <v>798</v>
      </c>
      <c r="M48" s="2">
        <v>9.2121499999999994</v>
      </c>
      <c r="N48" s="2">
        <v>6.0061239999999998</v>
      </c>
      <c r="O48" s="2">
        <v>2.5399699999999999E-7</v>
      </c>
      <c r="Q48" s="1">
        <v>15</v>
      </c>
      <c r="R48" s="7">
        <v>7.6899999999999996E-2</v>
      </c>
      <c r="S48">
        <v>5463.357</v>
      </c>
      <c r="T48">
        <v>800</v>
      </c>
      <c r="U48">
        <v>6.8291959999999996</v>
      </c>
      <c r="V48">
        <v>4.8871390000000003</v>
      </c>
      <c r="W48">
        <v>7.3780100000000008E-7</v>
      </c>
      <c r="Y48" s="1">
        <v>15</v>
      </c>
      <c r="Z48" s="7">
        <v>7.6899999999999996E-2</v>
      </c>
      <c r="AA48">
        <v>1332.163</v>
      </c>
      <c r="AB48">
        <v>818</v>
      </c>
      <c r="AC48">
        <v>1.6285609999999999</v>
      </c>
      <c r="AD48">
        <v>3.595958</v>
      </c>
      <c r="AE48">
        <v>8.9453E-8</v>
      </c>
    </row>
    <row r="49" spans="5:29">
      <c r="E49" s="10">
        <f>SUMPRODUCT(B34:B48,E34:E48)</f>
        <v>571.18080275875081</v>
      </c>
      <c r="M49" s="10">
        <f>SUMPRODUCT(J40:J48,M40:M48)</f>
        <v>232.25221826187337</v>
      </c>
      <c r="U49" s="10">
        <f>SUMPRODUCT(R40:R48,U40:U48)</f>
        <v>60.446019065569629</v>
      </c>
      <c r="AC49" s="10">
        <f>SUMPRODUCT(Z40:Z48,AC40:AC48)</f>
        <v>98.426127937007251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BBE08-8D6C-418A-913D-957647996473}">
  <dimension ref="A1:O24"/>
  <sheetViews>
    <sheetView zoomScale="115" zoomScaleNormal="115" workbookViewId="0">
      <selection activeCell="L8" sqref="L8"/>
    </sheetView>
  </sheetViews>
  <sheetFormatPr defaultColWidth="8.75" defaultRowHeight="14"/>
  <cols>
    <col min="1" max="1" width="15.4140625" style="12" bestFit="1" customWidth="1"/>
    <col min="2" max="2" width="12.1640625" style="12" bestFit="1" customWidth="1"/>
    <col min="3" max="3" width="13.83203125" style="12" bestFit="1" customWidth="1"/>
    <col min="4" max="4" width="15.1640625" style="12" customWidth="1"/>
    <col min="5" max="5" width="3" style="12" customWidth="1"/>
    <col min="6" max="6" width="14" style="12" bestFit="1" customWidth="1"/>
    <col min="7" max="7" width="15" style="12" customWidth="1"/>
    <col min="8" max="8" width="14.75" style="12" bestFit="1" customWidth="1"/>
    <col min="9" max="9" width="13.4140625" style="12" customWidth="1"/>
    <col min="10" max="10" width="3.1640625" style="12" customWidth="1"/>
    <col min="11" max="11" width="22.1640625" style="12" bestFit="1" customWidth="1"/>
    <col min="12" max="12" width="11.16406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640625" style="12" bestFit="1" customWidth="1"/>
    <col min="18" max="18" width="11.25" style="12" bestFit="1" customWidth="1"/>
    <col min="19" max="20" width="9.25" style="12" bestFit="1" customWidth="1"/>
    <col min="21" max="16384" width="8.75" style="12"/>
  </cols>
  <sheetData>
    <row r="1" spans="1:15" ht="28">
      <c r="A1" s="13" t="s">
        <v>22</v>
      </c>
      <c r="C1" s="19" t="s">
        <v>13</v>
      </c>
      <c r="D1" s="23" t="s">
        <v>35</v>
      </c>
      <c r="E1" s="13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2">
      <c r="A6" s="13" t="s">
        <v>36</v>
      </c>
      <c r="B6" s="13" t="s">
        <v>16</v>
      </c>
      <c r="C6" s="13" t="s">
        <v>39</v>
      </c>
      <c r="D6" s="13" t="s">
        <v>38</v>
      </c>
      <c r="E6" s="13"/>
      <c r="F6" s="13" t="s">
        <v>40</v>
      </c>
      <c r="G6" s="13" t="s">
        <v>41</v>
      </c>
      <c r="K6" s="13" t="s">
        <v>20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1x'!E30</f>
        <v>63.706097233782849</v>
      </c>
      <c r="C7" s="20">
        <f>$B7*C$3/1000</f>
        <v>637.0609723378285</v>
      </c>
      <c r="D7" s="22">
        <f>$B7*D$3/1000</f>
        <v>94866.405749354119</v>
      </c>
      <c r="E7" s="25"/>
      <c r="F7" s="21">
        <f>C7/60</f>
        <v>10.617682872297141</v>
      </c>
      <c r="G7" s="24">
        <f>D7/60</f>
        <v>1581.1067624892353</v>
      </c>
      <c r="H7" s="16"/>
      <c r="I7" s="16"/>
      <c r="J7" s="16"/>
    </row>
    <row r="8" spans="1:15">
      <c r="A8" s="12" t="s">
        <v>15</v>
      </c>
      <c r="B8" s="14">
        <f>'Query 1x'!M30</f>
        <v>1.9851296588372636</v>
      </c>
      <c r="C8" s="20">
        <f>$B8*C$3/1000</f>
        <v>19.851296588372637</v>
      </c>
      <c r="D8" s="22">
        <f>$B8*D$3/1000</f>
        <v>2956.1081883456991</v>
      </c>
      <c r="E8" s="25"/>
      <c r="F8" s="21">
        <f>C8/60</f>
        <v>0.33085494313954394</v>
      </c>
      <c r="G8" s="24">
        <f>D8/60</f>
        <v>49.268469805761654</v>
      </c>
      <c r="H8" s="16"/>
      <c r="I8" s="16"/>
      <c r="J8" s="16"/>
      <c r="K8" s="12">
        <v>55.1</v>
      </c>
      <c r="L8" s="17">
        <f>K8*$D$24</f>
        <v>678281</v>
      </c>
      <c r="M8" s="15">
        <f>L8/60</f>
        <v>11304.683333333332</v>
      </c>
      <c r="N8" s="15">
        <f>M8/60</f>
        <v>188.41138888888887</v>
      </c>
      <c r="O8" s="15">
        <f>N8/24</f>
        <v>7.8504745370370363</v>
      </c>
    </row>
    <row r="10" spans="1:15" ht="42">
      <c r="A10" s="13" t="s">
        <v>37</v>
      </c>
      <c r="B10" s="13" t="s">
        <v>16</v>
      </c>
      <c r="C10" s="13" t="s">
        <v>39</v>
      </c>
      <c r="D10" s="13" t="s">
        <v>38</v>
      </c>
      <c r="E10" s="13"/>
      <c r="F10" s="13" t="s">
        <v>40</v>
      </c>
      <c r="G10" s="13" t="s">
        <v>41</v>
      </c>
      <c r="H10" s="13" t="s">
        <v>42</v>
      </c>
      <c r="I10" s="13" t="s">
        <v>43</v>
      </c>
      <c r="J10" s="13"/>
      <c r="K10" s="13" t="s">
        <v>21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1x'!E49</f>
        <v>571.18080275875081</v>
      </c>
      <c r="C11" s="20">
        <f t="shared" ref="C11:D13" si="0">$B11*C$4/1000</f>
        <v>5711.8080275875081</v>
      </c>
      <c r="D11" s="22">
        <f t="shared" si="0"/>
        <v>2069610.8089080299</v>
      </c>
      <c r="E11" s="25"/>
      <c r="F11" s="21">
        <f t="shared" ref="F11:G13" si="1">C11/60</f>
        <v>95.196800459791802</v>
      </c>
      <c r="G11" s="24">
        <f t="shared" si="1"/>
        <v>34493.513481800495</v>
      </c>
      <c r="H11" s="24">
        <f>G11/60</f>
        <v>574.89189136334164</v>
      </c>
      <c r="I11" s="24">
        <f>H11/24</f>
        <v>23.953828806805902</v>
      </c>
      <c r="J11" s="16"/>
      <c r="K11" s="18"/>
      <c r="L11" s="18"/>
      <c r="M11" s="18"/>
      <c r="N11" s="18"/>
      <c r="O11" s="18"/>
    </row>
    <row r="12" spans="1:15">
      <c r="A12" s="12" t="s">
        <v>18</v>
      </c>
      <c r="B12" s="14">
        <f>'Query 1x'!M49</f>
        <v>232.25221826187337</v>
      </c>
      <c r="C12" s="20">
        <f t="shared" si="0"/>
        <v>2322.5221826187335</v>
      </c>
      <c r="D12" s="22">
        <f t="shared" si="0"/>
        <v>841540.36512788944</v>
      </c>
      <c r="E12" s="25"/>
      <c r="F12" s="21">
        <f t="shared" si="1"/>
        <v>38.708703043645556</v>
      </c>
      <c r="G12" s="24">
        <f t="shared" si="1"/>
        <v>14025.672752131492</v>
      </c>
      <c r="H12" s="24">
        <f>G12/60</f>
        <v>233.76121253552486</v>
      </c>
      <c r="I12" s="24">
        <f>H12/24</f>
        <v>9.7400505223135365</v>
      </c>
      <c r="J12" s="16"/>
      <c r="K12" s="18"/>
      <c r="L12" s="18"/>
      <c r="M12" s="18"/>
      <c r="N12" s="18"/>
      <c r="O12" s="18"/>
    </row>
    <row r="13" spans="1:15">
      <c r="A13" s="12" t="s">
        <v>19</v>
      </c>
      <c r="B13" s="14">
        <f>'Query 1x'!U49</f>
        <v>60.446019065569629</v>
      </c>
      <c r="C13" s="20">
        <f t="shared" si="0"/>
        <v>604.46019065569635</v>
      </c>
      <c r="D13" s="22">
        <f t="shared" si="0"/>
        <v>219019.50102199437</v>
      </c>
      <c r="E13" s="25"/>
      <c r="F13" s="21">
        <f t="shared" si="1"/>
        <v>10.074336510928273</v>
      </c>
      <c r="G13" s="24">
        <f t="shared" si="1"/>
        <v>3650.3250170332394</v>
      </c>
      <c r="H13" s="24">
        <f>G13/60</f>
        <v>60.838750283887322</v>
      </c>
      <c r="I13" s="24">
        <f>H13/24</f>
        <v>2.5349479284953049</v>
      </c>
      <c r="J13" s="16"/>
      <c r="K13" s="18">
        <v>93</v>
      </c>
      <c r="L13" s="17">
        <f>K13*$D$24</f>
        <v>1144830</v>
      </c>
      <c r="M13" s="15">
        <f>L13/60</f>
        <v>19080.5</v>
      </c>
      <c r="N13" s="15">
        <f>M13/60</f>
        <v>318.00833333333333</v>
      </c>
      <c r="O13" s="15">
        <f>N13/24</f>
        <v>13.250347222222222</v>
      </c>
    </row>
    <row r="23" spans="1:7">
      <c r="A23" s="13" t="s">
        <v>26</v>
      </c>
      <c r="B23" s="13" t="s">
        <v>27</v>
      </c>
      <c r="C23" s="13" t="s">
        <v>28</v>
      </c>
      <c r="D23" s="13" t="s">
        <v>29</v>
      </c>
      <c r="E23" s="13"/>
      <c r="G23" s="13"/>
    </row>
    <row r="24" spans="1:7">
      <c r="A24" s="12" t="s">
        <v>30</v>
      </c>
      <c r="B24" s="12">
        <v>1231000000</v>
      </c>
      <c r="C24" s="12">
        <v>100000</v>
      </c>
      <c r="D24" s="17">
        <f>B24/C24</f>
        <v>12310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24097-27B2-4865-90BD-DFB4E26E291F}">
  <dimension ref="A1:AE49"/>
  <sheetViews>
    <sheetView topLeftCell="A28" zoomScaleNormal="100" workbookViewId="0">
      <selection activeCell="U49" sqref="U49"/>
    </sheetView>
  </sheetViews>
  <sheetFormatPr defaultColWidth="28.1640625" defaultRowHeight="14"/>
  <cols>
    <col min="1" max="1" width="7.83203125" customWidth="1"/>
    <col min="2" max="2" width="6.25" bestFit="1" customWidth="1"/>
    <col min="3" max="5" width="12.58203125" customWidth="1"/>
    <col min="6" max="6" width="12.58203125" hidden="1" customWidth="1"/>
    <col min="7" max="7" width="12.58203125" customWidth="1"/>
    <col min="8" max="8" width="4.83203125" customWidth="1"/>
    <col min="9" max="9" width="7.4140625" customWidth="1"/>
    <col min="10" max="10" width="6.4140625" bestFit="1" customWidth="1"/>
    <col min="11" max="13" width="11.83203125" customWidth="1"/>
    <col min="14" max="14" width="11.83203125" hidden="1" customWidth="1"/>
    <col min="15" max="15" width="11.83203125" customWidth="1"/>
    <col min="16" max="16" width="5.75" customWidth="1"/>
    <col min="17" max="18" width="6.75" customWidth="1"/>
    <col min="19" max="21" width="12.4140625" customWidth="1"/>
    <col min="22" max="22" width="12.4140625" hidden="1" customWidth="1"/>
    <col min="23" max="23" width="12.4140625" customWidth="1"/>
    <col min="24" max="24" width="6.33203125" customWidth="1"/>
    <col min="25" max="25" width="6.6640625" customWidth="1"/>
    <col min="26" max="26" width="6.4140625" bestFit="1" customWidth="1"/>
    <col min="27" max="29" width="11.58203125" customWidth="1"/>
    <col min="30" max="30" width="11.58203125" hidden="1" customWidth="1"/>
    <col min="31" max="31" width="11.58203125" customWidth="1"/>
  </cols>
  <sheetData>
    <row r="1" spans="1:7" ht="26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6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422.07400000000001</v>
      </c>
      <c r="D3" s="2">
        <v>606</v>
      </c>
      <c r="E3" s="4">
        <v>6.9649200000000001E-7</v>
      </c>
      <c r="F3" s="2">
        <v>5.1492200000000001E-7</v>
      </c>
      <c r="G3" s="2">
        <v>5.9945400000000004E-7</v>
      </c>
    </row>
    <row r="4" spans="1:7">
      <c r="A4" s="1">
        <v>2</v>
      </c>
      <c r="B4" s="7">
        <v>0.22459999999999999</v>
      </c>
      <c r="C4" s="2">
        <v>37755.192999999999</v>
      </c>
      <c r="D4" s="2">
        <v>229</v>
      </c>
      <c r="E4" s="4">
        <v>164.86983799999999</v>
      </c>
      <c r="F4" s="2">
        <v>81.929844000000003</v>
      </c>
      <c r="G4" s="2">
        <v>53.622110999999997</v>
      </c>
    </row>
    <row r="5" spans="1:7">
      <c r="A5" s="1">
        <v>3</v>
      </c>
      <c r="B5" s="7">
        <v>4.7500000000000001E-2</v>
      </c>
      <c r="C5" s="2">
        <v>9367.6059999999998</v>
      </c>
      <c r="D5" s="2">
        <v>44</v>
      </c>
      <c r="E5" s="4">
        <v>212.900136</v>
      </c>
      <c r="F5" s="2">
        <v>158.20355799999999</v>
      </c>
      <c r="G5" s="2">
        <v>13.304417000000001</v>
      </c>
    </row>
    <row r="6" spans="1:7">
      <c r="A6" s="1">
        <v>4</v>
      </c>
      <c r="B6" s="7">
        <v>0.114</v>
      </c>
      <c r="C6" s="2">
        <v>22864.569</v>
      </c>
      <c r="D6" s="2">
        <v>108</v>
      </c>
      <c r="E6" s="4">
        <v>211.70897199999999</v>
      </c>
      <c r="F6" s="2">
        <v>153.71595300000001</v>
      </c>
      <c r="G6" s="2">
        <v>32.473585</v>
      </c>
    </row>
    <row r="7" spans="1:7">
      <c r="A7" s="1">
        <v>5</v>
      </c>
      <c r="B7" s="7">
        <v>1.09E-2</v>
      </c>
      <c r="C7" s="2">
        <v>3.0499999999999999E-4</v>
      </c>
      <c r="D7" s="2">
        <v>13</v>
      </c>
      <c r="E7" s="4">
        <v>2.3461999999999999E-8</v>
      </c>
      <c r="F7" s="2">
        <v>1.1949E-8</v>
      </c>
      <c r="G7" s="2">
        <v>4.33E-10</v>
      </c>
    </row>
    <row r="8" spans="1:7">
      <c r="B8" s="8"/>
      <c r="E8" s="10">
        <f>SUMPRODUCT(B3:B7,E3:E7)</f>
        <v>71.277345303040406</v>
      </c>
    </row>
    <row r="9" spans="1:7">
      <c r="B9" s="8"/>
      <c r="E9" s="6"/>
    </row>
    <row r="10" spans="1:7" ht="26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6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617.27599999999995</v>
      </c>
      <c r="D12" s="3">
        <v>623</v>
      </c>
      <c r="E12" s="5">
        <v>9.9081200000000002E-7</v>
      </c>
      <c r="F12" s="3">
        <v>9.0683899999999996E-7</v>
      </c>
      <c r="G12" s="3">
        <v>10.401206</v>
      </c>
    </row>
    <row r="13" spans="1:7">
      <c r="A13" s="1">
        <v>2</v>
      </c>
      <c r="B13" s="7">
        <v>0.22459999999999999</v>
      </c>
      <c r="C13" s="2">
        <v>1902.6079999999999</v>
      </c>
      <c r="D13" s="3">
        <v>187</v>
      </c>
      <c r="E13" s="5">
        <v>10.174374</v>
      </c>
      <c r="F13" s="3">
        <v>8.9871020000000001</v>
      </c>
      <c r="G13" s="3">
        <v>32.059269</v>
      </c>
    </row>
    <row r="14" spans="1:7">
      <c r="A14" s="1">
        <v>3</v>
      </c>
      <c r="B14" s="7">
        <v>4.7500000000000001E-2</v>
      </c>
      <c r="C14" s="2">
        <v>768.80499999999995</v>
      </c>
      <c r="D14" s="3">
        <v>54</v>
      </c>
      <c r="E14" s="5">
        <v>14.237130000000001</v>
      </c>
      <c r="F14" s="3">
        <v>19.181145000000001</v>
      </c>
      <c r="G14" s="3">
        <v>12.954495</v>
      </c>
    </row>
    <row r="15" spans="1:7">
      <c r="A15" s="1">
        <v>4</v>
      </c>
      <c r="B15" s="7">
        <v>0.114</v>
      </c>
      <c r="C15" s="2">
        <v>2645.3760000000002</v>
      </c>
      <c r="D15" s="3">
        <v>122</v>
      </c>
      <c r="E15" s="5">
        <v>21.683409999999999</v>
      </c>
      <c r="F15" s="3">
        <v>20.490525999999999</v>
      </c>
      <c r="G15" s="3">
        <v>44.575037000000002</v>
      </c>
    </row>
    <row r="16" spans="1:7">
      <c r="A16" s="1">
        <v>5</v>
      </c>
      <c r="B16" s="7">
        <v>1.09E-2</v>
      </c>
      <c r="C16" s="2">
        <v>5.9299999999999999E-4</v>
      </c>
      <c r="D16" s="3">
        <v>14</v>
      </c>
      <c r="E16" s="5">
        <v>4.2357E-8</v>
      </c>
      <c r="F16" s="3">
        <v>2.2687E-8</v>
      </c>
      <c r="G16" s="3">
        <v>9.9919999999999994E-9</v>
      </c>
    </row>
    <row r="17" spans="1:31">
      <c r="B17" s="8"/>
      <c r="E17" s="10">
        <f>SUMPRODUCT(B12:B16,E12:E16)</f>
        <v>5.4333374133213272</v>
      </c>
    </row>
    <row r="18" spans="1:31">
      <c r="B18" s="8"/>
    </row>
    <row r="19" spans="1:31" ht="39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  <c r="Q19" s="1">
        <v>2013</v>
      </c>
      <c r="R19" s="1" t="s">
        <v>9</v>
      </c>
      <c r="S19" s="1" t="s">
        <v>0</v>
      </c>
      <c r="T19" s="1" t="s">
        <v>1</v>
      </c>
      <c r="U19" s="1" t="s">
        <v>2</v>
      </c>
      <c r="V19" s="1" t="s">
        <v>3</v>
      </c>
      <c r="W19" s="1" t="s">
        <v>4</v>
      </c>
    </row>
    <row r="20" spans="1:31" ht="26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  <c r="Q20" s="1" t="s">
        <v>5</v>
      </c>
      <c r="R20" s="9"/>
      <c r="S20" s="1"/>
      <c r="T20" s="1"/>
      <c r="U20" s="1"/>
      <c r="V20" s="1"/>
      <c r="W20" s="1"/>
    </row>
    <row r="21" spans="1:31">
      <c r="A21" s="1">
        <v>1</v>
      </c>
      <c r="B21" s="7">
        <v>0.1066</v>
      </c>
      <c r="C21" s="2">
        <v>1250.309</v>
      </c>
      <c r="D21" s="2">
        <v>1925</v>
      </c>
      <c r="E21" s="2">
        <v>6.4951099999999997E-7</v>
      </c>
      <c r="F21" s="2">
        <v>7.1566300000000002E-7</v>
      </c>
      <c r="G21" s="2">
        <v>1.17152E-7</v>
      </c>
      <c r="I21" s="1">
        <v>1</v>
      </c>
      <c r="J21" s="7">
        <v>0.1066</v>
      </c>
      <c r="K21" s="2">
        <v>1680.96</v>
      </c>
      <c r="L21" s="2">
        <v>1947</v>
      </c>
      <c r="M21" s="2">
        <v>8.63359E-7</v>
      </c>
      <c r="N21" s="2">
        <v>5.0766799999999999E-7</v>
      </c>
      <c r="O21" s="2">
        <v>5.2059319999999998</v>
      </c>
      <c r="Q21" s="1">
        <v>1</v>
      </c>
      <c r="R21" s="7">
        <v>0.1066</v>
      </c>
      <c r="S21" s="2">
        <v>1212.402</v>
      </c>
      <c r="T21" s="2">
        <v>1940</v>
      </c>
      <c r="U21" s="2">
        <v>6.2494900000000002E-7</v>
      </c>
      <c r="V21" s="2">
        <v>4.4747199999999997E-7</v>
      </c>
      <c r="W21" s="2">
        <v>2.48188E-7</v>
      </c>
    </row>
    <row r="22" spans="1:31">
      <c r="A22" s="1">
        <v>2</v>
      </c>
      <c r="B22" s="7">
        <v>1.3299999999999999E-2</v>
      </c>
      <c r="C22" s="2">
        <v>2465.7730000000001</v>
      </c>
      <c r="D22" s="2">
        <v>224</v>
      </c>
      <c r="E22" s="2">
        <v>11.007915000000001</v>
      </c>
      <c r="F22" s="2">
        <v>9.4221029999999999</v>
      </c>
      <c r="G22" s="2">
        <v>2.3103899999999998E-7</v>
      </c>
      <c r="I22" s="1">
        <v>2</v>
      </c>
      <c r="J22" s="7">
        <v>1.3299999999999999E-2</v>
      </c>
      <c r="K22" s="2">
        <v>4429.9830000000002</v>
      </c>
      <c r="L22" s="2">
        <v>247</v>
      </c>
      <c r="M22" s="2">
        <v>17.935154000000001</v>
      </c>
      <c r="N22" s="2">
        <v>9.336195</v>
      </c>
      <c r="O22" s="2">
        <v>13.719654999999999</v>
      </c>
      <c r="Q22" s="1">
        <v>2</v>
      </c>
      <c r="R22" s="7">
        <v>1.3299999999999999E-2</v>
      </c>
      <c r="S22" s="2">
        <v>64886.811000000002</v>
      </c>
      <c r="T22" s="2">
        <v>228</v>
      </c>
      <c r="U22" s="2">
        <v>284.59127599999999</v>
      </c>
      <c r="V22" s="2">
        <v>132.459373</v>
      </c>
      <c r="W22" s="2">
        <v>13.28285</v>
      </c>
    </row>
    <row r="23" spans="1:31">
      <c r="A23" s="1">
        <v>3</v>
      </c>
      <c r="B23" s="7">
        <v>0.14130000000000001</v>
      </c>
      <c r="C23" s="2">
        <v>1050905.8829999999</v>
      </c>
      <c r="D23" s="2">
        <v>2501</v>
      </c>
      <c r="E23" s="2">
        <v>420.194275</v>
      </c>
      <c r="F23" s="2">
        <v>225.007305</v>
      </c>
      <c r="G23" s="2">
        <v>98.468305000000001</v>
      </c>
      <c r="I23" s="1">
        <v>3</v>
      </c>
      <c r="J23" s="7">
        <v>0.14130000000000001</v>
      </c>
      <c r="K23" s="2">
        <v>19694.821</v>
      </c>
      <c r="L23" s="2">
        <v>2548</v>
      </c>
      <c r="M23" s="2">
        <v>7.7295220000000002</v>
      </c>
      <c r="N23" s="2">
        <v>4.6775010000000004</v>
      </c>
      <c r="O23" s="2">
        <v>60.99485</v>
      </c>
      <c r="Q23" s="1">
        <v>3</v>
      </c>
      <c r="R23" s="7">
        <v>0.14130000000000001</v>
      </c>
      <c r="S23" s="2">
        <v>422313.88299999997</v>
      </c>
      <c r="T23" s="2">
        <v>2654</v>
      </c>
      <c r="U23" s="2">
        <v>159.12354300000001</v>
      </c>
      <c r="V23" s="2">
        <v>89.085865999999996</v>
      </c>
      <c r="W23" s="2">
        <v>86.451036000000002</v>
      </c>
    </row>
    <row r="24" spans="1:31">
      <c r="A24" s="1">
        <v>4</v>
      </c>
      <c r="B24" s="7">
        <v>5.4699999999999999E-2</v>
      </c>
      <c r="C24" s="2">
        <v>806.48800000000006</v>
      </c>
      <c r="D24" s="2">
        <v>961</v>
      </c>
      <c r="E24" s="2">
        <v>8.3921699999999999E-7</v>
      </c>
      <c r="F24" s="2">
        <v>20.694286000000002</v>
      </c>
      <c r="G24" s="2">
        <v>7.5566999999999991E-8</v>
      </c>
      <c r="I24" s="1">
        <v>4</v>
      </c>
      <c r="J24" s="7">
        <v>5.4699999999999999E-2</v>
      </c>
      <c r="K24" s="2">
        <v>183.50700000000001</v>
      </c>
      <c r="L24" s="2">
        <v>1004</v>
      </c>
      <c r="M24" s="2">
        <v>1.82776E-7</v>
      </c>
      <c r="N24" s="2">
        <v>1.2611790000000001</v>
      </c>
      <c r="O24" s="2">
        <v>5.6832099999999997E-7</v>
      </c>
      <c r="Q24" s="1">
        <v>4</v>
      </c>
      <c r="R24" s="7">
        <v>5.4699999999999999E-2</v>
      </c>
      <c r="S24" s="2">
        <v>20.693000000000001</v>
      </c>
      <c r="T24" s="2">
        <v>979</v>
      </c>
      <c r="U24" s="2">
        <v>2.1136999999999999E-8</v>
      </c>
      <c r="V24" s="2">
        <v>1.2507000000000001E-8</v>
      </c>
      <c r="W24" s="2">
        <v>4.2359999999999998E-9</v>
      </c>
    </row>
    <row r="25" spans="1:31">
      <c r="A25" s="1">
        <v>5</v>
      </c>
      <c r="B25" s="7">
        <v>4.6800000000000001E-2</v>
      </c>
      <c r="C25" s="2">
        <v>22.492000000000001</v>
      </c>
      <c r="D25" s="2">
        <v>826</v>
      </c>
      <c r="E25" s="2">
        <v>2.723E-8</v>
      </c>
      <c r="F25" s="2">
        <v>1.9897000000000003E-8</v>
      </c>
      <c r="G25" s="2">
        <v>2.1069999999999999E-9</v>
      </c>
      <c r="I25" s="1">
        <v>5</v>
      </c>
      <c r="J25" s="7">
        <v>4.6800000000000001E-2</v>
      </c>
      <c r="K25" s="2">
        <v>615.68399999999997</v>
      </c>
      <c r="L25" s="2">
        <v>825</v>
      </c>
      <c r="M25" s="2">
        <v>7.4628399999999993E-7</v>
      </c>
      <c r="N25" s="2">
        <v>4.4372809999999996</v>
      </c>
      <c r="O25" s="2">
        <v>1.9067730000000001</v>
      </c>
      <c r="Q25" s="1">
        <v>5</v>
      </c>
      <c r="R25" s="7">
        <v>4.6800000000000001E-2</v>
      </c>
      <c r="S25" s="2">
        <v>8.91</v>
      </c>
      <c r="T25" s="2">
        <v>788</v>
      </c>
      <c r="U25" s="2">
        <v>1.1307E-8</v>
      </c>
      <c r="V25" s="2">
        <v>6.631E-9</v>
      </c>
      <c r="W25" s="2">
        <v>1.8240000000000001E-9</v>
      </c>
    </row>
    <row r="26" spans="1:31">
      <c r="A26" s="1">
        <v>6</v>
      </c>
      <c r="B26" s="7">
        <v>0.10780000000000001</v>
      </c>
      <c r="C26" s="2">
        <v>4326.3689999999997</v>
      </c>
      <c r="D26" s="2">
        <v>1992</v>
      </c>
      <c r="E26" s="2">
        <v>2.171872</v>
      </c>
      <c r="F26" s="2">
        <v>34.158247000000003</v>
      </c>
      <c r="G26" s="2">
        <v>4.0537399999999999E-7</v>
      </c>
      <c r="I26" s="1">
        <v>6</v>
      </c>
      <c r="J26" s="7">
        <v>0.10780000000000001</v>
      </c>
      <c r="K26" s="2">
        <v>3300.1260000000002</v>
      </c>
      <c r="L26" s="2">
        <v>1856</v>
      </c>
      <c r="M26" s="2">
        <v>1.7780849999999999</v>
      </c>
      <c r="N26" s="2">
        <v>6.1527669999999999</v>
      </c>
      <c r="O26" s="2">
        <v>10.220488</v>
      </c>
      <c r="Q26" s="1">
        <v>6</v>
      </c>
      <c r="R26" s="7">
        <v>0.10780000000000001</v>
      </c>
      <c r="S26" s="2">
        <v>26.081</v>
      </c>
      <c r="T26" s="2">
        <v>1888</v>
      </c>
      <c r="U26" s="2">
        <v>1.3814E-8</v>
      </c>
      <c r="V26" s="2">
        <v>7.4660000000000005E-9</v>
      </c>
      <c r="W26" s="2">
        <v>5.3389999999999999E-9</v>
      </c>
    </row>
    <row r="27" spans="1:31">
      <c r="A27" s="1">
        <v>7</v>
      </c>
      <c r="B27" s="7">
        <v>3.49E-2</v>
      </c>
      <c r="C27" s="2">
        <v>6284.9989999999998</v>
      </c>
      <c r="D27" s="2">
        <v>617</v>
      </c>
      <c r="E27" s="2">
        <v>10.186384</v>
      </c>
      <c r="F27" s="2">
        <v>64.420383999999999</v>
      </c>
      <c r="G27" s="2">
        <v>5.8889499999999995E-7</v>
      </c>
      <c r="I27" s="1">
        <v>7</v>
      </c>
      <c r="J27" s="7">
        <v>3.49E-2</v>
      </c>
      <c r="K27" s="2">
        <v>2174.6489999999999</v>
      </c>
      <c r="L27" s="2">
        <v>648</v>
      </c>
      <c r="M27" s="2">
        <v>3.3559399999999999</v>
      </c>
      <c r="N27" s="2">
        <v>33.451883000000002</v>
      </c>
      <c r="O27" s="2">
        <v>6.7348869999999996</v>
      </c>
      <c r="Q27" s="1">
        <v>7</v>
      </c>
      <c r="R27" s="7">
        <v>3.49E-2</v>
      </c>
      <c r="S27" s="2">
        <v>12.557</v>
      </c>
      <c r="T27" s="2">
        <v>580</v>
      </c>
      <c r="U27" s="2">
        <v>2.1649999999999999E-8</v>
      </c>
      <c r="V27" s="2">
        <v>1.1171E-8</v>
      </c>
      <c r="W27" s="2">
        <v>2.5709999999999999E-9</v>
      </c>
    </row>
    <row r="28" spans="1:31">
      <c r="A28" s="1">
        <v>8</v>
      </c>
      <c r="B28" s="7">
        <v>2.63E-2</v>
      </c>
      <c r="C28" s="2">
        <v>10.929</v>
      </c>
      <c r="D28" s="2">
        <v>464</v>
      </c>
      <c r="E28" s="2">
        <v>2.3553999999999997E-8</v>
      </c>
      <c r="F28" s="2">
        <v>1.5492000000000001E-8</v>
      </c>
      <c r="G28" s="2">
        <v>1.024E-9</v>
      </c>
      <c r="I28" s="1">
        <v>8</v>
      </c>
      <c r="J28" s="7">
        <v>2.63E-2</v>
      </c>
      <c r="K28" s="2">
        <v>60.892000000000003</v>
      </c>
      <c r="L28" s="2">
        <v>420</v>
      </c>
      <c r="M28" s="2">
        <v>1.4498099999999999E-7</v>
      </c>
      <c r="N28" s="2">
        <v>1.518583</v>
      </c>
      <c r="O28" s="2">
        <v>1.8858199999999999E-7</v>
      </c>
      <c r="Q28" s="1">
        <v>8</v>
      </c>
      <c r="R28" s="7">
        <v>2.63E-2</v>
      </c>
      <c r="S28" s="2">
        <v>9.2620000000000005</v>
      </c>
      <c r="T28" s="2">
        <v>450</v>
      </c>
      <c r="U28" s="2">
        <v>2.0581999999999999E-8</v>
      </c>
      <c r="V28" s="2">
        <v>1.0417E-8</v>
      </c>
      <c r="W28" s="2">
        <v>1.8960000000000001E-9</v>
      </c>
    </row>
    <row r="29" spans="1:31">
      <c r="A29" s="1">
        <v>9</v>
      </c>
      <c r="B29" s="7">
        <v>2.7300000000000001E-2</v>
      </c>
      <c r="C29" s="2">
        <v>1179.6980000000001</v>
      </c>
      <c r="D29" s="2">
        <v>490</v>
      </c>
      <c r="E29" s="2">
        <v>2.4075470000000001</v>
      </c>
      <c r="F29" s="2">
        <v>25.608864000000001</v>
      </c>
      <c r="G29" s="2">
        <v>1.1053599999999999E-7</v>
      </c>
      <c r="I29" s="1">
        <v>9</v>
      </c>
      <c r="J29" s="7">
        <v>2.7300000000000001E-2</v>
      </c>
      <c r="K29" s="2">
        <v>148.696</v>
      </c>
      <c r="L29" s="2">
        <v>505</v>
      </c>
      <c r="M29" s="2">
        <v>2.9444799999999999E-7</v>
      </c>
      <c r="N29" s="2">
        <v>1.850652</v>
      </c>
      <c r="O29" s="2">
        <v>4.6051100000000001E-7</v>
      </c>
      <c r="Q29" s="1">
        <v>9</v>
      </c>
      <c r="R29" s="7">
        <v>2.7300000000000001E-2</v>
      </c>
      <c r="S29" s="2">
        <v>10.063000000000001</v>
      </c>
      <c r="T29" s="2">
        <v>493</v>
      </c>
      <c r="U29" s="2">
        <v>2.0412000000000001E-8</v>
      </c>
      <c r="V29" s="2">
        <v>1.09E-8</v>
      </c>
      <c r="W29" s="2">
        <v>2.0600000000000003E-9</v>
      </c>
    </row>
    <row r="30" spans="1:31">
      <c r="B30" s="8"/>
      <c r="E30" s="10">
        <f>SUMPRODUCT(B21:B29,E21:E29)</f>
        <v>60.175215080336883</v>
      </c>
      <c r="M30" s="10">
        <f>SUMPRODUCT(J21:J29,M21:M29)</f>
        <v>1.6395190246094384</v>
      </c>
      <c r="U30" s="10">
        <f>SUMPRODUCT(R21:R29,U21:U29)</f>
        <v>26.269220668348211</v>
      </c>
    </row>
    <row r="31" spans="1:31">
      <c r="B31" s="8"/>
    </row>
    <row r="32" spans="1:31" ht="39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  <c r="Y32" s="1">
        <v>2023</v>
      </c>
      <c r="Z32" s="1" t="s">
        <v>9</v>
      </c>
      <c r="AA32" s="1" t="s">
        <v>0</v>
      </c>
      <c r="AB32" s="1" t="s">
        <v>1</v>
      </c>
      <c r="AC32" s="1" t="s">
        <v>2</v>
      </c>
      <c r="AD32" s="1" t="s">
        <v>3</v>
      </c>
      <c r="AE32" s="1" t="s">
        <v>4</v>
      </c>
    </row>
    <row r="33" spans="1:31" ht="26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  <c r="Y33" s="1" t="s">
        <v>5</v>
      </c>
      <c r="Z33" s="9"/>
      <c r="AA33" s="1"/>
      <c r="AB33" s="1"/>
      <c r="AC33" s="1"/>
      <c r="AD33" s="1"/>
      <c r="AE33" s="1"/>
    </row>
    <row r="34" spans="1:31">
      <c r="A34" s="1">
        <v>1</v>
      </c>
      <c r="B34" s="7">
        <v>7.9299999999999995E-2</v>
      </c>
      <c r="C34" s="2">
        <v>677.26499999999999</v>
      </c>
      <c r="D34" s="2">
        <v>65</v>
      </c>
      <c r="E34" s="2">
        <v>10.419461999999999</v>
      </c>
      <c r="F34" s="2">
        <v>8.2835940000000008</v>
      </c>
      <c r="G34" s="2">
        <v>6.5806E-8</v>
      </c>
      <c r="I34" s="1">
        <v>1</v>
      </c>
      <c r="J34" s="7">
        <v>7.9299999999999995E-2</v>
      </c>
      <c r="K34" s="2">
        <v>51899.985000000001</v>
      </c>
      <c r="L34" s="2">
        <v>75</v>
      </c>
      <c r="M34" s="2">
        <v>691.99980000000005</v>
      </c>
      <c r="N34" s="2">
        <v>81.663264999999996</v>
      </c>
      <c r="O34" s="2">
        <v>9.4296579999999999</v>
      </c>
      <c r="Q34" s="1">
        <v>1</v>
      </c>
      <c r="R34" s="7">
        <v>7.9299999999999995E-2</v>
      </c>
      <c r="S34">
        <v>1458.0909999999999</v>
      </c>
      <c r="T34">
        <v>80</v>
      </c>
      <c r="U34">
        <v>18.226137999999999</v>
      </c>
      <c r="V34">
        <v>12.761842</v>
      </c>
      <c r="W34">
        <v>2.915959</v>
      </c>
      <c r="Y34" s="1">
        <v>1</v>
      </c>
      <c r="Z34" s="7">
        <v>7.9299999999999995E-2</v>
      </c>
      <c r="AA34">
        <v>259934.42199999999</v>
      </c>
      <c r="AB34">
        <v>901</v>
      </c>
      <c r="AC34">
        <v>288.495474</v>
      </c>
      <c r="AD34">
        <v>140.060924</v>
      </c>
      <c r="AE34">
        <v>9.0107769999999991</v>
      </c>
    </row>
    <row r="35" spans="1:31">
      <c r="A35" s="1">
        <v>2</v>
      </c>
      <c r="B35" s="7">
        <v>6.1600000000000002E-2</v>
      </c>
      <c r="C35" s="2">
        <v>32.441000000000003</v>
      </c>
      <c r="D35" s="2">
        <v>67</v>
      </c>
      <c r="E35" s="2">
        <v>4.84194E-7</v>
      </c>
      <c r="F35" s="2">
        <v>4.7274100000000001E-7</v>
      </c>
      <c r="G35" s="2">
        <v>3.1519999999999999E-9</v>
      </c>
      <c r="I35" s="1">
        <v>2</v>
      </c>
      <c r="J35" s="7">
        <v>6.1600000000000002E-2</v>
      </c>
      <c r="K35" s="2">
        <v>19.242000000000001</v>
      </c>
      <c r="L35" s="2">
        <v>71</v>
      </c>
      <c r="M35" s="2">
        <v>2.7101399999999999E-7</v>
      </c>
      <c r="N35" s="2">
        <v>5.6140199999999999E-7</v>
      </c>
      <c r="O35" s="2">
        <v>3.4959999999999999E-9</v>
      </c>
      <c r="Q35" s="1">
        <v>2</v>
      </c>
      <c r="R35" s="7">
        <v>6.1600000000000002E-2</v>
      </c>
      <c r="S35">
        <v>39.311</v>
      </c>
      <c r="T35">
        <v>69</v>
      </c>
      <c r="U35">
        <v>5.6972500000000008E-7</v>
      </c>
      <c r="V35">
        <v>4.7860000000000006E-7</v>
      </c>
      <c r="W35">
        <v>7.8616000000000007E-8</v>
      </c>
      <c r="Y35" s="1">
        <v>2</v>
      </c>
      <c r="Z35" s="7">
        <v>6.1600000000000002E-2</v>
      </c>
      <c r="AA35">
        <v>385.49400000000003</v>
      </c>
      <c r="AB35">
        <v>631</v>
      </c>
      <c r="AC35">
        <v>6.1092599999999992E-7</v>
      </c>
      <c r="AD35">
        <v>4.5235300000000003E-7</v>
      </c>
      <c r="AE35">
        <v>1.3363E-8</v>
      </c>
    </row>
    <row r="36" spans="1:31">
      <c r="A36" s="1">
        <v>3</v>
      </c>
      <c r="B36" s="7">
        <v>9.0300000000000005E-2</v>
      </c>
      <c r="C36" s="2">
        <v>24951.17</v>
      </c>
      <c r="D36" s="2">
        <v>98</v>
      </c>
      <c r="E36" s="2">
        <v>254.60377600000001</v>
      </c>
      <c r="F36" s="2">
        <v>356.67767199999997</v>
      </c>
      <c r="G36" s="2">
        <v>2.4243700000000001</v>
      </c>
      <c r="I36" s="1">
        <v>3</v>
      </c>
      <c r="J36" s="7">
        <v>9.0300000000000005E-2</v>
      </c>
      <c r="K36" s="2">
        <v>1580.1959999999999</v>
      </c>
      <c r="L36" s="2">
        <v>100</v>
      </c>
      <c r="M36" s="2">
        <v>15.801959999999999</v>
      </c>
      <c r="N36" s="2">
        <v>15.437245000000001</v>
      </c>
      <c r="O36" s="2">
        <v>2.8710400000000003E-7</v>
      </c>
      <c r="Q36" s="1">
        <v>3</v>
      </c>
      <c r="R36" s="7">
        <v>9.0300000000000005E-2</v>
      </c>
      <c r="S36">
        <v>12340.065000000001</v>
      </c>
      <c r="T36">
        <v>115</v>
      </c>
      <c r="U36">
        <v>107.304913</v>
      </c>
      <c r="V36">
        <v>145.87512699999999</v>
      </c>
      <c r="W36">
        <v>24.678239000000001</v>
      </c>
      <c r="Y36" s="1">
        <v>3</v>
      </c>
      <c r="Z36" s="7">
        <v>9.0300000000000005E-2</v>
      </c>
      <c r="AA36">
        <v>51349.296999999999</v>
      </c>
      <c r="AB36">
        <v>918</v>
      </c>
      <c r="AC36">
        <v>55.936053000000001</v>
      </c>
      <c r="AD36">
        <v>108.343593</v>
      </c>
      <c r="AE36">
        <v>1.7800530000000001</v>
      </c>
    </row>
    <row r="37" spans="1:31">
      <c r="A37" s="1">
        <v>4</v>
      </c>
      <c r="B37" s="7">
        <v>7.6700000000000004E-2</v>
      </c>
      <c r="C37" s="2">
        <v>82973.376999999993</v>
      </c>
      <c r="D37" s="2">
        <v>84</v>
      </c>
      <c r="E37" s="2">
        <v>987.77829799999995</v>
      </c>
      <c r="F37" s="2">
        <v>334.42307799999998</v>
      </c>
      <c r="G37" s="2">
        <v>8.0620729999999998</v>
      </c>
      <c r="I37" s="1">
        <v>4</v>
      </c>
      <c r="J37" s="7">
        <v>7.6700000000000004E-2</v>
      </c>
      <c r="K37" s="2">
        <v>23499.771000000001</v>
      </c>
      <c r="L37" s="2">
        <v>79</v>
      </c>
      <c r="M37" s="2">
        <v>297.46545600000002</v>
      </c>
      <c r="N37" s="2">
        <v>671.28152599999999</v>
      </c>
      <c r="O37" s="2">
        <v>4.2696509999999996</v>
      </c>
      <c r="Q37" s="1">
        <v>4</v>
      </c>
      <c r="R37" s="7">
        <v>7.6700000000000004E-2</v>
      </c>
      <c r="S37">
        <v>521.71600000000001</v>
      </c>
      <c r="T37">
        <v>75</v>
      </c>
      <c r="U37">
        <v>6.956213</v>
      </c>
      <c r="V37">
        <v>14.32982</v>
      </c>
      <c r="W37">
        <v>1.0433520000000001</v>
      </c>
      <c r="Y37" s="1">
        <v>4</v>
      </c>
      <c r="Z37" s="7">
        <v>7.6700000000000004E-2</v>
      </c>
      <c r="AA37">
        <v>807973.76100000006</v>
      </c>
      <c r="AB37">
        <v>766</v>
      </c>
      <c r="AC37">
        <v>1054.7960330000001</v>
      </c>
      <c r="AD37">
        <v>401.768349</v>
      </c>
      <c r="AE37">
        <v>28.008879</v>
      </c>
    </row>
    <row r="38" spans="1:31">
      <c r="A38" s="1">
        <v>5</v>
      </c>
      <c r="B38" s="7">
        <v>1.4200000000000001E-2</v>
      </c>
      <c r="C38" s="2">
        <v>4.08E-4</v>
      </c>
      <c r="D38" s="2">
        <v>14</v>
      </c>
      <c r="E38" s="2">
        <v>2.9142999999999998E-8</v>
      </c>
      <c r="F38" s="2">
        <v>5.5589999999999995E-9</v>
      </c>
      <c r="G38" s="2">
        <v>4.0000000000000004E-11</v>
      </c>
      <c r="I38" s="1">
        <v>5</v>
      </c>
      <c r="J38" s="7">
        <v>1.4200000000000001E-2</v>
      </c>
      <c r="K38" s="2">
        <v>3.8500000000000003E-4</v>
      </c>
      <c r="L38" s="2">
        <v>13</v>
      </c>
      <c r="M38" s="2">
        <v>2.9614999999999998E-8</v>
      </c>
      <c r="N38" s="2">
        <v>8.5880000000000005E-9</v>
      </c>
      <c r="O38" s="2">
        <v>6.9999999999999991E-11</v>
      </c>
      <c r="Q38" s="1">
        <v>5</v>
      </c>
      <c r="R38" s="7">
        <v>1.4200000000000001E-2</v>
      </c>
      <c r="S38">
        <v>4.7399999999999997E-4</v>
      </c>
      <c r="T38">
        <v>16</v>
      </c>
      <c r="U38">
        <v>2.9624999999999999E-8</v>
      </c>
      <c r="V38">
        <v>2.3799E-8</v>
      </c>
      <c r="W38">
        <v>9.4800000000000004E-10</v>
      </c>
      <c r="Y38" s="1">
        <v>5</v>
      </c>
      <c r="Z38" s="7">
        <v>1.4200000000000001E-2</v>
      </c>
      <c r="AA38">
        <v>2.5289999999999999</v>
      </c>
      <c r="AB38">
        <v>148</v>
      </c>
      <c r="AC38">
        <v>1.7088000000000001E-8</v>
      </c>
      <c r="AD38">
        <v>1.0876000000000001E-8</v>
      </c>
      <c r="AE38">
        <v>8.7999999999999993E-11</v>
      </c>
    </row>
    <row r="39" spans="1:31">
      <c r="A39" s="1">
        <v>6</v>
      </c>
      <c r="B39" s="7">
        <v>0.38009999999999999</v>
      </c>
      <c r="C39" s="2">
        <v>54.573999999999998</v>
      </c>
      <c r="D39" s="2">
        <v>415</v>
      </c>
      <c r="E39" s="2">
        <v>1.3150400000000001E-7</v>
      </c>
      <c r="F39" s="2">
        <v>1.1376899999999999E-7</v>
      </c>
      <c r="G39" s="2">
        <v>5.3030000000000004E-9</v>
      </c>
      <c r="I39" s="1">
        <v>6</v>
      </c>
      <c r="J39" s="7">
        <v>0.38009999999999999</v>
      </c>
      <c r="K39" s="2">
        <v>70.576999999999998</v>
      </c>
      <c r="L39" s="2">
        <v>389</v>
      </c>
      <c r="M39" s="2">
        <v>1.8143200000000001E-7</v>
      </c>
      <c r="N39" s="2">
        <v>1.6826E-7</v>
      </c>
      <c r="O39" s="2">
        <v>1.2823E-8</v>
      </c>
      <c r="Q39" s="1">
        <v>6</v>
      </c>
      <c r="R39" s="7">
        <v>0.38009999999999999</v>
      </c>
      <c r="S39">
        <v>83.435000000000002</v>
      </c>
      <c r="T39">
        <v>390</v>
      </c>
      <c r="U39">
        <v>2.1393599999999999E-7</v>
      </c>
      <c r="V39">
        <v>1.78529E-7</v>
      </c>
      <c r="W39">
        <v>1.66857E-7</v>
      </c>
      <c r="Y39" s="1">
        <v>6</v>
      </c>
      <c r="Z39" s="7">
        <v>0.38009999999999999</v>
      </c>
      <c r="AA39">
        <v>683.84100000000001</v>
      </c>
      <c r="AB39">
        <v>4032</v>
      </c>
      <c r="AC39">
        <v>1.6960300000000001E-7</v>
      </c>
      <c r="AD39">
        <v>9.9705000000000005E-8</v>
      </c>
      <c r="AE39">
        <v>2.3706000000000001E-8</v>
      </c>
    </row>
    <row r="40" spans="1:31">
      <c r="A40" s="1">
        <v>7</v>
      </c>
      <c r="B40" s="7">
        <v>4.53E-2</v>
      </c>
      <c r="C40" s="2">
        <v>772960.27500000002</v>
      </c>
      <c r="D40" s="2">
        <v>40</v>
      </c>
      <c r="E40" s="2">
        <v>19324.006874999999</v>
      </c>
      <c r="F40" s="2">
        <v>7442.785758</v>
      </c>
      <c r="G40" s="2">
        <v>75.104356999999993</v>
      </c>
      <c r="I40" s="1">
        <v>7</v>
      </c>
      <c r="J40" s="7">
        <v>4.53E-2</v>
      </c>
      <c r="K40" s="2">
        <v>358213.60700000002</v>
      </c>
      <c r="L40" s="2">
        <v>53</v>
      </c>
      <c r="M40" s="2">
        <v>6758.7473019999998</v>
      </c>
      <c r="N40" s="2">
        <v>2403.9389409999999</v>
      </c>
      <c r="O40" s="2">
        <v>65.083482000000004</v>
      </c>
      <c r="Q40" s="1">
        <v>7</v>
      </c>
      <c r="R40" s="7">
        <v>4.53E-2</v>
      </c>
      <c r="S40">
        <v>18131.53</v>
      </c>
      <c r="T40">
        <v>48</v>
      </c>
      <c r="U40">
        <v>377.740208</v>
      </c>
      <c r="V40">
        <v>782.17475400000001</v>
      </c>
      <c r="W40">
        <v>36.260280999999999</v>
      </c>
      <c r="Y40" s="1">
        <v>7</v>
      </c>
      <c r="Z40" s="7">
        <v>4.53E-2</v>
      </c>
      <c r="AA40">
        <v>1199798.8670000001</v>
      </c>
      <c r="AB40">
        <v>446</v>
      </c>
      <c r="AC40">
        <v>2690.131989</v>
      </c>
      <c r="AD40">
        <v>3691.9875069999998</v>
      </c>
      <c r="AE40">
        <v>41.591723000000002</v>
      </c>
    </row>
    <row r="41" spans="1:31">
      <c r="A41" s="1">
        <v>8</v>
      </c>
      <c r="B41" s="7">
        <v>8.2000000000000003E-2</v>
      </c>
      <c r="C41" s="2">
        <v>11.648</v>
      </c>
      <c r="D41" s="2">
        <v>77</v>
      </c>
      <c r="E41" s="2">
        <v>1.5127299999999998E-7</v>
      </c>
      <c r="F41" s="2">
        <v>1.01089E-7</v>
      </c>
      <c r="G41" s="2">
        <v>1.132E-9</v>
      </c>
      <c r="I41" s="1">
        <v>8</v>
      </c>
      <c r="J41" s="7">
        <v>8.2000000000000003E-2</v>
      </c>
      <c r="K41" s="2">
        <v>13.765000000000001</v>
      </c>
      <c r="L41" s="2">
        <v>78</v>
      </c>
      <c r="M41" s="2">
        <v>1.76474E-7</v>
      </c>
      <c r="N41" s="2">
        <v>1.8353600000000001E-7</v>
      </c>
      <c r="O41" s="2">
        <v>2.5010000000000004E-9</v>
      </c>
      <c r="Q41" s="1">
        <v>8</v>
      </c>
      <c r="R41" s="7">
        <v>8.2000000000000003E-2</v>
      </c>
      <c r="S41">
        <v>15.606999999999999</v>
      </c>
      <c r="T41">
        <v>75</v>
      </c>
      <c r="U41">
        <v>2.0809300000000001E-7</v>
      </c>
      <c r="V41">
        <v>1.6196300000000001E-7</v>
      </c>
      <c r="W41">
        <v>3.1212000000000002E-8</v>
      </c>
      <c r="Y41" s="1">
        <v>8</v>
      </c>
      <c r="Z41" s="7">
        <v>8.2000000000000003E-2</v>
      </c>
      <c r="AA41">
        <v>48.006</v>
      </c>
      <c r="AB41">
        <v>832</v>
      </c>
      <c r="AC41">
        <v>5.7700000000000001E-8</v>
      </c>
      <c r="AD41">
        <v>3.0587000000000001E-8</v>
      </c>
      <c r="AE41">
        <v>1.6639999999999998E-9</v>
      </c>
    </row>
    <row r="42" spans="1:31">
      <c r="A42" s="1">
        <v>9</v>
      </c>
      <c r="B42" s="7">
        <v>6.1000000000000004E-3</v>
      </c>
      <c r="C42" s="2">
        <v>14899.731</v>
      </c>
      <c r="D42" s="2">
        <v>5</v>
      </c>
      <c r="E42" s="2">
        <v>2979.9461999999999</v>
      </c>
      <c r="F42" s="2">
        <v>728.64027799999997</v>
      </c>
      <c r="G42" s="2">
        <v>1.4477260000000001</v>
      </c>
      <c r="I42" s="1">
        <v>9</v>
      </c>
      <c r="J42" s="7">
        <v>6.1000000000000004E-3</v>
      </c>
      <c r="K42" s="2">
        <v>21543.946</v>
      </c>
      <c r="L42" s="2">
        <v>6</v>
      </c>
      <c r="M42" s="11">
        <v>3590.6576669999999</v>
      </c>
      <c r="N42" s="2">
        <v>1168.2414229999999</v>
      </c>
      <c r="O42" s="2">
        <v>3.9142990000000002</v>
      </c>
      <c r="Q42" s="1">
        <v>9</v>
      </c>
      <c r="R42" s="7">
        <v>6.1000000000000004E-3</v>
      </c>
      <c r="S42">
        <v>2542.0300000000002</v>
      </c>
      <c r="T42">
        <v>10</v>
      </c>
      <c r="U42" s="11">
        <v>254.203</v>
      </c>
      <c r="V42">
        <v>641.07768199999998</v>
      </c>
      <c r="W42">
        <v>5.0836699999999997</v>
      </c>
      <c r="Y42" s="1">
        <v>9</v>
      </c>
      <c r="Z42" s="7">
        <v>6.1000000000000004E-3</v>
      </c>
      <c r="AA42">
        <v>101159.698</v>
      </c>
      <c r="AB42">
        <v>69</v>
      </c>
      <c r="AC42" s="2">
        <v>1466.08258</v>
      </c>
      <c r="AD42">
        <v>2389.029857</v>
      </c>
      <c r="AE42">
        <v>3.5067599999999999</v>
      </c>
    </row>
    <row r="43" spans="1:31">
      <c r="A43" s="1">
        <v>10</v>
      </c>
      <c r="B43" s="7">
        <v>5.4999999999999997E-3</v>
      </c>
      <c r="C43" s="2">
        <v>12877.596</v>
      </c>
      <c r="D43" s="2">
        <v>5</v>
      </c>
      <c r="E43" s="2">
        <v>2575.5192000000002</v>
      </c>
      <c r="F43" s="2">
        <v>384.58791600000001</v>
      </c>
      <c r="G43" s="2">
        <v>1.2512460000000001</v>
      </c>
      <c r="I43" s="1">
        <v>10</v>
      </c>
      <c r="J43" s="7">
        <v>5.4999999999999997E-3</v>
      </c>
      <c r="K43" s="2">
        <v>16404.585999999999</v>
      </c>
      <c r="L43" s="2">
        <v>5</v>
      </c>
      <c r="M43" s="2">
        <v>3280.9171999999999</v>
      </c>
      <c r="N43" s="2">
        <v>964.41263900000001</v>
      </c>
      <c r="O43" s="2">
        <v>2.9805329999999999</v>
      </c>
      <c r="Q43" s="1">
        <v>10</v>
      </c>
      <c r="R43" s="7">
        <v>5.4999999999999997E-3</v>
      </c>
      <c r="S43">
        <v>158.011</v>
      </c>
      <c r="T43">
        <v>4</v>
      </c>
      <c r="U43">
        <v>39.502749999999999</v>
      </c>
      <c r="V43">
        <v>16.667940000000002</v>
      </c>
      <c r="W43">
        <v>3.1599800000000002E-7</v>
      </c>
      <c r="Y43" s="1">
        <v>10</v>
      </c>
      <c r="Z43" s="7">
        <v>5.4999999999999997E-3</v>
      </c>
      <c r="AA43">
        <v>48440.343999999997</v>
      </c>
      <c r="AB43">
        <v>74</v>
      </c>
      <c r="AC43">
        <v>654.599243</v>
      </c>
      <c r="AD43">
        <v>473.79763600000001</v>
      </c>
      <c r="AE43">
        <v>1.6792130000000001</v>
      </c>
    </row>
    <row r="44" spans="1:31">
      <c r="A44" s="1">
        <v>11</v>
      </c>
      <c r="B44" s="7">
        <v>9.7000000000000003E-3</v>
      </c>
      <c r="C44" s="2">
        <v>22784.842000000001</v>
      </c>
      <c r="D44" s="2">
        <v>14</v>
      </c>
      <c r="E44" s="2">
        <v>1627.4887140000001</v>
      </c>
      <c r="F44" s="2">
        <v>20.023875</v>
      </c>
      <c r="G44" s="2">
        <v>2.2138789999999999</v>
      </c>
      <c r="I44" s="1">
        <v>11</v>
      </c>
      <c r="J44" s="7">
        <v>9.7000000000000003E-3</v>
      </c>
      <c r="K44" s="2">
        <v>7472.25</v>
      </c>
      <c r="L44" s="2">
        <v>9</v>
      </c>
      <c r="M44" s="2">
        <v>830.25</v>
      </c>
      <c r="N44" s="2">
        <v>19.940591999999999</v>
      </c>
      <c r="O44" s="2">
        <v>1.357626</v>
      </c>
      <c r="Q44" s="1">
        <v>11</v>
      </c>
      <c r="R44" s="7">
        <v>9.7000000000000003E-3</v>
      </c>
      <c r="S44">
        <v>80.415000000000006</v>
      </c>
      <c r="T44">
        <v>7</v>
      </c>
      <c r="U44">
        <v>11.487857</v>
      </c>
      <c r="V44">
        <v>6.2657980000000002</v>
      </c>
      <c r="W44">
        <v>1.6081799999999998E-7</v>
      </c>
      <c r="Y44" s="1">
        <v>11</v>
      </c>
      <c r="Z44" s="7">
        <v>9.7000000000000003E-3</v>
      </c>
      <c r="AA44">
        <v>45476.998</v>
      </c>
      <c r="AB44">
        <v>101</v>
      </c>
      <c r="AC44">
        <v>450.26730700000002</v>
      </c>
      <c r="AD44">
        <v>9.6609499999999997</v>
      </c>
      <c r="AE44">
        <v>1.5764860000000001</v>
      </c>
    </row>
    <row r="45" spans="1:31">
      <c r="A45" s="1">
        <v>12</v>
      </c>
      <c r="B45" s="7">
        <v>6.1999999999999998E-3</v>
      </c>
      <c r="C45" s="2">
        <v>31841.401000000002</v>
      </c>
      <c r="D45" s="2">
        <v>9</v>
      </c>
      <c r="E45" s="2">
        <v>3537.9334439999998</v>
      </c>
      <c r="F45" s="2">
        <v>1013.381292</v>
      </c>
      <c r="G45" s="2">
        <v>3.0938560000000002</v>
      </c>
      <c r="I45" s="1">
        <v>12</v>
      </c>
      <c r="J45" s="7">
        <v>6.1999999999999998E-3</v>
      </c>
      <c r="K45" s="2">
        <v>39964.139000000003</v>
      </c>
      <c r="L45" s="2">
        <v>9</v>
      </c>
      <c r="M45" s="2">
        <v>4440.4598889999997</v>
      </c>
      <c r="N45" s="2">
        <v>740.67542700000001</v>
      </c>
      <c r="O45" s="2">
        <v>7.2610460000000003</v>
      </c>
      <c r="Q45" s="1">
        <v>12</v>
      </c>
      <c r="R45" s="7">
        <v>6.1999999999999998E-3</v>
      </c>
      <c r="S45">
        <v>490.41699999999997</v>
      </c>
      <c r="T45">
        <v>6</v>
      </c>
      <c r="U45">
        <v>81.736166999999995</v>
      </c>
      <c r="V45">
        <v>12.606175</v>
      </c>
      <c r="W45">
        <v>9.8075900000000013E-7</v>
      </c>
      <c r="Y45" s="1">
        <v>12</v>
      </c>
      <c r="Z45" s="7">
        <v>6.1999999999999998E-3</v>
      </c>
      <c r="AA45">
        <v>86343</v>
      </c>
      <c r="AB45">
        <v>77</v>
      </c>
      <c r="AC45">
        <v>1121.3376619999999</v>
      </c>
      <c r="AD45">
        <v>511.721317</v>
      </c>
      <c r="AE45">
        <v>2.9931299999999998</v>
      </c>
    </row>
    <row r="46" spans="1:31">
      <c r="A46" s="1">
        <v>13</v>
      </c>
      <c r="B46" s="7">
        <v>6.1000000000000004E-3</v>
      </c>
      <c r="C46" s="2">
        <v>65032.997000000003</v>
      </c>
      <c r="D46" s="2">
        <v>5</v>
      </c>
      <c r="E46" s="2">
        <v>13006.599399999999</v>
      </c>
      <c r="F46" s="2">
        <v>2386.8109669999999</v>
      </c>
      <c r="G46" s="2">
        <v>6.3189039999999999</v>
      </c>
      <c r="I46" s="1">
        <v>13</v>
      </c>
      <c r="J46" s="7">
        <v>6.1000000000000004E-3</v>
      </c>
      <c r="K46" s="2">
        <v>29524.234</v>
      </c>
      <c r="L46" s="2">
        <v>6</v>
      </c>
      <c r="M46" s="2">
        <v>4920.7056670000002</v>
      </c>
      <c r="N46" s="2">
        <v>1076.259916</v>
      </c>
      <c r="O46" s="2">
        <v>5.3642289999999999</v>
      </c>
      <c r="Q46" s="1">
        <v>13</v>
      </c>
      <c r="R46" s="7">
        <v>6.1000000000000004E-3</v>
      </c>
      <c r="S46">
        <v>14125.422</v>
      </c>
      <c r="T46">
        <v>6</v>
      </c>
      <c r="U46">
        <v>2354.2370000000001</v>
      </c>
      <c r="V46">
        <v>2714.4491750000002</v>
      </c>
      <c r="W46">
        <v>28.248678999999999</v>
      </c>
      <c r="Y46" s="1">
        <v>13</v>
      </c>
      <c r="Z46" s="7">
        <v>6.1000000000000004E-3</v>
      </c>
      <c r="AA46">
        <v>282130.57799999998</v>
      </c>
      <c r="AB46">
        <v>56</v>
      </c>
      <c r="AC46">
        <v>5038.0460359999997</v>
      </c>
      <c r="AD46">
        <v>7920.8931750000002</v>
      </c>
      <c r="AE46">
        <v>9.7802199999999999</v>
      </c>
    </row>
    <row r="47" spans="1:31">
      <c r="A47" s="1">
        <v>14</v>
      </c>
      <c r="B47" s="7">
        <v>1.6199999999999999E-2</v>
      </c>
      <c r="C47" s="2">
        <v>75.962999999999994</v>
      </c>
      <c r="D47" s="2">
        <v>15</v>
      </c>
      <c r="E47" s="2">
        <v>5.0641999999999996</v>
      </c>
      <c r="F47" s="2">
        <v>3.7441529999999998</v>
      </c>
      <c r="G47" s="2">
        <v>7.3810000000000001E-9</v>
      </c>
      <c r="I47" s="1">
        <v>14</v>
      </c>
      <c r="J47" s="7">
        <v>1.6199999999999999E-2</v>
      </c>
      <c r="K47" s="2">
        <v>176.43100000000001</v>
      </c>
      <c r="L47" s="2">
        <v>32</v>
      </c>
      <c r="M47" s="2">
        <v>5.5134689999999997</v>
      </c>
      <c r="N47" s="2">
        <v>5.4869279999999998</v>
      </c>
      <c r="O47" s="2">
        <v>3.2055999999999999E-8</v>
      </c>
      <c r="Q47" s="1">
        <v>14</v>
      </c>
      <c r="R47" s="7">
        <v>1.6199999999999999E-2</v>
      </c>
      <c r="S47">
        <v>9.8469999999999995</v>
      </c>
      <c r="T47">
        <v>14</v>
      </c>
      <c r="U47">
        <v>7.0335699999999999E-7</v>
      </c>
      <c r="V47">
        <v>1.298154</v>
      </c>
      <c r="W47">
        <v>1.9692000000000002E-8</v>
      </c>
      <c r="Y47" s="1">
        <v>14</v>
      </c>
      <c r="Z47" s="7">
        <v>1.6199999999999999E-2</v>
      </c>
      <c r="AA47">
        <v>909.86800000000005</v>
      </c>
      <c r="AB47">
        <v>174</v>
      </c>
      <c r="AC47">
        <v>5.2291259999999999</v>
      </c>
      <c r="AD47">
        <v>4.6961149999999998</v>
      </c>
      <c r="AE47">
        <v>3.1540999999999998E-8</v>
      </c>
    </row>
    <row r="48" spans="1:31">
      <c r="A48" s="1">
        <v>15</v>
      </c>
      <c r="B48" s="7">
        <v>7.6899999999999996E-2</v>
      </c>
      <c r="C48" s="2">
        <v>7.9880000000000004</v>
      </c>
      <c r="D48" s="2">
        <v>87</v>
      </c>
      <c r="E48" s="2">
        <v>9.1815999999999993E-8</v>
      </c>
      <c r="F48" s="2">
        <v>5.0472999999999998E-8</v>
      </c>
      <c r="G48" s="2">
        <v>7.7600000000000001E-10</v>
      </c>
      <c r="I48" s="1">
        <v>15</v>
      </c>
      <c r="J48" s="7">
        <v>7.6899999999999996E-2</v>
      </c>
      <c r="K48" s="2">
        <v>7.8540000000000001</v>
      </c>
      <c r="L48" s="2">
        <v>75</v>
      </c>
      <c r="M48" s="2">
        <v>1.0471999999999999E-7</v>
      </c>
      <c r="N48" s="2">
        <v>7.9217000000000001E-8</v>
      </c>
      <c r="O48" s="2">
        <v>1.4270000000000001E-9</v>
      </c>
      <c r="Q48" s="1">
        <v>15</v>
      </c>
      <c r="R48" s="7">
        <v>7.6899999999999996E-2</v>
      </c>
      <c r="S48">
        <v>7.4610000000000003</v>
      </c>
      <c r="T48">
        <v>85</v>
      </c>
      <c r="U48">
        <v>8.7776000000000005E-8</v>
      </c>
      <c r="V48">
        <v>6.4220000000000002E-8</v>
      </c>
      <c r="W48">
        <v>1.4921000000000002E-8</v>
      </c>
      <c r="Y48" s="1">
        <v>15</v>
      </c>
      <c r="Z48" s="7">
        <v>7.6899999999999996E-2</v>
      </c>
      <c r="AA48">
        <v>69.153999999999996</v>
      </c>
      <c r="AB48">
        <v>775</v>
      </c>
      <c r="AC48">
        <v>8.9231E-8</v>
      </c>
      <c r="AD48">
        <v>5.2707999999999998E-8</v>
      </c>
      <c r="AE48">
        <v>2.3969999999999999E-9</v>
      </c>
    </row>
    <row r="49" spans="5:29">
      <c r="E49" s="10">
        <f>SUMPRODUCT(B34:B48,E34:E48)</f>
        <v>1124.4442429817898</v>
      </c>
      <c r="M49" s="10">
        <f>SUMPRODUCT(J40:J48,M40:M48)</f>
        <v>411.80920825012385</v>
      </c>
      <c r="U49" s="10">
        <f>SUMPRODUCT(R40:R48,U40:U48)</f>
        <v>33.858577030907981</v>
      </c>
      <c r="AC49" s="10">
        <f>SUMPRODUCT(Z40:Z48,AC40:AC48)</f>
        <v>176.54305773089325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D56F6-0B6F-48F2-BBBB-E0CC77A83875}">
  <dimension ref="A1:O24"/>
  <sheetViews>
    <sheetView topLeftCell="B1" zoomScale="130" zoomScaleNormal="130" workbookViewId="0">
      <selection activeCell="J14" sqref="J14"/>
    </sheetView>
  </sheetViews>
  <sheetFormatPr defaultColWidth="8.75" defaultRowHeight="14"/>
  <cols>
    <col min="1" max="1" width="15.4140625" style="12" bestFit="1" customWidth="1"/>
    <col min="2" max="2" width="12.1640625" style="12" bestFit="1" customWidth="1"/>
    <col min="3" max="3" width="13.83203125" style="12" bestFit="1" customWidth="1"/>
    <col min="4" max="4" width="15.1640625" style="12" customWidth="1"/>
    <col min="5" max="5" width="3" style="12" customWidth="1"/>
    <col min="6" max="6" width="14" style="12" bestFit="1" customWidth="1"/>
    <col min="7" max="7" width="15" style="12" customWidth="1"/>
    <col min="8" max="8" width="14.75" style="12" bestFit="1" customWidth="1"/>
    <col min="9" max="9" width="13.4140625" style="12" customWidth="1"/>
    <col min="10" max="10" width="3.1640625" style="12" customWidth="1"/>
    <col min="11" max="11" width="22.1640625" style="12" bestFit="1" customWidth="1"/>
    <col min="12" max="12" width="11.16406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640625" style="12" bestFit="1" customWidth="1"/>
    <col min="18" max="18" width="11.25" style="12" bestFit="1" customWidth="1"/>
    <col min="19" max="20" width="9.25" style="12" bestFit="1" customWidth="1"/>
    <col min="21" max="16384" width="8.75" style="12"/>
  </cols>
  <sheetData>
    <row r="1" spans="1:15" ht="28">
      <c r="A1" s="13" t="s">
        <v>22</v>
      </c>
      <c r="C1" s="19" t="s">
        <v>13</v>
      </c>
      <c r="D1" s="23" t="s">
        <v>35</v>
      </c>
      <c r="E1" s="13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2">
      <c r="A6" s="13" t="s">
        <v>36</v>
      </c>
      <c r="B6" s="13" t="s">
        <v>16</v>
      </c>
      <c r="C6" s="13" t="s">
        <v>39</v>
      </c>
      <c r="D6" s="13" t="s">
        <v>38</v>
      </c>
      <c r="E6" s="13"/>
      <c r="F6" s="13" t="s">
        <v>40</v>
      </c>
      <c r="G6" s="13" t="s">
        <v>41</v>
      </c>
      <c r="K6" s="13" t="s">
        <v>44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2x'!E30</f>
        <v>60.175215080336883</v>
      </c>
      <c r="C7" s="20">
        <f>$B7*C$3/1000</f>
        <v>601.75215080336886</v>
      </c>
      <c r="D7" s="22">
        <f>$B7*D$3/1000</f>
        <v>89608.477331721733</v>
      </c>
      <c r="E7" s="25"/>
      <c r="F7" s="21">
        <f>C7/60</f>
        <v>10.029202513389482</v>
      </c>
      <c r="G7" s="24">
        <f>D7/60</f>
        <v>1493.4746221953621</v>
      </c>
      <c r="H7" s="16"/>
      <c r="I7" s="16"/>
      <c r="J7" s="16"/>
    </row>
    <row r="8" spans="1:15">
      <c r="A8" s="12" t="s">
        <v>15</v>
      </c>
      <c r="B8" s="14">
        <f>'Query 2x'!M30</f>
        <v>1.6395190246094384</v>
      </c>
      <c r="C8" s="20">
        <f>$B8*C$3/1000</f>
        <v>16.395190246094387</v>
      </c>
      <c r="D8" s="22">
        <f>$B8*D$3/1000</f>
        <v>2441.4504070405546</v>
      </c>
      <c r="E8" s="25"/>
      <c r="F8" s="21">
        <f>C8/60</f>
        <v>0.27325317076823979</v>
      </c>
      <c r="G8" s="24">
        <f>D8/60</f>
        <v>40.690840117342574</v>
      </c>
      <c r="H8" s="16"/>
      <c r="I8" s="16"/>
      <c r="J8" s="16"/>
      <c r="K8" s="12">
        <v>127.1</v>
      </c>
      <c r="L8" s="17">
        <f>K8*$D$24</f>
        <v>782300.5</v>
      </c>
      <c r="M8" s="15">
        <f>L8/60</f>
        <v>13038.341666666667</v>
      </c>
      <c r="N8" s="15">
        <f>M8/60</f>
        <v>217.30569444444444</v>
      </c>
      <c r="O8" s="15">
        <f>N8/24</f>
        <v>9.054403935185185</v>
      </c>
    </row>
    <row r="10" spans="1:15" ht="42">
      <c r="A10" s="13" t="s">
        <v>37</v>
      </c>
      <c r="B10" s="13" t="s">
        <v>16</v>
      </c>
      <c r="C10" s="13" t="s">
        <v>39</v>
      </c>
      <c r="D10" s="13" t="s">
        <v>38</v>
      </c>
      <c r="E10" s="13"/>
      <c r="F10" s="13" t="s">
        <v>40</v>
      </c>
      <c r="G10" s="13" t="s">
        <v>41</v>
      </c>
      <c r="H10" s="13" t="s">
        <v>42</v>
      </c>
      <c r="I10" s="13" t="s">
        <v>43</v>
      </c>
      <c r="J10" s="13"/>
      <c r="K10" s="13" t="s">
        <v>45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2x'!E49</f>
        <v>1124.4442429817898</v>
      </c>
      <c r="C11" s="20">
        <f t="shared" ref="C11:D13" si="0">$B11*C$4/1000</f>
        <v>11244.442429817898</v>
      </c>
      <c r="D11" s="22">
        <f t="shared" si="0"/>
        <v>4074300.0255777873</v>
      </c>
      <c r="E11" s="25"/>
      <c r="F11" s="21">
        <f t="shared" ref="F11:G13" si="1">C11/60</f>
        <v>187.4073738302983</v>
      </c>
      <c r="G11" s="24">
        <f t="shared" si="1"/>
        <v>67905.00042629645</v>
      </c>
      <c r="H11" s="24">
        <f>G11/60</f>
        <v>1131.7500071049408</v>
      </c>
      <c r="I11" s="24">
        <f>H11/24</f>
        <v>47.156250296039197</v>
      </c>
      <c r="J11" s="16"/>
      <c r="K11" s="18"/>
      <c r="L11" s="18"/>
      <c r="M11" s="18"/>
      <c r="N11" s="18"/>
      <c r="O11" s="18"/>
    </row>
    <row r="12" spans="1:15">
      <c r="A12" s="12" t="s">
        <v>18</v>
      </c>
      <c r="B12" s="14">
        <f>'Query 2x'!M49</f>
        <v>411.80920825012385</v>
      </c>
      <c r="C12" s="20">
        <f t="shared" si="0"/>
        <v>4118.092082501239</v>
      </c>
      <c r="D12" s="22">
        <f t="shared" si="0"/>
        <v>1492145.3670814161</v>
      </c>
      <c r="E12" s="25"/>
      <c r="F12" s="21">
        <f t="shared" si="1"/>
        <v>68.634868041687312</v>
      </c>
      <c r="G12" s="24">
        <f t="shared" si="1"/>
        <v>24869.089451356933</v>
      </c>
      <c r="H12" s="24">
        <f>G12/60</f>
        <v>414.48482418928222</v>
      </c>
      <c r="I12" s="24">
        <f>H12/24</f>
        <v>17.270201007886758</v>
      </c>
      <c r="J12" s="16"/>
      <c r="K12" s="18"/>
      <c r="L12" s="18"/>
      <c r="M12" s="18"/>
      <c r="N12" s="18"/>
      <c r="O12" s="18"/>
    </row>
    <row r="13" spans="1:15">
      <c r="A13" s="12" t="s">
        <v>19</v>
      </c>
      <c r="B13" s="14">
        <f>'Query 2x'!U49</f>
        <v>33.858577030907981</v>
      </c>
      <c r="C13" s="20">
        <f t="shared" si="0"/>
        <v>338.58577030907981</v>
      </c>
      <c r="D13" s="22">
        <f t="shared" si="0"/>
        <v>122682.82942802167</v>
      </c>
      <c r="E13" s="25"/>
      <c r="F13" s="21">
        <f t="shared" si="1"/>
        <v>5.6430961718179971</v>
      </c>
      <c r="G13" s="24">
        <f t="shared" si="1"/>
        <v>2044.7138238003611</v>
      </c>
      <c r="H13" s="24">
        <f>G13/60</f>
        <v>34.078563730006017</v>
      </c>
      <c r="I13" s="24">
        <f>H13/24</f>
        <v>1.4199401554169173</v>
      </c>
      <c r="J13" s="16"/>
      <c r="K13" s="18">
        <v>233.3</v>
      </c>
      <c r="L13" s="17">
        <f>K13*$D$24</f>
        <v>1435961.5</v>
      </c>
      <c r="M13" s="15">
        <f>L13/60</f>
        <v>23932.691666666666</v>
      </c>
      <c r="N13" s="15">
        <f>M13/60</f>
        <v>398.87819444444443</v>
      </c>
      <c r="O13" s="15">
        <f>N13/24</f>
        <v>16.619924768518519</v>
      </c>
    </row>
    <row r="23" spans="1:7">
      <c r="A23" s="13" t="s">
        <v>26</v>
      </c>
      <c r="B23" s="13" t="s">
        <v>27</v>
      </c>
      <c r="C23" s="13" t="s">
        <v>28</v>
      </c>
      <c r="D23" s="13" t="s">
        <v>29</v>
      </c>
      <c r="E23" s="13"/>
      <c r="G23" s="13"/>
    </row>
    <row r="24" spans="1:7">
      <c r="A24" s="12" t="s">
        <v>30</v>
      </c>
      <c r="B24" s="12">
        <v>1231000000</v>
      </c>
      <c r="C24" s="12">
        <v>200000</v>
      </c>
      <c r="D24" s="17">
        <f>B24/C24</f>
        <v>6155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BB206-3452-44F6-80E0-8B59E5B46EFD}">
  <dimension ref="A1:AE49"/>
  <sheetViews>
    <sheetView topLeftCell="J13" zoomScaleNormal="100" workbookViewId="0">
      <selection activeCell="AA34" sqref="AA34:AE48"/>
    </sheetView>
  </sheetViews>
  <sheetFormatPr defaultColWidth="28.1640625" defaultRowHeight="14"/>
  <cols>
    <col min="1" max="1" width="7.83203125" customWidth="1"/>
    <col min="2" max="2" width="6.25" bestFit="1" customWidth="1"/>
    <col min="3" max="5" width="12.58203125" customWidth="1"/>
    <col min="6" max="6" width="12.58203125" hidden="1" customWidth="1"/>
    <col min="7" max="7" width="12.58203125" customWidth="1"/>
    <col min="8" max="8" width="4.83203125" customWidth="1"/>
    <col min="9" max="9" width="7.4140625" customWidth="1"/>
    <col min="10" max="10" width="6.4140625" bestFit="1" customWidth="1"/>
    <col min="11" max="13" width="11.83203125" customWidth="1"/>
    <col min="14" max="14" width="11.83203125" hidden="1" customWidth="1"/>
    <col min="15" max="15" width="11.83203125" customWidth="1"/>
    <col min="16" max="16" width="5.75" customWidth="1"/>
    <col min="17" max="18" width="6.75" customWidth="1"/>
    <col min="19" max="21" width="12.4140625" customWidth="1"/>
    <col min="22" max="22" width="12.4140625" hidden="1" customWidth="1"/>
    <col min="23" max="23" width="12.4140625" customWidth="1"/>
    <col min="24" max="24" width="6.33203125" customWidth="1"/>
    <col min="25" max="25" width="6.6640625" customWidth="1"/>
    <col min="26" max="26" width="6.4140625" bestFit="1" customWidth="1"/>
    <col min="27" max="29" width="11.58203125" customWidth="1"/>
    <col min="30" max="30" width="11.58203125" hidden="1" customWidth="1"/>
    <col min="31" max="31" width="11.58203125" customWidth="1"/>
  </cols>
  <sheetData>
    <row r="1" spans="1:7" ht="26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6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11766.534</v>
      </c>
      <c r="D3" s="2">
        <v>6036</v>
      </c>
      <c r="E3" s="4">
        <v>1.9493929999999999</v>
      </c>
      <c r="F3" s="2">
        <v>1.900345</v>
      </c>
      <c r="G3" s="2">
        <v>1.827869</v>
      </c>
    </row>
    <row r="4" spans="1:7">
      <c r="A4" s="1">
        <v>2</v>
      </c>
      <c r="B4" s="7">
        <v>0.22459999999999999</v>
      </c>
      <c r="C4" s="2">
        <v>273720.28600000002</v>
      </c>
      <c r="D4" s="2">
        <v>2233</v>
      </c>
      <c r="E4" s="4">
        <v>122.579618</v>
      </c>
      <c r="F4" s="2">
        <v>47.309742</v>
      </c>
      <c r="G4" s="2">
        <v>42.521009999999997</v>
      </c>
    </row>
    <row r="5" spans="1:7">
      <c r="A5" s="1">
        <v>3</v>
      </c>
      <c r="B5" s="7">
        <v>4.7500000000000001E-2</v>
      </c>
      <c r="C5" s="2">
        <v>105330.6</v>
      </c>
      <c r="D5" s="2">
        <v>471</v>
      </c>
      <c r="E5" s="4">
        <v>223.63184699999999</v>
      </c>
      <c r="F5" s="2">
        <v>149.71257900000001</v>
      </c>
      <c r="G5" s="2">
        <v>16.362556000000001</v>
      </c>
    </row>
    <row r="6" spans="1:7">
      <c r="A6" s="1">
        <v>4</v>
      </c>
      <c r="B6" s="7">
        <v>0.114</v>
      </c>
      <c r="C6" s="2">
        <v>252908.95</v>
      </c>
      <c r="D6" s="2">
        <v>1149</v>
      </c>
      <c r="E6" s="4">
        <v>220.11222799999999</v>
      </c>
      <c r="F6" s="2">
        <v>148.48736400000001</v>
      </c>
      <c r="G6" s="2">
        <v>39.288077999999999</v>
      </c>
    </row>
    <row r="7" spans="1:7">
      <c r="A7" s="1">
        <v>5</v>
      </c>
      <c r="B7" s="7">
        <v>1.09E-2</v>
      </c>
      <c r="C7" s="2">
        <v>3.1280000000000001</v>
      </c>
      <c r="D7" s="2">
        <v>111</v>
      </c>
      <c r="E7" s="4">
        <v>2.8180000000000002E-8</v>
      </c>
      <c r="F7" s="2">
        <v>1.6517000000000002E-8</v>
      </c>
      <c r="G7" s="2">
        <v>4.8599999999999998E-10</v>
      </c>
    </row>
    <row r="8" spans="1:7">
      <c r="B8" s="8"/>
      <c r="E8" s="10">
        <f>SUMPRODUCT(B3:B7,E3:E7)</f>
        <v>64.422172906607173</v>
      </c>
    </row>
    <row r="9" spans="1:7">
      <c r="B9" s="8"/>
      <c r="E9" s="6"/>
    </row>
    <row r="10" spans="1:7" ht="26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6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4990.027</v>
      </c>
      <c r="D12" s="3">
        <v>6104</v>
      </c>
      <c r="E12" s="5">
        <v>8.1750100000000004E-7</v>
      </c>
      <c r="F12" s="3">
        <v>7.0529100000000001E-7</v>
      </c>
      <c r="G12" s="3">
        <v>9.2245679999999997</v>
      </c>
    </row>
    <row r="13" spans="1:7">
      <c r="A13" s="1">
        <v>2</v>
      </c>
      <c r="B13" s="7">
        <v>0.22459999999999999</v>
      </c>
      <c r="C13" s="2">
        <v>16426.294000000002</v>
      </c>
      <c r="D13" s="3">
        <v>2165</v>
      </c>
      <c r="E13" s="5">
        <v>7.5872029999999997</v>
      </c>
      <c r="F13" s="3">
        <v>5.225244</v>
      </c>
      <c r="G13" s="3">
        <v>30.365662</v>
      </c>
    </row>
    <row r="14" spans="1:7">
      <c r="A14" s="1">
        <v>3</v>
      </c>
      <c r="B14" s="7">
        <v>4.7500000000000001E-2</v>
      </c>
      <c r="C14" s="2">
        <v>9779.8919999999998</v>
      </c>
      <c r="D14" s="3">
        <v>489</v>
      </c>
      <c r="E14" s="5">
        <v>19.999779</v>
      </c>
      <c r="F14" s="3">
        <v>21.725107999999999</v>
      </c>
      <c r="G14" s="3">
        <v>18.079117</v>
      </c>
    </row>
    <row r="15" spans="1:7">
      <c r="A15" s="1">
        <v>4</v>
      </c>
      <c r="B15" s="7">
        <v>0.114</v>
      </c>
      <c r="C15" s="2">
        <v>22893.451000000001</v>
      </c>
      <c r="D15" s="3">
        <v>1119</v>
      </c>
      <c r="E15" s="5">
        <v>20.458848</v>
      </c>
      <c r="F15" s="3">
        <v>19.964324000000001</v>
      </c>
      <c r="G15" s="3">
        <v>42.320853999999997</v>
      </c>
    </row>
    <row r="16" spans="1:7">
      <c r="A16" s="1">
        <v>5</v>
      </c>
      <c r="B16" s="7">
        <v>1.09E-2</v>
      </c>
      <c r="C16" s="2">
        <v>5.3</v>
      </c>
      <c r="D16" s="3">
        <v>123</v>
      </c>
      <c r="E16" s="5">
        <v>4.3089000000000003E-8</v>
      </c>
      <c r="F16" s="3">
        <v>2.0423E-8</v>
      </c>
      <c r="G16" s="3">
        <v>9.7979999999999995E-9</v>
      </c>
    </row>
    <row r="17" spans="1:31">
      <c r="B17" s="8"/>
      <c r="E17" s="10">
        <f>SUMPRODUCT(B12:B16,E12:E16)</f>
        <v>4.9863844617227731</v>
      </c>
    </row>
    <row r="18" spans="1:31">
      <c r="B18" s="8"/>
    </row>
    <row r="19" spans="1:31" ht="39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  <c r="Q19" s="1">
        <v>2013</v>
      </c>
      <c r="R19" s="1" t="s">
        <v>9</v>
      </c>
      <c r="S19" s="1" t="s">
        <v>0</v>
      </c>
      <c r="T19" s="1" t="s">
        <v>1</v>
      </c>
      <c r="U19" s="1" t="s">
        <v>2</v>
      </c>
      <c r="V19" s="1" t="s">
        <v>3</v>
      </c>
      <c r="W19" s="1" t="s">
        <v>4</v>
      </c>
    </row>
    <row r="20" spans="1:31" ht="26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  <c r="Q20" s="1" t="s">
        <v>5</v>
      </c>
      <c r="R20" s="9"/>
      <c r="S20" s="1"/>
      <c r="T20" s="1"/>
      <c r="U20" s="1"/>
      <c r="V20" s="1"/>
      <c r="W20" s="1"/>
    </row>
    <row r="21" spans="1:31">
      <c r="A21" s="1">
        <v>1</v>
      </c>
      <c r="B21" s="7">
        <v>0.1066</v>
      </c>
      <c r="C21" s="2">
        <v>1058.2719999999999</v>
      </c>
      <c r="D21" s="2">
        <v>1916</v>
      </c>
      <c r="E21" s="2">
        <v>5.5233399999999997E-7</v>
      </c>
      <c r="F21" s="2">
        <v>5.4834099999999997E-7</v>
      </c>
      <c r="G21" s="2">
        <v>9.2299000000000011E-8</v>
      </c>
      <c r="I21" s="1">
        <v>1</v>
      </c>
      <c r="J21" s="7">
        <v>0.1066</v>
      </c>
      <c r="K21" s="2">
        <v>1594.492</v>
      </c>
      <c r="L21" s="2">
        <v>1924</v>
      </c>
      <c r="M21" s="2">
        <v>8.2873799999999999E-7</v>
      </c>
      <c r="N21" s="2">
        <v>5.1355399999999994E-7</v>
      </c>
      <c r="O21" s="2">
        <v>5.0071620000000001</v>
      </c>
      <c r="Q21" s="1">
        <v>1</v>
      </c>
      <c r="R21" s="7">
        <v>0.1066</v>
      </c>
      <c r="S21" s="2">
        <v>3823.8679999999999</v>
      </c>
      <c r="T21" s="2">
        <v>1953</v>
      </c>
      <c r="U21" s="2">
        <v>1.957946</v>
      </c>
      <c r="V21" s="2">
        <v>2.0620210000000001</v>
      </c>
      <c r="W21" s="2">
        <v>8.6011999999999995E-7</v>
      </c>
    </row>
    <row r="22" spans="1:31">
      <c r="A22" s="1">
        <v>2</v>
      </c>
      <c r="B22" s="7">
        <v>1.3299999999999999E-2</v>
      </c>
      <c r="C22" s="2">
        <v>1466</v>
      </c>
      <c r="D22" s="2">
        <v>209</v>
      </c>
      <c r="E22" s="2">
        <v>7.014354</v>
      </c>
      <c r="F22" s="2">
        <v>5.1938950000000004</v>
      </c>
      <c r="G22" s="2">
        <v>1.2786000000000001E-7</v>
      </c>
      <c r="I22" s="1">
        <v>2</v>
      </c>
      <c r="J22" s="7">
        <v>1.3299999999999999E-2</v>
      </c>
      <c r="K22" s="2">
        <v>5490.1450000000004</v>
      </c>
      <c r="L22" s="2">
        <v>243</v>
      </c>
      <c r="M22" s="2">
        <v>22.593188999999999</v>
      </c>
      <c r="N22" s="2">
        <v>12.953669</v>
      </c>
      <c r="O22" s="2">
        <v>17.240628999999998</v>
      </c>
      <c r="Q22" s="1">
        <v>2</v>
      </c>
      <c r="R22" s="7">
        <v>1.3299999999999999E-2</v>
      </c>
      <c r="S22" s="2">
        <v>45594.711000000003</v>
      </c>
      <c r="T22" s="2">
        <v>225</v>
      </c>
      <c r="U22" s="2">
        <v>202.64315999999999</v>
      </c>
      <c r="V22" s="2">
        <v>81.587408999999994</v>
      </c>
      <c r="W22" s="2">
        <v>10.255822999999999</v>
      </c>
    </row>
    <row r="23" spans="1:31">
      <c r="A23" s="1">
        <v>3</v>
      </c>
      <c r="B23" s="7">
        <v>0.14130000000000001</v>
      </c>
      <c r="C23" s="2">
        <v>1143761.9680000001</v>
      </c>
      <c r="D23" s="2">
        <v>2583</v>
      </c>
      <c r="E23" s="2">
        <v>442.80370399999998</v>
      </c>
      <c r="F23" s="2">
        <v>253.032893</v>
      </c>
      <c r="G23" s="2">
        <v>99.755307999999999</v>
      </c>
      <c r="I23" s="1">
        <v>3</v>
      </c>
      <c r="J23" s="7">
        <v>0.14130000000000001</v>
      </c>
      <c r="K23" s="2">
        <v>24544.78</v>
      </c>
      <c r="L23" s="2">
        <v>2488</v>
      </c>
      <c r="M23" s="2">
        <v>9.8652650000000008</v>
      </c>
      <c r="N23" s="2">
        <v>8.3485659999999999</v>
      </c>
      <c r="O23" s="2">
        <v>77.077644000000006</v>
      </c>
      <c r="Q23" s="1">
        <v>3</v>
      </c>
      <c r="R23" s="7">
        <v>0.14130000000000001</v>
      </c>
      <c r="S23" s="2">
        <v>394366.01899999997</v>
      </c>
      <c r="T23" s="2">
        <v>2462</v>
      </c>
      <c r="U23" s="2">
        <v>160.181161</v>
      </c>
      <c r="V23" s="2">
        <v>91.958650000000006</v>
      </c>
      <c r="W23" s="2">
        <v>88.706519999999998</v>
      </c>
    </row>
    <row r="24" spans="1:31">
      <c r="A24" s="1">
        <v>4</v>
      </c>
      <c r="B24" s="7">
        <v>5.4699999999999999E-2</v>
      </c>
      <c r="C24" s="2">
        <v>35.201999999999998</v>
      </c>
      <c r="D24" s="2">
        <v>986</v>
      </c>
      <c r="E24" s="2">
        <v>3.5701999999999998E-8</v>
      </c>
      <c r="F24" s="2">
        <v>1.8846000000000002E-8</v>
      </c>
      <c r="G24" s="2">
        <v>3.0699999999999999E-9</v>
      </c>
      <c r="I24" s="1">
        <v>4</v>
      </c>
      <c r="J24" s="7">
        <v>5.4699999999999999E-2</v>
      </c>
      <c r="K24" s="2">
        <v>22.327999999999999</v>
      </c>
      <c r="L24" s="2">
        <v>958</v>
      </c>
      <c r="M24" s="2">
        <v>2.3307000000000002E-8</v>
      </c>
      <c r="N24" s="2">
        <v>1.1665000000000001E-8</v>
      </c>
      <c r="O24" s="2">
        <v>7.0116000000000004E-8</v>
      </c>
      <c r="Q24" s="1">
        <v>4</v>
      </c>
      <c r="R24" s="7">
        <v>5.4699999999999999E-2</v>
      </c>
      <c r="S24" s="2">
        <v>603.85599999999999</v>
      </c>
      <c r="T24" s="2">
        <v>929</v>
      </c>
      <c r="U24" s="2">
        <v>6.5000599999999998E-7</v>
      </c>
      <c r="V24" s="2">
        <v>10.756586</v>
      </c>
      <c r="W24" s="2">
        <v>1.3582800000000002E-7</v>
      </c>
    </row>
    <row r="25" spans="1:31">
      <c r="A25" s="1">
        <v>5</v>
      </c>
      <c r="B25" s="7">
        <v>4.6800000000000001E-2</v>
      </c>
      <c r="C25" s="2">
        <v>20.298999999999999</v>
      </c>
      <c r="D25" s="2">
        <v>844</v>
      </c>
      <c r="E25" s="2">
        <v>2.4050999999999998E-8</v>
      </c>
      <c r="F25" s="2">
        <v>1.3055E-8</v>
      </c>
      <c r="G25" s="2">
        <v>1.7700000000000001E-9</v>
      </c>
      <c r="I25" s="1">
        <v>5</v>
      </c>
      <c r="J25" s="7">
        <v>4.6800000000000001E-2</v>
      </c>
      <c r="K25" s="2">
        <v>25.673999999999999</v>
      </c>
      <c r="L25" s="2">
        <v>786</v>
      </c>
      <c r="M25" s="2">
        <v>3.2664000000000001E-8</v>
      </c>
      <c r="N25" s="2">
        <v>2.0601999999999998E-8</v>
      </c>
      <c r="O25" s="2">
        <v>8.0624000000000008E-8</v>
      </c>
      <c r="Q25" s="1">
        <v>5</v>
      </c>
      <c r="R25" s="7">
        <v>4.6800000000000001E-2</v>
      </c>
      <c r="S25" s="2">
        <v>10.670999999999999</v>
      </c>
      <c r="T25" s="2">
        <v>841</v>
      </c>
      <c r="U25" s="2">
        <v>1.2687999999999999E-8</v>
      </c>
      <c r="V25" s="2">
        <v>8.163E-9</v>
      </c>
      <c r="W25" s="2">
        <v>2.4E-9</v>
      </c>
    </row>
    <row r="26" spans="1:31">
      <c r="A26" s="1">
        <v>6</v>
      </c>
      <c r="B26" s="7">
        <v>0.10780000000000001</v>
      </c>
      <c r="C26" s="2">
        <v>190.51599999999999</v>
      </c>
      <c r="D26" s="2">
        <v>1892</v>
      </c>
      <c r="E26" s="2">
        <v>1.0069599999999999E-7</v>
      </c>
      <c r="F26" s="2">
        <v>1.0138800000000001E-7</v>
      </c>
      <c r="G26" s="2">
        <v>1.6615999999999998E-8</v>
      </c>
      <c r="I26" s="1">
        <v>6</v>
      </c>
      <c r="J26" s="7">
        <v>0.10780000000000001</v>
      </c>
      <c r="K26" s="2">
        <v>129.613</v>
      </c>
      <c r="L26" s="2">
        <v>1945</v>
      </c>
      <c r="M26" s="2">
        <v>6.6639000000000005E-8</v>
      </c>
      <c r="N26" s="2">
        <v>6.8904000000000006E-8</v>
      </c>
      <c r="O26" s="2">
        <v>4.07022E-7</v>
      </c>
      <c r="Q26" s="1">
        <v>6</v>
      </c>
      <c r="R26" s="7">
        <v>0.10780000000000001</v>
      </c>
      <c r="S26" s="2">
        <v>33.808999999999997</v>
      </c>
      <c r="T26" s="2">
        <v>2036</v>
      </c>
      <c r="U26" s="2">
        <v>1.6606E-8</v>
      </c>
      <c r="V26" s="2">
        <v>1.0132000000000001E-8</v>
      </c>
      <c r="W26" s="2">
        <v>7.6049999999999993E-9</v>
      </c>
    </row>
    <row r="27" spans="1:31">
      <c r="A27" s="1">
        <v>7</v>
      </c>
      <c r="B27" s="7">
        <v>3.49E-2</v>
      </c>
      <c r="C27" s="2">
        <v>14.06</v>
      </c>
      <c r="D27" s="2">
        <v>624</v>
      </c>
      <c r="E27" s="2">
        <v>2.2532E-8</v>
      </c>
      <c r="F27" s="2">
        <v>1.2529999999999999E-8</v>
      </c>
      <c r="G27" s="2">
        <v>1.2260000000000001E-9</v>
      </c>
      <c r="I27" s="1">
        <v>7</v>
      </c>
      <c r="J27" s="7">
        <v>3.49E-2</v>
      </c>
      <c r="K27" s="2">
        <v>16.702000000000002</v>
      </c>
      <c r="L27" s="2">
        <v>684</v>
      </c>
      <c r="M27" s="2">
        <v>2.4417999999999997E-8</v>
      </c>
      <c r="N27" s="2">
        <v>1.1017E-8</v>
      </c>
      <c r="O27" s="2">
        <v>5.2449000000000002E-8</v>
      </c>
      <c r="Q27" s="1">
        <v>7</v>
      </c>
      <c r="R27" s="7">
        <v>3.49E-2</v>
      </c>
      <c r="S27" s="2">
        <v>106.977</v>
      </c>
      <c r="T27" s="2">
        <v>634</v>
      </c>
      <c r="U27" s="2">
        <v>1.6873300000000001E-7</v>
      </c>
      <c r="V27" s="2">
        <v>3.6085630000000002</v>
      </c>
      <c r="W27" s="2">
        <v>2.4063000000000002E-8</v>
      </c>
    </row>
    <row r="28" spans="1:31">
      <c r="A28" s="1">
        <v>8</v>
      </c>
      <c r="B28" s="7">
        <v>2.63E-2</v>
      </c>
      <c r="C28" s="2">
        <v>10.529</v>
      </c>
      <c r="D28" s="2">
        <v>496</v>
      </c>
      <c r="E28" s="2">
        <v>2.1228E-8</v>
      </c>
      <c r="F28" s="2">
        <v>1.1704E-8</v>
      </c>
      <c r="G28" s="2">
        <v>9.1799999999999993E-10</v>
      </c>
      <c r="I28" s="1">
        <v>8</v>
      </c>
      <c r="J28" s="7">
        <v>2.63E-2</v>
      </c>
      <c r="K28" s="2">
        <v>8.1660000000000004</v>
      </c>
      <c r="L28" s="2">
        <v>460</v>
      </c>
      <c r="M28" s="2">
        <v>1.7751999999999999E-8</v>
      </c>
      <c r="N28" s="2">
        <v>8.5649999999999993E-9</v>
      </c>
      <c r="O28" s="2">
        <v>2.5644000000000001E-8</v>
      </c>
      <c r="Q28" s="1">
        <v>8</v>
      </c>
      <c r="R28" s="7">
        <v>2.63E-2</v>
      </c>
      <c r="S28" s="2">
        <v>9.6240000000000006</v>
      </c>
      <c r="T28" s="2">
        <v>454</v>
      </c>
      <c r="U28" s="2">
        <v>2.1198000000000002E-8</v>
      </c>
      <c r="V28" s="2">
        <v>1.0985E-8</v>
      </c>
      <c r="W28" s="2">
        <v>2.1649999999999999E-9</v>
      </c>
    </row>
    <row r="29" spans="1:31">
      <c r="A29" s="1">
        <v>9</v>
      </c>
      <c r="B29" s="7">
        <v>2.7300000000000001E-2</v>
      </c>
      <c r="C29" s="2">
        <v>10.679</v>
      </c>
      <c r="D29" s="2">
        <v>450</v>
      </c>
      <c r="E29" s="2">
        <v>2.3730999999999999E-8</v>
      </c>
      <c r="F29" s="2">
        <v>1.2948E-8</v>
      </c>
      <c r="G29" s="2">
        <v>9.3099999999999999E-10</v>
      </c>
      <c r="I29" s="1">
        <v>9</v>
      </c>
      <c r="J29" s="7">
        <v>2.7300000000000001E-2</v>
      </c>
      <c r="K29" s="2">
        <v>12.327</v>
      </c>
      <c r="L29" s="2">
        <v>512</v>
      </c>
      <c r="M29" s="2">
        <v>2.4076E-8</v>
      </c>
      <c r="N29" s="2">
        <v>1.1841999999999999E-8</v>
      </c>
      <c r="O29" s="2">
        <v>3.8710000000000001E-8</v>
      </c>
      <c r="Q29" s="1">
        <v>9</v>
      </c>
      <c r="R29" s="7">
        <v>2.7300000000000001E-2</v>
      </c>
      <c r="S29" s="2">
        <v>24.347999999999999</v>
      </c>
      <c r="T29" s="2">
        <v>466</v>
      </c>
      <c r="U29" s="2">
        <v>5.2248999999999994E-8</v>
      </c>
      <c r="V29" s="2">
        <v>1.2195599999999998E-7</v>
      </c>
      <c r="W29" s="2">
        <v>5.477E-9</v>
      </c>
    </row>
    <row r="30" spans="1:31">
      <c r="B30" s="8"/>
      <c r="E30" s="10">
        <f>SUMPRODUCT(B21:B29,E21:E29)</f>
        <v>62.661454358204836</v>
      </c>
      <c r="M30" s="10">
        <f>SUMPRODUCT(J21:J29,M21:M29)</f>
        <v>1.6944514585070638</v>
      </c>
      <c r="U30" s="10">
        <f>SUMPRODUCT(R21:R29,U21:U29)</f>
        <v>25.53746916671194</v>
      </c>
    </row>
    <row r="31" spans="1:31">
      <c r="B31" s="8"/>
    </row>
    <row r="32" spans="1:31" ht="39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  <c r="Y32" s="1">
        <v>2023</v>
      </c>
      <c r="Z32" s="1" t="s">
        <v>9</v>
      </c>
      <c r="AA32" s="1" t="s">
        <v>0</v>
      </c>
      <c r="AB32" s="1" t="s">
        <v>1</v>
      </c>
      <c r="AC32" s="1" t="s">
        <v>2</v>
      </c>
      <c r="AD32" s="1" t="s">
        <v>3</v>
      </c>
      <c r="AE32" s="1" t="s">
        <v>4</v>
      </c>
    </row>
    <row r="33" spans="1:31" ht="26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  <c r="Y33" s="1" t="s">
        <v>5</v>
      </c>
      <c r="Z33" s="9"/>
      <c r="AA33" s="1"/>
      <c r="AB33" s="1"/>
      <c r="AC33" s="1"/>
      <c r="AD33" s="1"/>
      <c r="AE33" s="1"/>
    </row>
    <row r="34" spans="1:31">
      <c r="A34" s="1">
        <v>1</v>
      </c>
      <c r="B34" s="7">
        <v>7.9299999999999995E-2</v>
      </c>
      <c r="C34" s="2">
        <v>6487699</v>
      </c>
      <c r="D34" s="2">
        <v>833</v>
      </c>
      <c r="E34" s="2">
        <v>7.788354</v>
      </c>
      <c r="F34" s="2">
        <v>9.5107590000000002</v>
      </c>
      <c r="G34" s="2">
        <v>4.0685999999999998E-8</v>
      </c>
      <c r="I34" s="1">
        <v>1</v>
      </c>
      <c r="J34" s="7">
        <v>7.9299999999999995E-2</v>
      </c>
      <c r="K34" s="2">
        <v>528020.21900000004</v>
      </c>
      <c r="L34" s="2">
        <v>840</v>
      </c>
      <c r="M34" s="2">
        <v>628.59549900000002</v>
      </c>
      <c r="N34" s="2">
        <v>812.84328000000005</v>
      </c>
      <c r="O34" s="2">
        <v>4.3428560000000003</v>
      </c>
      <c r="Q34" s="1">
        <v>1</v>
      </c>
      <c r="R34" s="7">
        <v>7.9299999999999995E-2</v>
      </c>
      <c r="S34">
        <v>16172.704</v>
      </c>
      <c r="T34">
        <v>792</v>
      </c>
      <c r="U34">
        <v>20.420081</v>
      </c>
      <c r="V34">
        <v>10.430300000000001</v>
      </c>
      <c r="W34">
        <v>1.2136020000000001</v>
      </c>
      <c r="Y34" s="1">
        <v>1</v>
      </c>
      <c r="Z34" s="7">
        <v>7.9299999999999995E-2</v>
      </c>
      <c r="AA34">
        <v>171503.08300000001</v>
      </c>
      <c r="AB34">
        <v>839</v>
      </c>
      <c r="AC34">
        <v>204.41368700000001</v>
      </c>
      <c r="AD34">
        <v>81.219211999999999</v>
      </c>
      <c r="AE34">
        <v>2.2883300000000002</v>
      </c>
    </row>
    <row r="35" spans="1:31">
      <c r="A35" s="1">
        <v>2</v>
      </c>
      <c r="B35" s="7">
        <v>6.1600000000000002E-2</v>
      </c>
      <c r="C35" s="2">
        <v>391568</v>
      </c>
      <c r="D35" s="2">
        <v>670</v>
      </c>
      <c r="E35" s="2">
        <v>5.8443000000000005E-7</v>
      </c>
      <c r="F35" s="2">
        <v>5.9112799999999997E-7</v>
      </c>
      <c r="G35" s="2">
        <v>2.4559999999999998E-9</v>
      </c>
      <c r="I35" s="1">
        <v>2</v>
      </c>
      <c r="J35" s="7">
        <v>6.1600000000000002E-2</v>
      </c>
      <c r="K35" s="2">
        <v>377.517</v>
      </c>
      <c r="L35" s="2">
        <v>656</v>
      </c>
      <c r="M35" s="2">
        <v>5.7548299999999999E-7</v>
      </c>
      <c r="N35" s="2">
        <v>4.06736E-7</v>
      </c>
      <c r="O35" s="2">
        <v>3.1049999999999999E-9</v>
      </c>
      <c r="Q35" s="1">
        <v>2</v>
      </c>
      <c r="R35" s="7">
        <v>6.1600000000000002E-2</v>
      </c>
      <c r="S35">
        <v>553.83199999999999</v>
      </c>
      <c r="T35">
        <v>676</v>
      </c>
      <c r="U35">
        <v>8.1927799999999996E-7</v>
      </c>
      <c r="V35">
        <v>5.8605300000000007E-7</v>
      </c>
      <c r="W35">
        <v>4.1560000000000003E-8</v>
      </c>
      <c r="Y35" s="1">
        <v>2</v>
      </c>
      <c r="Z35" s="7">
        <v>6.1600000000000002E-2</v>
      </c>
      <c r="AA35">
        <v>1175.172</v>
      </c>
      <c r="AB35">
        <v>661</v>
      </c>
      <c r="AC35">
        <v>1.7778700000000001</v>
      </c>
      <c r="AD35">
        <v>1.603755</v>
      </c>
      <c r="AE35">
        <v>1.5679999999999999E-8</v>
      </c>
    </row>
    <row r="36" spans="1:31">
      <c r="A36" s="1">
        <v>3</v>
      </c>
      <c r="B36" s="7">
        <v>9.0300000000000005E-2</v>
      </c>
      <c r="C36" s="2">
        <v>197201600</v>
      </c>
      <c r="D36" s="2">
        <v>926</v>
      </c>
      <c r="E36" s="2">
        <v>212.96067400000001</v>
      </c>
      <c r="F36" s="2">
        <v>246.40833499999999</v>
      </c>
      <c r="G36" s="2">
        <v>1.236699</v>
      </c>
      <c r="I36" s="1">
        <v>3</v>
      </c>
      <c r="J36" s="7">
        <v>9.0300000000000005E-2</v>
      </c>
      <c r="K36" s="2">
        <v>28887.762999999999</v>
      </c>
      <c r="L36" s="2">
        <v>970</v>
      </c>
      <c r="M36" s="2">
        <v>29.781199000000001</v>
      </c>
      <c r="N36" s="2">
        <v>18.370908</v>
      </c>
      <c r="O36" s="2">
        <v>2.3759600000000001E-7</v>
      </c>
      <c r="Q36" s="1">
        <v>3</v>
      </c>
      <c r="R36" s="7">
        <v>9.0300000000000005E-2</v>
      </c>
      <c r="S36">
        <v>60353.347999999998</v>
      </c>
      <c r="T36">
        <v>996</v>
      </c>
      <c r="U36">
        <v>60.595731000000001</v>
      </c>
      <c r="V36">
        <v>104.944209</v>
      </c>
      <c r="W36">
        <v>4.5289239999999999</v>
      </c>
      <c r="Y36" s="1">
        <v>3</v>
      </c>
      <c r="Z36" s="7">
        <v>9.0300000000000005E-2</v>
      </c>
      <c r="AA36">
        <v>50316.241000000002</v>
      </c>
      <c r="AB36">
        <v>949</v>
      </c>
      <c r="AC36">
        <v>53.020274999999998</v>
      </c>
      <c r="AD36">
        <v>108.087625</v>
      </c>
      <c r="AE36">
        <v>6.7135900000000008E-7</v>
      </c>
    </row>
    <row r="37" spans="1:31">
      <c r="A37" s="1">
        <v>4</v>
      </c>
      <c r="B37" s="7">
        <v>7.6700000000000004E-2</v>
      </c>
      <c r="C37" s="2">
        <v>796218600</v>
      </c>
      <c r="D37" s="2">
        <v>787</v>
      </c>
      <c r="E37" s="2">
        <v>1011.713535</v>
      </c>
      <c r="F37" s="2">
        <v>393.91319499999997</v>
      </c>
      <c r="G37" s="2">
        <v>4.9932809999999996</v>
      </c>
      <c r="I37" s="1">
        <v>4</v>
      </c>
      <c r="J37" s="7">
        <v>7.6700000000000004E-2</v>
      </c>
      <c r="K37" s="2">
        <v>553639.625</v>
      </c>
      <c r="L37" s="2">
        <v>771</v>
      </c>
      <c r="M37" s="2">
        <v>718.07992899999999</v>
      </c>
      <c r="N37" s="2">
        <v>1658.8355409999999</v>
      </c>
      <c r="O37" s="2">
        <v>4.5535699999999997</v>
      </c>
      <c r="Q37" s="1">
        <v>4</v>
      </c>
      <c r="R37" s="7">
        <v>7.6700000000000004E-2</v>
      </c>
      <c r="S37">
        <v>13368.735000000001</v>
      </c>
      <c r="T37">
        <v>817</v>
      </c>
      <c r="U37">
        <v>16.363201</v>
      </c>
      <c r="V37">
        <v>33.475006</v>
      </c>
      <c r="W37">
        <v>1.0031920000000001</v>
      </c>
      <c r="Y37" s="1">
        <v>4</v>
      </c>
      <c r="Z37" s="7">
        <v>7.6700000000000004E-2</v>
      </c>
      <c r="AA37">
        <v>2106806.2889999999</v>
      </c>
      <c r="AB37">
        <v>760</v>
      </c>
      <c r="AC37">
        <v>2772.1135380000001</v>
      </c>
      <c r="AD37">
        <v>1049.753882</v>
      </c>
      <c r="AE37">
        <v>28.110672999999998</v>
      </c>
    </row>
    <row r="38" spans="1:31">
      <c r="A38" s="1">
        <v>5</v>
      </c>
      <c r="B38" s="7">
        <v>1.4200000000000001E-2</v>
      </c>
      <c r="C38" s="2">
        <v>5186</v>
      </c>
      <c r="D38" s="2">
        <v>151</v>
      </c>
      <c r="E38" s="2">
        <v>3.4344E-8</v>
      </c>
      <c r="F38" s="2">
        <v>1.3549999999999999E-8</v>
      </c>
      <c r="G38" s="2">
        <v>3.3000000000000002E-11</v>
      </c>
      <c r="I38" s="1">
        <v>5</v>
      </c>
      <c r="J38" s="7">
        <v>1.4200000000000001E-2</v>
      </c>
      <c r="K38" s="2">
        <v>3.9929999999999999</v>
      </c>
      <c r="L38" s="2">
        <v>130</v>
      </c>
      <c r="M38" s="2">
        <v>3.0715000000000001E-8</v>
      </c>
      <c r="N38" s="2">
        <v>1.1865000000000001E-8</v>
      </c>
      <c r="O38" s="2">
        <v>3.3000000000000002E-11</v>
      </c>
      <c r="Q38" s="1">
        <v>5</v>
      </c>
      <c r="R38" s="7">
        <v>1.4200000000000001E-2</v>
      </c>
      <c r="S38">
        <v>2.6869999999999998</v>
      </c>
      <c r="T38">
        <v>132</v>
      </c>
      <c r="U38">
        <v>2.0356E-8</v>
      </c>
      <c r="V38">
        <v>9.2599999999999999E-9</v>
      </c>
      <c r="W38">
        <v>2.02E-10</v>
      </c>
      <c r="Y38" s="1">
        <v>5</v>
      </c>
      <c r="Z38" s="7">
        <v>1.4200000000000001E-2</v>
      </c>
      <c r="AA38">
        <v>2.278</v>
      </c>
      <c r="AB38">
        <v>144</v>
      </c>
      <c r="AC38">
        <v>1.5819000000000001E-8</v>
      </c>
      <c r="AD38">
        <v>7.5469999999999997E-9</v>
      </c>
      <c r="AE38">
        <v>3E-11</v>
      </c>
    </row>
    <row r="39" spans="1:31">
      <c r="A39" s="1">
        <v>6</v>
      </c>
      <c r="B39" s="7">
        <v>0.38009999999999999</v>
      </c>
      <c r="C39" s="2">
        <v>540205</v>
      </c>
      <c r="D39" s="2">
        <v>3918</v>
      </c>
      <c r="E39" s="2">
        <v>1.3787800000000001E-7</v>
      </c>
      <c r="F39" s="2">
        <v>1.11407E-7</v>
      </c>
      <c r="G39" s="2">
        <v>3.3879999999999999E-9</v>
      </c>
      <c r="I39" s="1">
        <v>6</v>
      </c>
      <c r="J39" s="7">
        <v>0.38009999999999999</v>
      </c>
      <c r="K39" s="2">
        <v>587.44299999999998</v>
      </c>
      <c r="L39" s="2">
        <v>3979</v>
      </c>
      <c r="M39" s="2">
        <v>1.4763599999999999E-7</v>
      </c>
      <c r="N39" s="2">
        <v>9.7044000000000005E-8</v>
      </c>
      <c r="O39" s="2">
        <v>4.8320000000000007E-9</v>
      </c>
      <c r="Q39" s="1">
        <v>6</v>
      </c>
      <c r="R39" s="7">
        <v>0.38009999999999999</v>
      </c>
      <c r="S39">
        <v>720.68399999999997</v>
      </c>
      <c r="T39">
        <v>4003</v>
      </c>
      <c r="U39">
        <v>1.8003600000000001E-7</v>
      </c>
      <c r="V39">
        <v>1.0052300000000001E-7</v>
      </c>
      <c r="W39">
        <v>5.4080000000000005E-8</v>
      </c>
      <c r="Y39" s="1">
        <v>6</v>
      </c>
      <c r="Z39" s="7">
        <v>0.38009999999999999</v>
      </c>
      <c r="AA39">
        <v>658.68700000000001</v>
      </c>
      <c r="AB39">
        <v>3993</v>
      </c>
      <c r="AC39">
        <v>1.6495999999999999E-7</v>
      </c>
      <c r="AD39">
        <v>7.8259E-8</v>
      </c>
      <c r="AE39">
        <v>8.7890000000000002E-9</v>
      </c>
    </row>
    <row r="40" spans="1:31">
      <c r="A40" s="1">
        <v>7</v>
      </c>
      <c r="B40" s="7">
        <v>4.53E-2</v>
      </c>
      <c r="C40" s="2">
        <v>11277410000</v>
      </c>
      <c r="D40" s="2">
        <v>462</v>
      </c>
      <c r="E40" s="2">
        <v>24409.971699000002</v>
      </c>
      <c r="F40" s="2">
        <v>14434.159915</v>
      </c>
      <c r="G40" s="2">
        <v>70.723371</v>
      </c>
      <c r="I40" s="1">
        <v>7</v>
      </c>
      <c r="J40" s="7">
        <v>4.53E-2</v>
      </c>
      <c r="K40" s="2">
        <v>8709268.1610000003</v>
      </c>
      <c r="L40" s="2">
        <v>504</v>
      </c>
      <c r="M40" s="2">
        <v>17280.293969999999</v>
      </c>
      <c r="N40" s="2">
        <v>6253.0849280000002</v>
      </c>
      <c r="O40" s="2">
        <v>71.631907999999996</v>
      </c>
      <c r="Q40" s="1">
        <v>7</v>
      </c>
      <c r="R40" s="7">
        <v>4.53E-2</v>
      </c>
      <c r="S40">
        <v>588599.81400000001</v>
      </c>
      <c r="T40">
        <v>495</v>
      </c>
      <c r="U40">
        <v>1189.0905330000001</v>
      </c>
      <c r="V40">
        <v>1875.6620789999999</v>
      </c>
      <c r="W40">
        <v>44.168613000000001</v>
      </c>
      <c r="Y40" s="1">
        <v>7</v>
      </c>
      <c r="Z40" s="7">
        <v>4.53E-2</v>
      </c>
      <c r="AA40">
        <v>3705459.3879999998</v>
      </c>
      <c r="AB40">
        <v>493</v>
      </c>
      <c r="AC40">
        <v>7516.1448030000001</v>
      </c>
      <c r="AD40">
        <v>11780.573103999999</v>
      </c>
      <c r="AE40">
        <v>49.441164999999998</v>
      </c>
    </row>
    <row r="41" spans="1:31">
      <c r="A41" s="1">
        <v>8</v>
      </c>
      <c r="B41" s="7">
        <v>8.2000000000000003E-2</v>
      </c>
      <c r="C41" s="2">
        <v>165230</v>
      </c>
      <c r="D41" s="2">
        <v>903</v>
      </c>
      <c r="E41" s="2">
        <v>1.8297900000000001E-7</v>
      </c>
      <c r="F41" s="2">
        <v>1.6026000000000001E-7</v>
      </c>
      <c r="G41" s="2">
        <v>1.0359999999999999E-9</v>
      </c>
      <c r="I41" s="1">
        <v>8</v>
      </c>
      <c r="J41" s="7">
        <v>8.2000000000000003E-2</v>
      </c>
      <c r="K41" s="2">
        <v>117.524</v>
      </c>
      <c r="L41" s="2">
        <v>862</v>
      </c>
      <c r="M41" s="2">
        <v>1.3633899999999999E-7</v>
      </c>
      <c r="N41" s="2">
        <v>9.9482000000000004E-8</v>
      </c>
      <c r="O41" s="2">
        <v>9.6700000000000007E-10</v>
      </c>
      <c r="Q41" s="1">
        <v>8</v>
      </c>
      <c r="R41" s="7">
        <v>8.2000000000000003E-2</v>
      </c>
      <c r="S41">
        <v>145.03399999999999</v>
      </c>
      <c r="T41">
        <v>800</v>
      </c>
      <c r="U41">
        <v>1.8129200000000001E-7</v>
      </c>
      <c r="V41">
        <v>1.4555199999999998E-7</v>
      </c>
      <c r="W41">
        <v>1.0883000000000001E-8</v>
      </c>
      <c r="Y41" s="1">
        <v>8</v>
      </c>
      <c r="Z41" s="7">
        <v>8.2000000000000003E-2</v>
      </c>
      <c r="AA41">
        <v>49.347999999999999</v>
      </c>
      <c r="AB41">
        <v>838</v>
      </c>
      <c r="AC41">
        <v>5.8888000000000004E-8</v>
      </c>
      <c r="AD41">
        <v>2.7917999999999999E-8</v>
      </c>
      <c r="AE41">
        <v>6.579999999999999E-10</v>
      </c>
    </row>
    <row r="42" spans="1:31">
      <c r="A42" s="1">
        <v>9</v>
      </c>
      <c r="B42" s="7">
        <v>6.1000000000000004E-3</v>
      </c>
      <c r="C42" s="2">
        <v>577427900</v>
      </c>
      <c r="D42" s="2">
        <v>71</v>
      </c>
      <c r="E42" s="2">
        <v>8132.7880139999997</v>
      </c>
      <c r="F42" s="2">
        <v>2271.5446010000001</v>
      </c>
      <c r="G42" s="2">
        <v>3.6211920000000002</v>
      </c>
      <c r="I42" s="1">
        <v>9</v>
      </c>
      <c r="J42" s="7">
        <v>6.1000000000000004E-3</v>
      </c>
      <c r="K42" s="2">
        <v>529017.522</v>
      </c>
      <c r="L42" s="2">
        <v>60</v>
      </c>
      <c r="M42" s="11">
        <v>8816.9586999999992</v>
      </c>
      <c r="N42" s="2">
        <v>2499.252086</v>
      </c>
      <c r="O42" s="2">
        <v>4.3510580000000001</v>
      </c>
      <c r="Q42" s="1">
        <v>9</v>
      </c>
      <c r="R42" s="7">
        <v>6.1000000000000004E-3</v>
      </c>
      <c r="S42">
        <v>15148.761</v>
      </c>
      <c r="T42">
        <v>65</v>
      </c>
      <c r="U42" s="11">
        <v>233.057862</v>
      </c>
      <c r="V42">
        <v>658.22432500000002</v>
      </c>
      <c r="W42">
        <v>1.136765</v>
      </c>
      <c r="Y42" s="1">
        <v>9</v>
      </c>
      <c r="Z42" s="7">
        <v>6.1000000000000004E-3</v>
      </c>
      <c r="AA42">
        <v>293722.58</v>
      </c>
      <c r="AB42">
        <v>54</v>
      </c>
      <c r="AC42" s="2">
        <v>5439.3070369999996</v>
      </c>
      <c r="AD42">
        <v>6223.7169700000004</v>
      </c>
      <c r="AE42">
        <v>3.919079</v>
      </c>
    </row>
    <row r="43" spans="1:31">
      <c r="A43" s="1">
        <v>10</v>
      </c>
      <c r="B43" s="7">
        <v>5.4999999999999997E-3</v>
      </c>
      <c r="C43" s="2">
        <v>362968500</v>
      </c>
      <c r="D43" s="2">
        <v>47</v>
      </c>
      <c r="E43" s="2">
        <v>7722.7350429999997</v>
      </c>
      <c r="F43" s="2">
        <v>2258.036732</v>
      </c>
      <c r="G43" s="2">
        <v>2.2762639999999998</v>
      </c>
      <c r="I43" s="1">
        <v>10</v>
      </c>
      <c r="J43" s="7">
        <v>5.4999999999999997E-3</v>
      </c>
      <c r="K43" s="2">
        <v>476992.22399999999</v>
      </c>
      <c r="L43" s="2">
        <v>51</v>
      </c>
      <c r="M43" s="2">
        <v>9352.7887059999994</v>
      </c>
      <c r="N43" s="2">
        <v>2686.451251</v>
      </c>
      <c r="O43" s="2">
        <v>3.9231609999999999</v>
      </c>
      <c r="Q43" s="1">
        <v>10</v>
      </c>
      <c r="R43" s="7">
        <v>5.4999999999999997E-3</v>
      </c>
      <c r="S43">
        <v>14283.398999999999</v>
      </c>
      <c r="T43">
        <v>51</v>
      </c>
      <c r="U43">
        <v>280.06664699999999</v>
      </c>
      <c r="V43">
        <v>814.08557499999995</v>
      </c>
      <c r="W43">
        <v>1.071828</v>
      </c>
      <c r="Y43" s="1">
        <v>10</v>
      </c>
      <c r="Z43" s="7">
        <v>5.4999999999999997E-3</v>
      </c>
      <c r="AA43">
        <v>200860.421</v>
      </c>
      <c r="AB43">
        <v>60</v>
      </c>
      <c r="AC43">
        <v>3347.673683</v>
      </c>
      <c r="AD43">
        <v>4345.6787560000002</v>
      </c>
      <c r="AE43">
        <v>2.6800380000000001</v>
      </c>
    </row>
    <row r="44" spans="1:31">
      <c r="A44" s="1">
        <v>11</v>
      </c>
      <c r="B44" s="7">
        <v>9.7000000000000003E-3</v>
      </c>
      <c r="C44" s="2">
        <v>435033100</v>
      </c>
      <c r="D44" s="2">
        <v>103</v>
      </c>
      <c r="E44" s="2">
        <v>4223.6224849999999</v>
      </c>
      <c r="F44" s="2">
        <v>67.235319000000004</v>
      </c>
      <c r="G44" s="2">
        <v>2.728199</v>
      </c>
      <c r="I44" s="1">
        <v>11</v>
      </c>
      <c r="J44" s="7">
        <v>9.7000000000000003E-3</v>
      </c>
      <c r="K44" s="2">
        <v>323806.43199999997</v>
      </c>
      <c r="L44" s="2">
        <v>93</v>
      </c>
      <c r="M44" s="2">
        <v>3481.7895910000002</v>
      </c>
      <c r="N44" s="2">
        <v>36.989241999999997</v>
      </c>
      <c r="O44" s="2">
        <v>2.6632400000000001</v>
      </c>
      <c r="Q44" s="1">
        <v>11</v>
      </c>
      <c r="R44" s="7">
        <v>9.7000000000000003E-3</v>
      </c>
      <c r="S44">
        <v>1868.5309999999999</v>
      </c>
      <c r="T44">
        <v>85</v>
      </c>
      <c r="U44">
        <v>21.982717999999998</v>
      </c>
      <c r="V44">
        <v>7.4886699999999999</v>
      </c>
      <c r="W44">
        <v>1.4021500000000002E-7</v>
      </c>
      <c r="Y44" s="1">
        <v>11</v>
      </c>
      <c r="Z44" s="7">
        <v>9.7000000000000003E-3</v>
      </c>
      <c r="AA44">
        <v>134761.09</v>
      </c>
      <c r="AB44">
        <v>115</v>
      </c>
      <c r="AC44">
        <v>1171.8355650000001</v>
      </c>
      <c r="AD44">
        <v>22.046621999999999</v>
      </c>
      <c r="AE44">
        <v>1.798089</v>
      </c>
    </row>
    <row r="45" spans="1:31">
      <c r="A45" s="1">
        <v>12</v>
      </c>
      <c r="B45" s="7">
        <v>6.1999999999999998E-3</v>
      </c>
      <c r="C45" s="2">
        <v>514741500</v>
      </c>
      <c r="D45" s="2">
        <v>63</v>
      </c>
      <c r="E45" s="2">
        <v>8170.5007299999997</v>
      </c>
      <c r="F45" s="2">
        <v>2940.5389449999998</v>
      </c>
      <c r="G45" s="2">
        <v>3.2280700000000002</v>
      </c>
      <c r="I45" s="1">
        <v>12</v>
      </c>
      <c r="J45" s="7">
        <v>6.1999999999999998E-3</v>
      </c>
      <c r="K45" s="2">
        <v>380412.22499999998</v>
      </c>
      <c r="L45" s="2">
        <v>78</v>
      </c>
      <c r="M45" s="2">
        <v>4877.0798080000004</v>
      </c>
      <c r="N45" s="2">
        <v>1657.4241709999999</v>
      </c>
      <c r="O45" s="2">
        <v>3.1288109999999998</v>
      </c>
      <c r="Q45" s="1">
        <v>12</v>
      </c>
      <c r="R45" s="7">
        <v>6.1999999999999998E-3</v>
      </c>
      <c r="S45">
        <v>10344.276</v>
      </c>
      <c r="T45">
        <v>65</v>
      </c>
      <c r="U45">
        <v>159.142708</v>
      </c>
      <c r="V45">
        <v>15.527756999999999</v>
      </c>
      <c r="W45">
        <v>7.7623600000000002E-7</v>
      </c>
      <c r="Y45" s="1">
        <v>12</v>
      </c>
      <c r="Z45" s="7">
        <v>6.1999999999999998E-3</v>
      </c>
      <c r="AA45">
        <v>211605.891</v>
      </c>
      <c r="AB45">
        <v>79</v>
      </c>
      <c r="AC45">
        <v>2678.555582</v>
      </c>
      <c r="AD45">
        <v>1156.713716</v>
      </c>
      <c r="AE45">
        <v>2.823413</v>
      </c>
    </row>
    <row r="46" spans="1:31">
      <c r="A46" s="1">
        <v>13</v>
      </c>
      <c r="B46" s="7">
        <v>6.1000000000000004E-3</v>
      </c>
      <c r="C46" s="2">
        <v>1776324000</v>
      </c>
      <c r="D46" s="2">
        <v>68</v>
      </c>
      <c r="E46" s="2">
        <v>26122.416249999998</v>
      </c>
      <c r="F46" s="2">
        <v>7290.7312030000003</v>
      </c>
      <c r="G46" s="2">
        <v>11.139763</v>
      </c>
      <c r="I46" s="1">
        <v>13</v>
      </c>
      <c r="J46" s="7">
        <v>6.1000000000000004E-3</v>
      </c>
      <c r="K46" s="2">
        <v>626312.23199999996</v>
      </c>
      <c r="L46" s="2">
        <v>51</v>
      </c>
      <c r="M46" s="2">
        <v>12280.632</v>
      </c>
      <c r="N46" s="2">
        <v>9247.6582799999996</v>
      </c>
      <c r="O46" s="2">
        <v>5.1512869999999999</v>
      </c>
      <c r="Q46" s="1">
        <v>13</v>
      </c>
      <c r="R46" s="7">
        <v>6.1000000000000004E-3</v>
      </c>
      <c r="S46">
        <v>610923.09499999997</v>
      </c>
      <c r="T46">
        <v>63</v>
      </c>
      <c r="U46">
        <v>9697.1919839999991</v>
      </c>
      <c r="V46">
        <v>10582.016167</v>
      </c>
      <c r="W46">
        <v>45.843755999999999</v>
      </c>
      <c r="Y46" s="1">
        <v>13</v>
      </c>
      <c r="Z46" s="7">
        <v>6.1000000000000004E-3</v>
      </c>
      <c r="AA46">
        <v>616663.93999999994</v>
      </c>
      <c r="AB46">
        <v>62</v>
      </c>
      <c r="AC46">
        <v>9946.1925809999993</v>
      </c>
      <c r="AD46">
        <v>17690.482263000002</v>
      </c>
      <c r="AE46">
        <v>8.2280169999999995</v>
      </c>
    </row>
    <row r="47" spans="1:31">
      <c r="A47" s="1">
        <v>14</v>
      </c>
      <c r="B47" s="7">
        <v>1.6199999999999999E-2</v>
      </c>
      <c r="C47" s="2">
        <v>793584</v>
      </c>
      <c r="D47" s="2">
        <v>161</v>
      </c>
      <c r="E47" s="2">
        <v>4.9290929999999999</v>
      </c>
      <c r="F47" s="2">
        <v>3.6855570000000002</v>
      </c>
      <c r="G47" s="2">
        <v>4.9769999999999997E-9</v>
      </c>
      <c r="I47" s="1">
        <v>14</v>
      </c>
      <c r="J47" s="7">
        <v>1.6199999999999999E-2</v>
      </c>
      <c r="K47" s="2">
        <v>847.18700000000001</v>
      </c>
      <c r="L47" s="2">
        <v>172</v>
      </c>
      <c r="M47" s="2">
        <v>4.9255060000000004</v>
      </c>
      <c r="N47" s="2">
        <v>3.6290849999999999</v>
      </c>
      <c r="O47" s="2">
        <v>6.9679999999999999E-9</v>
      </c>
      <c r="Q47" s="1">
        <v>14</v>
      </c>
      <c r="R47" s="7">
        <v>1.6199999999999999E-2</v>
      </c>
      <c r="S47">
        <v>70.991</v>
      </c>
      <c r="T47">
        <v>172</v>
      </c>
      <c r="U47">
        <v>4.1273799999999997E-7</v>
      </c>
      <c r="V47">
        <v>4.9086999999999995E-7</v>
      </c>
      <c r="W47">
        <v>5.3270000000000003E-9</v>
      </c>
      <c r="Y47" s="1">
        <v>14</v>
      </c>
      <c r="Z47" s="7">
        <v>1.6199999999999999E-2</v>
      </c>
      <c r="AA47">
        <v>1026.24</v>
      </c>
      <c r="AB47">
        <v>179</v>
      </c>
      <c r="AC47">
        <v>5.7331839999999996</v>
      </c>
      <c r="AD47">
        <v>4.3935259999999996</v>
      </c>
      <c r="AE47">
        <v>1.3693000000000001E-8</v>
      </c>
    </row>
    <row r="48" spans="1:31">
      <c r="A48" s="1">
        <v>15</v>
      </c>
      <c r="B48" s="7">
        <v>7.6899999999999996E-2</v>
      </c>
      <c r="C48" s="2">
        <v>93380</v>
      </c>
      <c r="D48" s="2">
        <v>837</v>
      </c>
      <c r="E48" s="2">
        <v>1.1156499999999999E-7</v>
      </c>
      <c r="F48" s="2">
        <v>6.6726999999999999E-8</v>
      </c>
      <c r="G48" s="2">
        <v>5.8600000000000004E-10</v>
      </c>
      <c r="I48" s="1">
        <v>15</v>
      </c>
      <c r="J48" s="7">
        <v>7.6899999999999996E-2</v>
      </c>
      <c r="K48" s="2">
        <v>73.984999999999999</v>
      </c>
      <c r="L48" s="2">
        <v>783</v>
      </c>
      <c r="M48" s="2">
        <v>9.4489000000000007E-8</v>
      </c>
      <c r="N48" s="2">
        <v>4.7693000000000002E-8</v>
      </c>
      <c r="O48" s="2">
        <v>6.0899999999999996E-10</v>
      </c>
      <c r="Q48" s="1">
        <v>15</v>
      </c>
      <c r="R48" s="7">
        <v>7.6899999999999996E-2</v>
      </c>
      <c r="S48">
        <v>64.195999999999998</v>
      </c>
      <c r="T48">
        <v>788</v>
      </c>
      <c r="U48">
        <v>8.1466999999999998E-8</v>
      </c>
      <c r="V48">
        <v>4.3400999999999999E-8</v>
      </c>
      <c r="W48">
        <v>4.8170000000000002E-9</v>
      </c>
      <c r="Y48" s="1">
        <v>15</v>
      </c>
      <c r="Z48" s="7">
        <v>7.6899999999999996E-2</v>
      </c>
      <c r="AA48">
        <v>73.909000000000006</v>
      </c>
      <c r="AB48">
        <v>774</v>
      </c>
      <c r="AC48">
        <v>9.5490000000000003E-8</v>
      </c>
      <c r="AD48">
        <v>3.8768999999999995E-8</v>
      </c>
      <c r="AE48">
        <v>9.859999999999999E-10</v>
      </c>
    </row>
    <row r="49" spans="5:29">
      <c r="E49" s="10">
        <f>SUMPRODUCT(B34:B48,E34:E48)</f>
        <v>1546.3559942300797</v>
      </c>
      <c r="M49" s="10">
        <f>SUMPRODUCT(J40:J48,M40:M48)</f>
        <v>1027.024005051946</v>
      </c>
      <c r="U49" s="10">
        <f>SUMPRODUCT(R40:R48,U40:U48)</f>
        <v>117.1806089460171</v>
      </c>
      <c r="AC49" s="10">
        <f>SUMPRODUCT(Z40:Z48,AC40:AC48)</f>
        <v>480.81183968407191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A042B-5D4F-46DA-BAD6-CA3999FE608D}">
  <dimension ref="A1:O24"/>
  <sheetViews>
    <sheetView topLeftCell="B4" zoomScale="130" zoomScaleNormal="130" workbookViewId="0">
      <selection activeCell="K20" sqref="K20"/>
    </sheetView>
  </sheetViews>
  <sheetFormatPr defaultColWidth="8.75" defaultRowHeight="14"/>
  <cols>
    <col min="1" max="1" width="15.4140625" style="12" bestFit="1" customWidth="1"/>
    <col min="2" max="2" width="12.1640625" style="12" bestFit="1" customWidth="1"/>
    <col min="3" max="3" width="13.83203125" style="12" bestFit="1" customWidth="1"/>
    <col min="4" max="4" width="15.1640625" style="12" customWidth="1"/>
    <col min="5" max="5" width="3" style="12" customWidth="1"/>
    <col min="6" max="6" width="14" style="12" bestFit="1" customWidth="1"/>
    <col min="7" max="7" width="15" style="12" customWidth="1"/>
    <col min="8" max="8" width="14.75" style="12" bestFit="1" customWidth="1"/>
    <col min="9" max="9" width="13.4140625" style="12" customWidth="1"/>
    <col min="10" max="10" width="3.1640625" style="12" customWidth="1"/>
    <col min="11" max="11" width="22.1640625" style="12" bestFit="1" customWidth="1"/>
    <col min="12" max="12" width="11.16406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640625" style="12" bestFit="1" customWidth="1"/>
    <col min="18" max="18" width="11.25" style="12" bestFit="1" customWidth="1"/>
    <col min="19" max="20" width="9.25" style="12" bestFit="1" customWidth="1"/>
    <col min="21" max="16384" width="8.75" style="12"/>
  </cols>
  <sheetData>
    <row r="1" spans="1:15" ht="28">
      <c r="A1" s="13" t="s">
        <v>22</v>
      </c>
      <c r="C1" s="19" t="s">
        <v>13</v>
      </c>
      <c r="D1" s="23" t="s">
        <v>35</v>
      </c>
      <c r="E1" s="13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2">
      <c r="A6" s="13" t="s">
        <v>36</v>
      </c>
      <c r="B6" s="13" t="s">
        <v>16</v>
      </c>
      <c r="C6" s="13" t="s">
        <v>39</v>
      </c>
      <c r="D6" s="13" t="s">
        <v>38</v>
      </c>
      <c r="E6" s="13"/>
      <c r="F6" s="13" t="s">
        <v>40</v>
      </c>
      <c r="G6" s="13" t="s">
        <v>41</v>
      </c>
      <c r="K6" s="13" t="s">
        <v>44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5x'!E30</f>
        <v>62.661454358204836</v>
      </c>
      <c r="C7" s="20">
        <f>$B7*C$3/1000</f>
        <v>626.61454358204833</v>
      </c>
      <c r="D7" s="22">
        <f>$B7*D$3/1000</f>
        <v>93310.800882616139</v>
      </c>
      <c r="E7" s="25"/>
      <c r="F7" s="21">
        <f>C7/60</f>
        <v>10.443575726367472</v>
      </c>
      <c r="G7" s="24">
        <f>D7/60</f>
        <v>1555.180014710269</v>
      </c>
      <c r="H7" s="16"/>
      <c r="I7" s="16"/>
      <c r="J7" s="16"/>
    </row>
    <row r="8" spans="1:15">
      <c r="A8" s="12" t="s">
        <v>15</v>
      </c>
      <c r="B8" s="14">
        <f>'Query 5x'!M30</f>
        <v>1.6944514585070638</v>
      </c>
      <c r="C8" s="20">
        <f>$B8*C$3/1000</f>
        <v>16.944514585070639</v>
      </c>
      <c r="D8" s="22">
        <f>$B8*D$3/1000</f>
        <v>2523.2517226007899</v>
      </c>
      <c r="E8" s="25"/>
      <c r="F8" s="21">
        <f>C8/60</f>
        <v>0.282408576417844</v>
      </c>
      <c r="G8" s="24">
        <f>D8/60</f>
        <v>42.054195376679829</v>
      </c>
      <c r="H8" s="16"/>
      <c r="I8" s="16"/>
      <c r="J8" s="16"/>
      <c r="K8" s="12">
        <v>319.2</v>
      </c>
      <c r="L8" s="17">
        <f>K8*$D$24</f>
        <v>785870.4</v>
      </c>
      <c r="M8" s="15">
        <f>L8/60</f>
        <v>13097.84</v>
      </c>
      <c r="N8" s="15">
        <f>M8/60</f>
        <v>218.29733333333334</v>
      </c>
      <c r="O8" s="15">
        <f>N8/24</f>
        <v>9.0957222222222232</v>
      </c>
    </row>
    <row r="10" spans="1:15" ht="42">
      <c r="A10" s="13" t="s">
        <v>37</v>
      </c>
      <c r="B10" s="13" t="s">
        <v>16</v>
      </c>
      <c r="C10" s="13" t="s">
        <v>39</v>
      </c>
      <c r="D10" s="13" t="s">
        <v>38</v>
      </c>
      <c r="E10" s="13"/>
      <c r="F10" s="13" t="s">
        <v>40</v>
      </c>
      <c r="G10" s="13" t="s">
        <v>41</v>
      </c>
      <c r="H10" s="13" t="s">
        <v>42</v>
      </c>
      <c r="I10" s="13" t="s">
        <v>43</v>
      </c>
      <c r="J10" s="13"/>
      <c r="K10" s="13" t="s">
        <v>45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5x'!E49</f>
        <v>1546.3559942300797</v>
      </c>
      <c r="C11" s="20">
        <f t="shared" ref="C11:D13" si="0">$B11*C$4/1000</f>
        <v>15463.559942300797</v>
      </c>
      <c r="D11" s="22">
        <f t="shared" si="0"/>
        <v>5603050.8459333284</v>
      </c>
      <c r="E11" s="25"/>
      <c r="F11" s="21">
        <f t="shared" ref="F11:G13" si="1">C11/60</f>
        <v>257.72599903834663</v>
      </c>
      <c r="G11" s="24">
        <f t="shared" si="1"/>
        <v>93384.180765555473</v>
      </c>
      <c r="H11" s="24">
        <f>G11/60</f>
        <v>1556.403012759258</v>
      </c>
      <c r="I11" s="24">
        <f>H11/24</f>
        <v>64.850125531635754</v>
      </c>
      <c r="J11" s="16"/>
      <c r="K11" s="18"/>
      <c r="L11" s="18"/>
      <c r="M11" s="18"/>
      <c r="N11" s="18"/>
      <c r="O11" s="18"/>
    </row>
    <row r="12" spans="1:15">
      <c r="A12" s="12" t="s">
        <v>18</v>
      </c>
      <c r="B12" s="14">
        <f>'Query 5x'!M49</f>
        <v>1027.024005051946</v>
      </c>
      <c r="C12" s="20">
        <f t="shared" si="0"/>
        <v>10270.24005051946</v>
      </c>
      <c r="D12" s="22">
        <f t="shared" si="0"/>
        <v>3721308.5096651707</v>
      </c>
      <c r="E12" s="25"/>
      <c r="F12" s="21">
        <f t="shared" si="1"/>
        <v>171.17066750865766</v>
      </c>
      <c r="G12" s="24">
        <f t="shared" si="1"/>
        <v>62021.808494419514</v>
      </c>
      <c r="H12" s="24">
        <f>G12/60</f>
        <v>1033.6968082403253</v>
      </c>
      <c r="I12" s="24">
        <f>H12/24</f>
        <v>43.070700343346886</v>
      </c>
      <c r="J12" s="16"/>
      <c r="K12" s="18"/>
      <c r="L12" s="18"/>
      <c r="M12" s="18"/>
      <c r="N12" s="18"/>
      <c r="O12" s="18"/>
    </row>
    <row r="13" spans="1:15">
      <c r="A13" s="12" t="s">
        <v>19</v>
      </c>
      <c r="B13" s="14">
        <f>'Query 5x'!U49</f>
        <v>117.1806089460171</v>
      </c>
      <c r="C13" s="20">
        <f t="shared" si="0"/>
        <v>1171.8060894601711</v>
      </c>
      <c r="D13" s="22">
        <f t="shared" si="0"/>
        <v>424591.04664890893</v>
      </c>
      <c r="E13" s="25"/>
      <c r="F13" s="21">
        <f t="shared" si="1"/>
        <v>19.530101491002849</v>
      </c>
      <c r="G13" s="24">
        <f t="shared" si="1"/>
        <v>7076.5174441484824</v>
      </c>
      <c r="H13" s="24">
        <f>G13/60</f>
        <v>117.9419574024747</v>
      </c>
      <c r="I13" s="24">
        <f>H13/24</f>
        <v>4.9142482251031128</v>
      </c>
      <c r="J13" s="16"/>
      <c r="K13" s="18">
        <v>521.9</v>
      </c>
      <c r="L13" s="17">
        <f>K13*$D$24</f>
        <v>1284917.8</v>
      </c>
      <c r="M13" s="15">
        <f>L13/60</f>
        <v>21415.296666666669</v>
      </c>
      <c r="N13" s="15">
        <f>M13/60</f>
        <v>356.92161111111113</v>
      </c>
      <c r="O13" s="15">
        <f>N13/24</f>
        <v>14.871733796296297</v>
      </c>
    </row>
    <row r="23" spans="1:7">
      <c r="A23" s="13" t="s">
        <v>26</v>
      </c>
      <c r="B23" s="13" t="s">
        <v>27</v>
      </c>
      <c r="C23" s="13" t="s">
        <v>28</v>
      </c>
      <c r="D23" s="13" t="s">
        <v>29</v>
      </c>
      <c r="E23" s="13"/>
      <c r="G23" s="13"/>
    </row>
    <row r="24" spans="1:7">
      <c r="A24" s="12" t="s">
        <v>30</v>
      </c>
      <c r="B24" s="12">
        <v>1231000000</v>
      </c>
      <c r="C24" s="12">
        <v>500000</v>
      </c>
      <c r="D24" s="17">
        <f>B24/C24</f>
        <v>2462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62C2-05AD-4EDF-8FA5-0FC927BA6B9A}">
  <dimension ref="A1:AE49"/>
  <sheetViews>
    <sheetView topLeftCell="A22" zoomScaleNormal="100" workbookViewId="0">
      <selection activeCell="AA34" sqref="AA34:AE48"/>
    </sheetView>
  </sheetViews>
  <sheetFormatPr defaultColWidth="28.1640625" defaultRowHeight="14"/>
  <cols>
    <col min="1" max="1" width="7.83203125" customWidth="1"/>
    <col min="2" max="2" width="6.25" bestFit="1" customWidth="1"/>
    <col min="3" max="5" width="12.58203125" customWidth="1"/>
    <col min="6" max="6" width="12.58203125" hidden="1" customWidth="1"/>
    <col min="7" max="7" width="12.58203125" customWidth="1"/>
    <col min="8" max="8" width="4.83203125" customWidth="1"/>
    <col min="9" max="9" width="7.4140625" customWidth="1"/>
    <col min="10" max="10" width="6.4140625" bestFit="1" customWidth="1"/>
    <col min="11" max="13" width="11.83203125" customWidth="1"/>
    <col min="14" max="14" width="11.83203125" hidden="1" customWidth="1"/>
    <col min="15" max="15" width="11.83203125" customWidth="1"/>
    <col min="16" max="16" width="5.75" customWidth="1"/>
    <col min="17" max="18" width="6.75" customWidth="1"/>
    <col min="19" max="21" width="12.4140625" customWidth="1"/>
    <col min="22" max="22" width="12.4140625" hidden="1" customWidth="1"/>
    <col min="23" max="23" width="12.4140625" customWidth="1"/>
    <col min="24" max="24" width="6.33203125" customWidth="1"/>
    <col min="25" max="25" width="6.6640625" customWidth="1"/>
    <col min="26" max="26" width="6.4140625" bestFit="1" customWidth="1"/>
    <col min="27" max="29" width="11.58203125" customWidth="1"/>
    <col min="30" max="30" width="11.58203125" hidden="1" customWidth="1"/>
    <col min="31" max="31" width="11.58203125" customWidth="1"/>
  </cols>
  <sheetData>
    <row r="1" spans="1:7" ht="26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6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11484.314</v>
      </c>
      <c r="D3" s="2">
        <v>6013</v>
      </c>
      <c r="E3" s="4">
        <v>1.9099139999999999</v>
      </c>
      <c r="F3" s="2">
        <v>1.2153419999999999</v>
      </c>
      <c r="G3" s="2">
        <v>1.4669080000000001</v>
      </c>
    </row>
    <row r="4" spans="1:7">
      <c r="A4" s="1">
        <v>2</v>
      </c>
      <c r="B4" s="7">
        <v>0.22459999999999999</v>
      </c>
      <c r="C4" s="2">
        <v>404097.152</v>
      </c>
      <c r="D4" s="2">
        <v>2211</v>
      </c>
      <c r="E4" s="4">
        <v>182.76669000000001</v>
      </c>
      <c r="F4" s="2">
        <v>101.391473</v>
      </c>
      <c r="G4" s="2">
        <v>51.615912000000002</v>
      </c>
    </row>
    <row r="5" spans="1:7">
      <c r="A5" s="1">
        <v>3</v>
      </c>
      <c r="B5" s="7">
        <v>4.7500000000000001E-2</v>
      </c>
      <c r="C5" s="2">
        <v>111099.35</v>
      </c>
      <c r="D5" s="2">
        <v>512</v>
      </c>
      <c r="E5" s="4">
        <v>216.99091799999999</v>
      </c>
      <c r="F5" s="2">
        <v>154.42049499999999</v>
      </c>
      <c r="G5" s="2">
        <v>14.19088</v>
      </c>
    </row>
    <row r="6" spans="1:7">
      <c r="A6" s="1">
        <v>4</v>
      </c>
      <c r="B6" s="7">
        <v>0.114</v>
      </c>
      <c r="C6" s="2">
        <v>256011.49100000001</v>
      </c>
      <c r="D6" s="2">
        <v>1151</v>
      </c>
      <c r="E6" s="4">
        <v>222.425275</v>
      </c>
      <c r="F6" s="2">
        <v>156.76627099999999</v>
      </c>
      <c r="G6" s="2">
        <v>32.700716999999997</v>
      </c>
    </row>
    <row r="7" spans="1:7">
      <c r="A7" s="1">
        <v>5</v>
      </c>
      <c r="B7" s="7">
        <v>1.09E-2</v>
      </c>
      <c r="C7" s="2">
        <v>200.28700000000001</v>
      </c>
      <c r="D7" s="2">
        <v>113</v>
      </c>
      <c r="E7" s="4">
        <v>1.772451</v>
      </c>
      <c r="F7" s="2">
        <v>9.586843</v>
      </c>
      <c r="G7" s="2">
        <v>2.5583000000000002E-8</v>
      </c>
    </row>
    <row r="8" spans="1:7">
      <c r="B8" s="8"/>
      <c r="E8" s="10">
        <f>SUMPRODUCT(B3:B7,E3:E7)</f>
        <v>77.883946386899993</v>
      </c>
    </row>
    <row r="9" spans="1:7">
      <c r="B9" s="8"/>
      <c r="E9" s="6"/>
    </row>
    <row r="10" spans="1:7" ht="26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6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4761.0209999999997</v>
      </c>
      <c r="D12" s="3">
        <v>6104</v>
      </c>
      <c r="E12" s="5">
        <v>7.7998400000000003E-7</v>
      </c>
      <c r="F12" s="3">
        <v>6.6902500000000002E-7</v>
      </c>
      <c r="G12" s="3">
        <v>8.3123970000000007</v>
      </c>
    </row>
    <row r="13" spans="1:7">
      <c r="A13" s="1">
        <v>2</v>
      </c>
      <c r="B13" s="7">
        <v>0.22459999999999999</v>
      </c>
      <c r="C13" s="2">
        <v>18215.063999999998</v>
      </c>
      <c r="D13" s="3">
        <v>2224</v>
      </c>
      <c r="E13" s="5">
        <v>8.1902270000000001</v>
      </c>
      <c r="F13" s="3">
        <v>5.5119030000000002</v>
      </c>
      <c r="G13" s="3">
        <v>31.802181000000001</v>
      </c>
    </row>
    <row r="14" spans="1:7">
      <c r="A14" s="1">
        <v>3</v>
      </c>
      <c r="B14" s="7">
        <v>4.7500000000000001E-2</v>
      </c>
      <c r="C14" s="2">
        <v>9833.4609999999993</v>
      </c>
      <c r="D14" s="3">
        <v>472</v>
      </c>
      <c r="E14" s="5">
        <v>20.833604000000001</v>
      </c>
      <c r="F14" s="3">
        <v>22.772856000000001</v>
      </c>
      <c r="G14" s="3">
        <v>17.168510000000001</v>
      </c>
    </row>
    <row r="15" spans="1:7">
      <c r="A15" s="1">
        <v>4</v>
      </c>
      <c r="B15" s="7">
        <v>0.114</v>
      </c>
      <c r="C15" s="2">
        <v>24293.846000000001</v>
      </c>
      <c r="D15" s="3">
        <v>1095</v>
      </c>
      <c r="E15" s="5">
        <v>22.186160999999998</v>
      </c>
      <c r="F15" s="3">
        <v>20.771301999999999</v>
      </c>
      <c r="G15" s="3">
        <v>42.415292999999998</v>
      </c>
    </row>
    <row r="16" spans="1:7">
      <c r="A16" s="1">
        <v>5</v>
      </c>
      <c r="B16" s="7">
        <v>1.09E-2</v>
      </c>
      <c r="C16" s="2">
        <v>172.756</v>
      </c>
      <c r="D16" s="3">
        <v>105</v>
      </c>
      <c r="E16" s="5">
        <v>1.645295</v>
      </c>
      <c r="F16" s="3">
        <v>5.0284560000000003</v>
      </c>
      <c r="G16" s="3">
        <v>3.0161900000000005E-7</v>
      </c>
    </row>
    <row r="17" spans="1:31">
      <c r="B17" s="8"/>
      <c r="E17" s="10">
        <f>SUMPRODUCT(B12:B16,E12:E16)</f>
        <v>5.3762777140303513</v>
      </c>
    </row>
    <row r="18" spans="1:31">
      <c r="B18" s="8"/>
    </row>
    <row r="19" spans="1:31" ht="39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  <c r="Q19" s="1">
        <v>2013</v>
      </c>
      <c r="R19" s="1" t="s">
        <v>9</v>
      </c>
      <c r="S19" s="1" t="s">
        <v>0</v>
      </c>
      <c r="T19" s="1" t="s">
        <v>1</v>
      </c>
      <c r="U19" s="1" t="s">
        <v>2</v>
      </c>
      <c r="V19" s="1" t="s">
        <v>3</v>
      </c>
      <c r="W19" s="1" t="s">
        <v>4</v>
      </c>
    </row>
    <row r="20" spans="1:31" ht="26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  <c r="Q20" s="1" t="s">
        <v>5</v>
      </c>
      <c r="R20" s="9"/>
      <c r="S20" s="1"/>
      <c r="T20" s="1"/>
      <c r="U20" s="1"/>
      <c r="V20" s="1"/>
      <c r="W20" s="1"/>
    </row>
    <row r="21" spans="1:31">
      <c r="A21" s="1">
        <v>1</v>
      </c>
      <c r="B21" s="7">
        <v>0.1066</v>
      </c>
      <c r="C21" s="2">
        <v>1001.5359999999999</v>
      </c>
      <c r="D21" s="2">
        <v>1878</v>
      </c>
      <c r="E21" s="2">
        <v>5.3329900000000002E-7</v>
      </c>
      <c r="F21" s="2">
        <v>5.25048E-7</v>
      </c>
      <c r="G21" s="2">
        <v>8.6367999999999996E-8</v>
      </c>
      <c r="I21" s="1">
        <v>1</v>
      </c>
      <c r="J21" s="7">
        <v>0.1066</v>
      </c>
      <c r="K21" s="2">
        <v>950.09699999999998</v>
      </c>
      <c r="L21" s="2">
        <v>1959</v>
      </c>
      <c r="M21" s="2">
        <v>4.8499099999999998E-7</v>
      </c>
      <c r="N21" s="2">
        <v>3.0398199999999995E-7</v>
      </c>
      <c r="O21" s="2">
        <v>4.8036190000000003</v>
      </c>
      <c r="Q21" s="1">
        <v>1</v>
      </c>
      <c r="R21" s="7">
        <v>0.1066</v>
      </c>
      <c r="S21" s="2">
        <v>3612.37</v>
      </c>
      <c r="T21" s="2">
        <v>1870</v>
      </c>
      <c r="U21" s="2">
        <v>1.9317489999999999</v>
      </c>
      <c r="V21" s="2">
        <v>1.3156060000000001</v>
      </c>
      <c r="W21" s="2">
        <v>7.0323999999999994E-7</v>
      </c>
    </row>
    <row r="22" spans="1:31">
      <c r="A22" s="1">
        <v>2</v>
      </c>
      <c r="B22" s="7">
        <v>1.3299999999999999E-2</v>
      </c>
      <c r="C22" s="2">
        <v>1756.271</v>
      </c>
      <c r="D22" s="2">
        <v>235</v>
      </c>
      <c r="E22" s="2">
        <v>7.4734939999999996</v>
      </c>
      <c r="F22" s="2">
        <v>5.2624649999999997</v>
      </c>
      <c r="G22" s="2">
        <v>1.51453E-7</v>
      </c>
      <c r="I22" s="1">
        <v>2</v>
      </c>
      <c r="J22" s="7">
        <v>1.3299999999999999E-2</v>
      </c>
      <c r="K22" s="2">
        <v>2966.61</v>
      </c>
      <c r="L22" s="2">
        <v>228</v>
      </c>
      <c r="M22" s="2">
        <v>13.011447</v>
      </c>
      <c r="N22" s="2">
        <v>10.382001000000001</v>
      </c>
      <c r="O22" s="2">
        <v>14.998957000000001</v>
      </c>
      <c r="Q22" s="1">
        <v>2</v>
      </c>
      <c r="R22" s="7">
        <v>1.3299999999999999E-2</v>
      </c>
      <c r="S22" s="2">
        <v>80758.187000000005</v>
      </c>
      <c r="T22" s="2">
        <v>250</v>
      </c>
      <c r="U22" s="2">
        <v>323.03274800000003</v>
      </c>
      <c r="V22" s="2">
        <v>169.00903199999999</v>
      </c>
      <c r="W22" s="2">
        <v>15.721648</v>
      </c>
    </row>
    <row r="23" spans="1:31">
      <c r="A23" s="1">
        <v>3</v>
      </c>
      <c r="B23" s="7">
        <v>0.14130000000000001</v>
      </c>
      <c r="C23" s="2">
        <v>1151521.747</v>
      </c>
      <c r="D23" s="2">
        <v>2570</v>
      </c>
      <c r="E23" s="2">
        <v>448.06293699999998</v>
      </c>
      <c r="F23" s="2">
        <v>252.06518299999999</v>
      </c>
      <c r="G23" s="2">
        <v>99.302346</v>
      </c>
      <c r="I23" s="1">
        <v>3</v>
      </c>
      <c r="J23" s="7">
        <v>0.14130000000000001</v>
      </c>
      <c r="K23" s="2">
        <v>14087.25</v>
      </c>
      <c r="L23" s="2">
        <v>2488</v>
      </c>
      <c r="M23" s="2">
        <v>5.6620780000000002</v>
      </c>
      <c r="N23" s="2">
        <v>7.1309319999999996</v>
      </c>
      <c r="O23" s="2">
        <v>71.224076999999994</v>
      </c>
      <c r="Q23" s="1">
        <v>3</v>
      </c>
      <c r="R23" s="7">
        <v>0.14130000000000001</v>
      </c>
      <c r="S23" s="2">
        <v>429210.46799999999</v>
      </c>
      <c r="T23" s="2">
        <v>2600</v>
      </c>
      <c r="U23" s="2">
        <v>165.080949</v>
      </c>
      <c r="V23" s="2">
        <v>95.267078999999995</v>
      </c>
      <c r="W23" s="2">
        <v>83.556804</v>
      </c>
    </row>
    <row r="24" spans="1:31">
      <c r="A24" s="1">
        <v>4</v>
      </c>
      <c r="B24" s="7">
        <v>5.4699999999999999E-2</v>
      </c>
      <c r="C24" s="2">
        <v>1163.9100000000001</v>
      </c>
      <c r="D24" s="2">
        <v>989</v>
      </c>
      <c r="E24" s="2">
        <v>1.176855</v>
      </c>
      <c r="F24" s="2">
        <v>21.235512</v>
      </c>
      <c r="G24" s="2">
        <v>1.0037100000000001E-7</v>
      </c>
      <c r="I24" s="1">
        <v>4</v>
      </c>
      <c r="J24" s="7">
        <v>5.4699999999999999E-2</v>
      </c>
      <c r="K24" s="2">
        <v>118.014</v>
      </c>
      <c r="L24" s="2">
        <v>978</v>
      </c>
      <c r="M24" s="2">
        <v>1.2066900000000001E-7</v>
      </c>
      <c r="N24" s="2">
        <v>1.787787</v>
      </c>
      <c r="O24" s="2">
        <v>5.9667000000000006E-7</v>
      </c>
      <c r="Q24" s="1">
        <v>4</v>
      </c>
      <c r="R24" s="7">
        <v>5.4699999999999999E-2</v>
      </c>
      <c r="S24" s="2">
        <v>19.972999999999999</v>
      </c>
      <c r="T24" s="2">
        <v>929</v>
      </c>
      <c r="U24" s="2">
        <v>2.1498999999999999E-8</v>
      </c>
      <c r="V24" s="2">
        <v>9.1780000000000012E-9</v>
      </c>
      <c r="W24" s="2">
        <v>3.8879999999999998E-9</v>
      </c>
    </row>
    <row r="25" spans="1:31">
      <c r="A25" s="1">
        <v>5</v>
      </c>
      <c r="B25" s="7">
        <v>4.6800000000000001E-2</v>
      </c>
      <c r="C25" s="2">
        <v>21.917999999999999</v>
      </c>
      <c r="D25" s="2">
        <v>839</v>
      </c>
      <c r="E25" s="2">
        <v>2.6124000000000003E-8</v>
      </c>
      <c r="F25" s="2">
        <v>1.3717999999999999E-8</v>
      </c>
      <c r="G25" s="2">
        <v>1.8899999999999999E-9</v>
      </c>
      <c r="I25" s="1">
        <v>5</v>
      </c>
      <c r="J25" s="7">
        <v>4.6800000000000001E-2</v>
      </c>
      <c r="K25" s="2">
        <v>21.434999999999999</v>
      </c>
      <c r="L25" s="2">
        <v>853</v>
      </c>
      <c r="M25" s="2">
        <v>2.5129E-8</v>
      </c>
      <c r="N25" s="2">
        <v>1.7581E-8</v>
      </c>
      <c r="O25" s="2">
        <v>1.08374E-7</v>
      </c>
      <c r="Q25" s="1">
        <v>5</v>
      </c>
      <c r="R25" s="7">
        <v>4.6800000000000001E-2</v>
      </c>
      <c r="S25" s="2">
        <v>10.08</v>
      </c>
      <c r="T25" s="2">
        <v>857</v>
      </c>
      <c r="U25" s="2">
        <v>1.1762E-8</v>
      </c>
      <c r="V25" s="2">
        <v>6.278E-9</v>
      </c>
      <c r="W25" s="2">
        <v>1.962E-9</v>
      </c>
    </row>
    <row r="26" spans="1:31">
      <c r="A26" s="1">
        <v>6</v>
      </c>
      <c r="B26" s="7">
        <v>0.10780000000000001</v>
      </c>
      <c r="C26" s="2">
        <v>4046.9490000000001</v>
      </c>
      <c r="D26" s="2">
        <v>1939</v>
      </c>
      <c r="E26" s="2">
        <v>2.087132</v>
      </c>
      <c r="F26" s="2">
        <v>19.679151000000001</v>
      </c>
      <c r="G26" s="2">
        <v>3.4899200000000001E-7</v>
      </c>
      <c r="I26" s="1">
        <v>6</v>
      </c>
      <c r="J26" s="7">
        <v>0.10780000000000001</v>
      </c>
      <c r="K26" s="2">
        <v>1601.5709999999999</v>
      </c>
      <c r="L26" s="2">
        <v>1925</v>
      </c>
      <c r="M26" s="2">
        <v>8.3198499999999994E-7</v>
      </c>
      <c r="N26" s="2">
        <v>14.670491</v>
      </c>
      <c r="O26" s="2">
        <v>8.0974229999999991</v>
      </c>
      <c r="Q26" s="1">
        <v>6</v>
      </c>
      <c r="R26" s="7">
        <v>0.10780000000000001</v>
      </c>
      <c r="S26" s="2">
        <v>32.515000000000001</v>
      </c>
      <c r="T26" s="2">
        <v>1940</v>
      </c>
      <c r="U26" s="2">
        <v>1.6759999999999999E-8</v>
      </c>
      <c r="V26" s="2">
        <v>6.7590000000000003E-9</v>
      </c>
      <c r="W26" s="2">
        <v>6.3299999999999994E-9</v>
      </c>
    </row>
    <row r="27" spans="1:31">
      <c r="A27" s="1">
        <v>7</v>
      </c>
      <c r="B27" s="7">
        <v>3.49E-2</v>
      </c>
      <c r="C27" s="2">
        <v>14.456</v>
      </c>
      <c r="D27" s="2">
        <v>661</v>
      </c>
      <c r="E27" s="2">
        <v>2.187E-8</v>
      </c>
      <c r="F27" s="2">
        <v>1.1472E-8</v>
      </c>
      <c r="G27" s="2">
        <v>1.2470000000000001E-9</v>
      </c>
      <c r="I27" s="1">
        <v>7</v>
      </c>
      <c r="J27" s="7">
        <v>3.49E-2</v>
      </c>
      <c r="K27" s="2">
        <v>12.576000000000001</v>
      </c>
      <c r="L27" s="2">
        <v>596</v>
      </c>
      <c r="M27" s="2">
        <v>2.1101000000000001E-8</v>
      </c>
      <c r="N27" s="2">
        <v>1.1161000000000001E-8</v>
      </c>
      <c r="O27" s="2">
        <v>6.3582999999999994E-8</v>
      </c>
      <c r="Q27" s="1">
        <v>7</v>
      </c>
      <c r="R27" s="7">
        <v>3.49E-2</v>
      </c>
      <c r="S27" s="2">
        <v>12.382</v>
      </c>
      <c r="T27" s="2">
        <v>629</v>
      </c>
      <c r="U27" s="2">
        <v>1.9685000000000001E-8</v>
      </c>
      <c r="V27" s="2">
        <v>6.8020000000000003E-9</v>
      </c>
      <c r="W27" s="2">
        <v>2.4099999999999997E-9</v>
      </c>
    </row>
    <row r="28" spans="1:31">
      <c r="A28" s="1">
        <v>8</v>
      </c>
      <c r="B28" s="7">
        <v>2.63E-2</v>
      </c>
      <c r="C28" s="2">
        <v>9.4640000000000004</v>
      </c>
      <c r="D28" s="2">
        <v>468</v>
      </c>
      <c r="E28" s="2">
        <v>2.0222000000000001E-8</v>
      </c>
      <c r="F28" s="2">
        <v>9.9100000000000007E-9</v>
      </c>
      <c r="G28" s="2">
        <v>8.1599999999999997E-10</v>
      </c>
      <c r="I28" s="1">
        <v>8</v>
      </c>
      <c r="J28" s="7">
        <v>2.63E-2</v>
      </c>
      <c r="K28" s="2">
        <v>9.282</v>
      </c>
      <c r="L28" s="2">
        <v>502</v>
      </c>
      <c r="M28" s="2">
        <v>1.8489999999999999E-8</v>
      </c>
      <c r="N28" s="2">
        <v>1.2210999999999999E-8</v>
      </c>
      <c r="O28" s="2">
        <v>4.6928999999999996E-8</v>
      </c>
      <c r="Q28" s="1">
        <v>8</v>
      </c>
      <c r="R28" s="7">
        <v>2.63E-2</v>
      </c>
      <c r="S28" s="2">
        <v>8.6150000000000002</v>
      </c>
      <c r="T28" s="2">
        <v>440</v>
      </c>
      <c r="U28" s="2">
        <v>1.9580000000000001E-8</v>
      </c>
      <c r="V28" s="2">
        <v>7.1520000000000001E-9</v>
      </c>
      <c r="W28" s="2">
        <v>1.6770000000000001E-9</v>
      </c>
    </row>
    <row r="29" spans="1:31">
      <c r="A29" s="1">
        <v>9</v>
      </c>
      <c r="B29" s="7">
        <v>2.7300000000000001E-2</v>
      </c>
      <c r="C29" s="2">
        <v>75.572000000000003</v>
      </c>
      <c r="D29" s="2">
        <v>421</v>
      </c>
      <c r="E29" s="2">
        <v>1.7950599999999999E-7</v>
      </c>
      <c r="F29" s="2">
        <v>8.7822400000000004E-7</v>
      </c>
      <c r="G29" s="2">
        <v>6.5170000000000006E-9</v>
      </c>
      <c r="I29" s="1">
        <v>9</v>
      </c>
      <c r="J29" s="7">
        <v>2.7300000000000001E-2</v>
      </c>
      <c r="K29" s="2">
        <v>11.94</v>
      </c>
      <c r="L29" s="2">
        <v>471</v>
      </c>
      <c r="M29" s="2">
        <v>2.5350000000000002E-8</v>
      </c>
      <c r="N29" s="2">
        <v>5.3102999999999996E-8</v>
      </c>
      <c r="O29" s="2">
        <v>6.0368000000000002E-8</v>
      </c>
      <c r="Q29" s="1">
        <v>9</v>
      </c>
      <c r="R29" s="7">
        <v>2.7300000000000001E-2</v>
      </c>
      <c r="S29" s="2">
        <v>10.473000000000001</v>
      </c>
      <c r="T29" s="2">
        <v>485</v>
      </c>
      <c r="U29" s="2">
        <v>2.1593999999999998E-8</v>
      </c>
      <c r="V29" s="2">
        <v>9.6820000000000003E-9</v>
      </c>
      <c r="W29" s="2">
        <v>2.0390000000000001E-9</v>
      </c>
    </row>
    <row r="30" spans="1:31">
      <c r="B30" s="8"/>
      <c r="E30" s="10">
        <f>SUMPRODUCT(B21:B29,E21:E29)</f>
        <v>63.700057330667896</v>
      </c>
      <c r="M30" s="10">
        <f>SUMPRODUCT(J21:J29,M21:M29)</f>
        <v>0.97310401757942211</v>
      </c>
      <c r="U30" s="10">
        <f>SUMPRODUCT(R21:R29,U21:U29)</f>
        <v>27.828198090824664</v>
      </c>
    </row>
    <row r="31" spans="1:31">
      <c r="B31" s="8"/>
    </row>
    <row r="32" spans="1:31" ht="39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  <c r="Y32" s="1">
        <v>2023</v>
      </c>
      <c r="Z32" s="1" t="s">
        <v>9</v>
      </c>
      <c r="AA32" s="1" t="s">
        <v>0</v>
      </c>
      <c r="AB32" s="1" t="s">
        <v>1</v>
      </c>
      <c r="AC32" s="1" t="s">
        <v>2</v>
      </c>
      <c r="AD32" s="1" t="s">
        <v>3</v>
      </c>
      <c r="AE32" s="1" t="s">
        <v>4</v>
      </c>
    </row>
    <row r="33" spans="1:31" ht="26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  <c r="Y33" s="1" t="s">
        <v>5</v>
      </c>
      <c r="Z33" s="9"/>
      <c r="AA33" s="1"/>
      <c r="AB33" s="1"/>
      <c r="AC33" s="1"/>
      <c r="AD33" s="1"/>
      <c r="AE33" s="1"/>
    </row>
    <row r="34" spans="1:31">
      <c r="A34" s="1">
        <v>1</v>
      </c>
      <c r="B34" s="7">
        <v>7.9299999999999995E-2</v>
      </c>
      <c r="C34" s="2">
        <v>6573421</v>
      </c>
      <c r="D34" s="2">
        <v>837</v>
      </c>
      <c r="E34" s="2">
        <v>7.8535500000000003</v>
      </c>
      <c r="F34" s="2">
        <v>5.4695960000000001</v>
      </c>
      <c r="G34" s="2">
        <v>2.0286999999999998E-8</v>
      </c>
      <c r="I34" s="1">
        <v>1</v>
      </c>
      <c r="J34" s="7">
        <v>7.9299999999999995E-2</v>
      </c>
      <c r="K34" s="2">
        <v>1184821000</v>
      </c>
      <c r="L34" s="2">
        <v>848</v>
      </c>
      <c r="M34" s="2">
        <v>1397.194829</v>
      </c>
      <c r="N34" s="2">
        <v>619.54401299999995</v>
      </c>
      <c r="O34" s="2">
        <v>5.0254719999999997</v>
      </c>
      <c r="Q34" s="1">
        <v>1</v>
      </c>
      <c r="R34" s="7">
        <v>7.9299999999999995E-2</v>
      </c>
      <c r="S34" s="2">
        <v>15231.263000000001</v>
      </c>
      <c r="T34" s="2">
        <v>875</v>
      </c>
      <c r="U34" s="2">
        <v>17.407157999999999</v>
      </c>
      <c r="V34" s="2">
        <v>9.2477040000000006</v>
      </c>
      <c r="W34" s="2">
        <v>5.9184000000000004E-7</v>
      </c>
      <c r="Y34" s="1">
        <v>1</v>
      </c>
      <c r="Z34" s="7">
        <v>7.9299999999999995E-2</v>
      </c>
      <c r="AA34">
        <v>277586.89799999999</v>
      </c>
      <c r="AB34">
        <v>879</v>
      </c>
      <c r="AC34">
        <v>315.798519</v>
      </c>
      <c r="AD34">
        <v>178.20420899999999</v>
      </c>
      <c r="AE34">
        <v>2.3408340000000001</v>
      </c>
    </row>
    <row r="35" spans="1:31">
      <c r="A35" s="1">
        <v>2</v>
      </c>
      <c r="B35" s="7">
        <v>6.1600000000000002E-2</v>
      </c>
      <c r="C35" s="2">
        <v>338687</v>
      </c>
      <c r="D35" s="2">
        <v>663</v>
      </c>
      <c r="E35" s="2">
        <v>5.1083999999999999E-7</v>
      </c>
      <c r="F35" s="2">
        <v>4.9877000000000001E-7</v>
      </c>
      <c r="G35" s="2">
        <v>1.045E-9</v>
      </c>
      <c r="I35" s="1">
        <v>2</v>
      </c>
      <c r="J35" s="7">
        <v>6.1600000000000002E-2</v>
      </c>
      <c r="K35" s="2">
        <v>347296</v>
      </c>
      <c r="L35" s="2">
        <v>637</v>
      </c>
      <c r="M35" s="2">
        <v>5.4520599999999994E-7</v>
      </c>
      <c r="N35" s="2">
        <v>3.7800800000000003E-7</v>
      </c>
      <c r="O35" s="2">
        <v>1.473E-9</v>
      </c>
      <c r="Q35" s="1">
        <v>2</v>
      </c>
      <c r="R35" s="7">
        <v>6.1600000000000002E-2</v>
      </c>
      <c r="S35" s="2">
        <v>463.61500000000001</v>
      </c>
      <c r="T35" s="2">
        <v>631</v>
      </c>
      <c r="U35" s="2">
        <v>7.3473100000000004E-7</v>
      </c>
      <c r="V35" s="2">
        <v>4.8300200000000003E-7</v>
      </c>
      <c r="W35" s="2">
        <v>1.8015E-8</v>
      </c>
      <c r="Y35" s="1">
        <v>2</v>
      </c>
      <c r="Z35" s="7">
        <v>6.1600000000000002E-2</v>
      </c>
      <c r="AA35">
        <v>1268.348</v>
      </c>
      <c r="AB35">
        <v>639</v>
      </c>
      <c r="AC35">
        <v>1.9848950000000001</v>
      </c>
      <c r="AD35">
        <v>1.4160299999999999</v>
      </c>
      <c r="AE35">
        <v>1.0696E-8</v>
      </c>
    </row>
    <row r="36" spans="1:31">
      <c r="A36" s="1">
        <v>3</v>
      </c>
      <c r="B36" s="7">
        <v>9.0300000000000005E-2</v>
      </c>
      <c r="C36" s="2">
        <v>271599100</v>
      </c>
      <c r="D36" s="2">
        <v>955</v>
      </c>
      <c r="E36" s="2">
        <v>284.39691599999998</v>
      </c>
      <c r="F36" s="2">
        <v>274.91044499999998</v>
      </c>
      <c r="G36" s="2">
        <v>8.3821599999999999E-7</v>
      </c>
      <c r="I36" s="1">
        <v>3</v>
      </c>
      <c r="J36" s="7">
        <v>9.0300000000000005E-2</v>
      </c>
      <c r="K36" s="2">
        <v>33637900</v>
      </c>
      <c r="L36" s="2">
        <v>946</v>
      </c>
      <c r="M36" s="2">
        <v>35.558030000000002</v>
      </c>
      <c r="N36" s="2">
        <v>11.123042</v>
      </c>
      <c r="O36" s="2">
        <v>1.42677E-7</v>
      </c>
      <c r="Q36" s="1">
        <v>3</v>
      </c>
      <c r="R36" s="7">
        <v>9.0300000000000005E-2</v>
      </c>
      <c r="S36" s="2">
        <v>45109.779000000002</v>
      </c>
      <c r="T36" s="2">
        <v>1003</v>
      </c>
      <c r="U36" s="2">
        <v>44.974854000000001</v>
      </c>
      <c r="V36" s="2">
        <v>112.10972700000001</v>
      </c>
      <c r="W36" s="2">
        <v>1.7528269999999999</v>
      </c>
      <c r="Y36" s="1">
        <v>3</v>
      </c>
      <c r="Z36" s="7">
        <v>9.0300000000000005E-2</v>
      </c>
      <c r="AA36">
        <v>58990.330999999998</v>
      </c>
      <c r="AB36">
        <v>975</v>
      </c>
      <c r="AC36">
        <v>60.502904000000001</v>
      </c>
      <c r="AD36">
        <v>109.554102</v>
      </c>
      <c r="AE36">
        <v>4.97454E-7</v>
      </c>
    </row>
    <row r="37" spans="1:31">
      <c r="A37" s="1">
        <v>4</v>
      </c>
      <c r="B37" s="7">
        <v>7.6700000000000004E-2</v>
      </c>
      <c r="C37" s="2">
        <v>1645561000</v>
      </c>
      <c r="D37" s="2">
        <v>832</v>
      </c>
      <c r="E37" s="2">
        <v>1977.83725</v>
      </c>
      <c r="F37" s="2">
        <v>790.46935099999996</v>
      </c>
      <c r="G37" s="2">
        <v>5.07857</v>
      </c>
      <c r="I37" s="1">
        <v>4</v>
      </c>
      <c r="J37" s="7">
        <v>7.6700000000000004E-2</v>
      </c>
      <c r="K37" s="2">
        <v>954682000</v>
      </c>
      <c r="L37" s="2">
        <v>796</v>
      </c>
      <c r="M37" s="2">
        <v>1199.3492980000001</v>
      </c>
      <c r="N37" s="2">
        <v>3010.9810440000001</v>
      </c>
      <c r="O37" s="2">
        <v>4.0493259999999998</v>
      </c>
      <c r="Q37" s="1">
        <v>4</v>
      </c>
      <c r="R37" s="7">
        <v>7.6700000000000004E-2</v>
      </c>
      <c r="S37" s="2">
        <v>27032.903999999999</v>
      </c>
      <c r="T37" s="2">
        <v>742</v>
      </c>
      <c r="U37" s="2">
        <v>36.432485</v>
      </c>
      <c r="V37" s="2">
        <v>66.570026999999996</v>
      </c>
      <c r="W37" s="2">
        <v>1.050416</v>
      </c>
      <c r="Y37" s="1">
        <v>4</v>
      </c>
      <c r="Z37" s="7">
        <v>7.6700000000000004E-2</v>
      </c>
      <c r="AA37">
        <v>2123145.7560000001</v>
      </c>
      <c r="AB37">
        <v>753</v>
      </c>
      <c r="AC37">
        <v>2819.5826769999999</v>
      </c>
      <c r="AD37">
        <v>1034.78799</v>
      </c>
      <c r="AE37">
        <v>17.904060000000001</v>
      </c>
    </row>
    <row r="38" spans="1:31">
      <c r="A38" s="1">
        <v>5</v>
      </c>
      <c r="B38" s="7">
        <v>1.4200000000000001E-2</v>
      </c>
      <c r="C38" s="2">
        <v>7123</v>
      </c>
      <c r="D38" s="2">
        <v>156</v>
      </c>
      <c r="E38" s="2">
        <v>4.566E-8</v>
      </c>
      <c r="F38" s="2">
        <v>2.1107999999999999E-8</v>
      </c>
      <c r="G38" s="2">
        <v>2.1999999999999998E-11</v>
      </c>
      <c r="I38" s="1">
        <v>5</v>
      </c>
      <c r="J38" s="7">
        <v>1.4200000000000001E-2</v>
      </c>
      <c r="K38" s="2">
        <v>6304</v>
      </c>
      <c r="L38" s="2">
        <v>169</v>
      </c>
      <c r="M38" s="2">
        <v>3.7301999999999999E-8</v>
      </c>
      <c r="N38" s="2">
        <v>1.9744000000000001E-8</v>
      </c>
      <c r="O38" s="2">
        <v>2.7E-11</v>
      </c>
      <c r="Q38" s="1">
        <v>5</v>
      </c>
      <c r="R38" s="7">
        <v>1.4200000000000001E-2</v>
      </c>
      <c r="S38" s="2">
        <v>3.6349999999999998</v>
      </c>
      <c r="T38" s="2">
        <v>135</v>
      </c>
      <c r="U38" s="2">
        <v>2.6925999999999999E-8</v>
      </c>
      <c r="V38" s="2">
        <v>1.8673999999999999E-8</v>
      </c>
      <c r="W38" s="2">
        <v>1.41E-10</v>
      </c>
      <c r="Y38" s="1">
        <v>5</v>
      </c>
      <c r="Z38" s="7">
        <v>1.4200000000000001E-2</v>
      </c>
      <c r="AA38">
        <v>2.61</v>
      </c>
      <c r="AB38">
        <v>153</v>
      </c>
      <c r="AC38">
        <v>1.7059000000000001E-8</v>
      </c>
      <c r="AD38">
        <v>6.1260000000000006E-9</v>
      </c>
      <c r="AE38">
        <v>2.1999999999999998E-11</v>
      </c>
    </row>
    <row r="39" spans="1:31">
      <c r="A39" s="1">
        <v>6</v>
      </c>
      <c r="B39" s="7">
        <v>0.38009999999999999</v>
      </c>
      <c r="C39" s="2">
        <v>599991</v>
      </c>
      <c r="D39" s="2">
        <v>4017</v>
      </c>
      <c r="E39" s="2">
        <v>1.4936299999999999E-7</v>
      </c>
      <c r="F39" s="2">
        <v>1.31662E-7</v>
      </c>
      <c r="G39" s="2">
        <v>1.852E-9</v>
      </c>
      <c r="I39" s="1">
        <v>6</v>
      </c>
      <c r="J39" s="7">
        <v>0.38009999999999999</v>
      </c>
      <c r="K39" s="2">
        <v>648072</v>
      </c>
      <c r="L39" s="2">
        <v>3966</v>
      </c>
      <c r="M39" s="2">
        <v>1.63407E-7</v>
      </c>
      <c r="N39" s="2">
        <v>1.2769700000000001E-7</v>
      </c>
      <c r="O39" s="2">
        <v>2.7490000000000003E-9</v>
      </c>
      <c r="Q39" s="1">
        <v>6</v>
      </c>
      <c r="R39" s="7">
        <v>0.38009999999999999</v>
      </c>
      <c r="S39" s="2">
        <v>10646.594999999999</v>
      </c>
      <c r="T39" s="2">
        <v>3915</v>
      </c>
      <c r="U39" s="2">
        <v>2.7194370000000001</v>
      </c>
      <c r="V39" s="2">
        <v>31.600626999999999</v>
      </c>
      <c r="W39" s="2">
        <v>4.13694E-7</v>
      </c>
      <c r="Y39" s="1">
        <v>6</v>
      </c>
      <c r="Z39" s="7">
        <v>0.38009999999999999</v>
      </c>
      <c r="AA39">
        <v>635.85</v>
      </c>
      <c r="AB39">
        <v>3955</v>
      </c>
      <c r="AC39">
        <v>1.60771E-7</v>
      </c>
      <c r="AD39">
        <v>6.7832000000000008E-8</v>
      </c>
      <c r="AE39">
        <v>5.3619999999999995E-9</v>
      </c>
    </row>
    <row r="40" spans="1:31">
      <c r="A40" s="1">
        <v>7</v>
      </c>
      <c r="B40" s="7">
        <v>4.53E-2</v>
      </c>
      <c r="C40" s="2">
        <v>24098270000</v>
      </c>
      <c r="D40" s="2">
        <v>455</v>
      </c>
      <c r="E40" s="2">
        <v>52963.233036999998</v>
      </c>
      <c r="F40" s="2">
        <v>26501.069305000001</v>
      </c>
      <c r="G40" s="2">
        <v>74.372681</v>
      </c>
      <c r="I40" s="1">
        <v>7</v>
      </c>
      <c r="J40" s="7">
        <v>4.53E-2</v>
      </c>
      <c r="K40" s="2">
        <v>15910070000</v>
      </c>
      <c r="L40" s="2">
        <v>463</v>
      </c>
      <c r="M40" s="2">
        <v>34362.992521</v>
      </c>
      <c r="N40" s="2">
        <v>12719.431514</v>
      </c>
      <c r="O40" s="2">
        <v>67.483248000000003</v>
      </c>
      <c r="Q40" s="1">
        <v>7</v>
      </c>
      <c r="R40" s="7">
        <v>4.53E-2</v>
      </c>
      <c r="S40" s="2">
        <v>1140641.3319999999</v>
      </c>
      <c r="T40" s="2">
        <v>475</v>
      </c>
      <c r="U40" s="2">
        <v>2401.3501729999998</v>
      </c>
      <c r="V40" s="2">
        <v>4730.6748379999999</v>
      </c>
      <c r="W40" s="2">
        <v>44.321815999999998</v>
      </c>
      <c r="Y40" s="1">
        <v>7</v>
      </c>
      <c r="Z40" s="7">
        <v>4.53E-2</v>
      </c>
      <c r="AA40">
        <v>6775651.5199999996</v>
      </c>
      <c r="AB40">
        <v>493</v>
      </c>
      <c r="AC40">
        <v>13743.715050999999</v>
      </c>
      <c r="AD40">
        <v>20858.459416999998</v>
      </c>
      <c r="AE40">
        <v>57.137703000000002</v>
      </c>
    </row>
    <row r="41" spans="1:31">
      <c r="A41" s="1">
        <v>8</v>
      </c>
      <c r="B41" s="7">
        <v>8.2000000000000003E-2</v>
      </c>
      <c r="C41" s="2">
        <v>492534</v>
      </c>
      <c r="D41" s="2">
        <v>831</v>
      </c>
      <c r="E41" s="2">
        <v>5.9269999999999995E-7</v>
      </c>
      <c r="F41" s="2">
        <v>10.765121000000001</v>
      </c>
      <c r="G41" s="2">
        <v>1.5200000000000001E-9</v>
      </c>
      <c r="I41" s="1">
        <v>8</v>
      </c>
      <c r="J41" s="7">
        <v>8.2000000000000003E-2</v>
      </c>
      <c r="K41" s="2">
        <v>176051</v>
      </c>
      <c r="L41" s="2">
        <v>837</v>
      </c>
      <c r="M41" s="2">
        <v>2.1033599999999999E-7</v>
      </c>
      <c r="N41" s="2">
        <v>1.7207209999999999</v>
      </c>
      <c r="O41" s="2">
        <v>7.4700000000000001E-10</v>
      </c>
      <c r="Q41" s="1">
        <v>8</v>
      </c>
      <c r="R41" s="7">
        <v>8.2000000000000003E-2</v>
      </c>
      <c r="S41" s="2">
        <v>1474.13</v>
      </c>
      <c r="T41" s="2">
        <v>890</v>
      </c>
      <c r="U41" s="2">
        <v>1.656326</v>
      </c>
      <c r="V41" s="2">
        <v>12.748148</v>
      </c>
      <c r="W41" s="2">
        <v>5.7280000000000001E-8</v>
      </c>
      <c r="Y41" s="1">
        <v>8</v>
      </c>
      <c r="Z41" s="7">
        <v>8.2000000000000003E-2</v>
      </c>
      <c r="AA41">
        <v>47.104999999999997</v>
      </c>
      <c r="AB41">
        <v>796</v>
      </c>
      <c r="AC41">
        <v>5.9177000000000001E-8</v>
      </c>
      <c r="AD41">
        <v>2.915E-8</v>
      </c>
      <c r="AE41">
        <v>3.9700000000000002E-10</v>
      </c>
    </row>
    <row r="42" spans="1:31">
      <c r="A42" s="1">
        <v>9</v>
      </c>
      <c r="B42" s="7">
        <v>6.1000000000000004E-3</v>
      </c>
      <c r="C42" s="2">
        <v>1006566000</v>
      </c>
      <c r="D42" s="2">
        <v>69</v>
      </c>
      <c r="E42" s="2">
        <v>14587.917826000001</v>
      </c>
      <c r="F42" s="2">
        <v>5341.1771849999996</v>
      </c>
      <c r="G42" s="2">
        <v>3.10649</v>
      </c>
      <c r="I42" s="1">
        <v>9</v>
      </c>
      <c r="J42" s="7">
        <v>6.1000000000000004E-3</v>
      </c>
      <c r="K42" s="2">
        <v>1192275000</v>
      </c>
      <c r="L42" s="2">
        <v>65</v>
      </c>
      <c r="M42" s="2">
        <v>18342.694307999998</v>
      </c>
      <c r="N42" s="2">
        <v>6229.0343780000003</v>
      </c>
      <c r="O42" s="2">
        <v>5.0570880000000002</v>
      </c>
      <c r="Q42" s="1">
        <v>9</v>
      </c>
      <c r="R42" s="7">
        <v>6.1000000000000004E-3</v>
      </c>
      <c r="S42" s="2">
        <v>41258.957999999999</v>
      </c>
      <c r="T42" s="2">
        <v>60</v>
      </c>
      <c r="U42" s="2">
        <v>687.64930000000004</v>
      </c>
      <c r="V42" s="2">
        <v>2011.0977049999999</v>
      </c>
      <c r="W42" s="2">
        <v>1.6031960000000001</v>
      </c>
      <c r="Y42" s="1">
        <v>9</v>
      </c>
      <c r="Z42" s="7">
        <v>6.1000000000000004E-3</v>
      </c>
      <c r="AA42">
        <v>470177.05099999998</v>
      </c>
      <c r="AB42">
        <v>66</v>
      </c>
      <c r="AC42" s="2">
        <v>7123.8947120000003</v>
      </c>
      <c r="AD42">
        <v>11264.876672</v>
      </c>
      <c r="AE42">
        <v>3.9649079999999999</v>
      </c>
    </row>
    <row r="43" spans="1:31">
      <c r="A43" s="1">
        <v>10</v>
      </c>
      <c r="B43" s="7">
        <v>5.4999999999999997E-3</v>
      </c>
      <c r="C43" s="2">
        <v>598720400</v>
      </c>
      <c r="D43" s="2">
        <v>44</v>
      </c>
      <c r="E43" s="2">
        <v>13607.281226999999</v>
      </c>
      <c r="F43" s="2">
        <v>3922.4007179999999</v>
      </c>
      <c r="G43" s="2">
        <v>1.8477859999999999</v>
      </c>
      <c r="I43" s="1">
        <v>10</v>
      </c>
      <c r="J43" s="7">
        <v>5.4999999999999997E-3</v>
      </c>
      <c r="K43" s="2">
        <v>946237600</v>
      </c>
      <c r="L43" s="2">
        <v>49</v>
      </c>
      <c r="M43" s="2">
        <v>19310.971449000001</v>
      </c>
      <c r="N43" s="2">
        <v>4612.5947169999999</v>
      </c>
      <c r="O43" s="2">
        <v>4.013509</v>
      </c>
      <c r="Q43" s="1">
        <v>10</v>
      </c>
      <c r="R43" s="7">
        <v>5.4999999999999997E-3</v>
      </c>
      <c r="S43" s="2">
        <v>28966.190999999999</v>
      </c>
      <c r="T43" s="2">
        <v>59</v>
      </c>
      <c r="U43" s="2">
        <v>490.95238999999998</v>
      </c>
      <c r="V43" s="2">
        <v>1407.0351949999999</v>
      </c>
      <c r="W43" s="2">
        <v>1.125537</v>
      </c>
      <c r="Y43" s="1">
        <v>10</v>
      </c>
      <c r="Z43" s="7">
        <v>5.4999999999999997E-3</v>
      </c>
      <c r="AA43">
        <v>409231.83299999998</v>
      </c>
      <c r="AB43">
        <v>57</v>
      </c>
      <c r="AC43">
        <v>7179.5058419999996</v>
      </c>
      <c r="AD43">
        <v>11650.160057999999</v>
      </c>
      <c r="AE43">
        <v>3.4509699999999999</v>
      </c>
    </row>
    <row r="44" spans="1:31">
      <c r="A44" s="1">
        <v>11</v>
      </c>
      <c r="B44" s="7">
        <v>9.7000000000000003E-3</v>
      </c>
      <c r="C44" s="2">
        <v>596785600</v>
      </c>
      <c r="D44" s="2">
        <v>90</v>
      </c>
      <c r="E44" s="2">
        <v>6630.9508779999996</v>
      </c>
      <c r="F44" s="2">
        <v>93.360727999999995</v>
      </c>
      <c r="G44" s="2">
        <v>1.8418140000000001</v>
      </c>
      <c r="I44" s="1">
        <v>11</v>
      </c>
      <c r="J44" s="7">
        <v>9.7000000000000003E-3</v>
      </c>
      <c r="K44" s="2">
        <v>1080196000</v>
      </c>
      <c r="L44" s="2">
        <v>102</v>
      </c>
      <c r="M44" s="2">
        <v>10590.153813999999</v>
      </c>
      <c r="N44" s="2">
        <v>434.31737399999997</v>
      </c>
      <c r="O44" s="2">
        <v>4.5816980000000003</v>
      </c>
      <c r="Q44" s="1">
        <v>11</v>
      </c>
      <c r="R44" s="7">
        <v>9.7000000000000003E-3</v>
      </c>
      <c r="S44" s="2">
        <v>3018.6669999999999</v>
      </c>
      <c r="T44" s="2">
        <v>101</v>
      </c>
      <c r="U44" s="2">
        <v>29.887792000000001</v>
      </c>
      <c r="V44" s="2">
        <v>9.9513300000000005</v>
      </c>
      <c r="W44" s="2">
        <v>1.1729599999999999E-7</v>
      </c>
      <c r="Y44" s="1">
        <v>11</v>
      </c>
      <c r="Z44" s="7">
        <v>9.7000000000000003E-3</v>
      </c>
      <c r="AA44">
        <v>143630.117</v>
      </c>
      <c r="AB44">
        <v>117</v>
      </c>
      <c r="AC44">
        <v>1227.6078379999999</v>
      </c>
      <c r="AD44">
        <v>23.71518</v>
      </c>
      <c r="AE44">
        <v>1.2112039999999999</v>
      </c>
    </row>
    <row r="45" spans="1:31">
      <c r="A45" s="1">
        <v>12</v>
      </c>
      <c r="B45" s="7">
        <v>6.1999999999999998E-3</v>
      </c>
      <c r="C45" s="2">
        <v>839134500</v>
      </c>
      <c r="D45" s="2">
        <v>56</v>
      </c>
      <c r="E45" s="2">
        <v>14984.544320999999</v>
      </c>
      <c r="F45" s="2">
        <v>5590.8643069999998</v>
      </c>
      <c r="G45" s="2">
        <v>2.5897579999999998</v>
      </c>
      <c r="I45" s="1">
        <v>12</v>
      </c>
      <c r="J45" s="7">
        <v>6.1999999999999998E-3</v>
      </c>
      <c r="K45" s="2">
        <v>573489600</v>
      </c>
      <c r="L45" s="2">
        <v>58</v>
      </c>
      <c r="M45" s="2">
        <v>9887.7525519999999</v>
      </c>
      <c r="N45" s="2">
        <v>3350.460067</v>
      </c>
      <c r="O45" s="2">
        <v>2.4324819999999998</v>
      </c>
      <c r="Q45" s="1">
        <v>12</v>
      </c>
      <c r="R45" s="7">
        <v>6.1999999999999998E-3</v>
      </c>
      <c r="S45" s="2">
        <v>16481.848999999998</v>
      </c>
      <c r="T45" s="2">
        <v>53</v>
      </c>
      <c r="U45" s="2">
        <v>310.97828299999998</v>
      </c>
      <c r="V45" s="2">
        <v>28.316008</v>
      </c>
      <c r="W45" s="2">
        <v>6.4043399999999992E-7</v>
      </c>
      <c r="Y45" s="1">
        <v>12</v>
      </c>
      <c r="Z45" s="7">
        <v>6.1999999999999998E-3</v>
      </c>
      <c r="AA45">
        <v>220615.62599999999</v>
      </c>
      <c r="AB45">
        <v>74</v>
      </c>
      <c r="AC45">
        <v>2981.2922429999999</v>
      </c>
      <c r="AD45">
        <v>1213.19173</v>
      </c>
      <c r="AE45">
        <v>1.8604069999999999</v>
      </c>
    </row>
    <row r="46" spans="1:31">
      <c r="A46" s="1">
        <v>13</v>
      </c>
      <c r="B46" s="7">
        <v>6.1000000000000004E-3</v>
      </c>
      <c r="C46" s="2">
        <v>3319002000</v>
      </c>
      <c r="D46" s="2">
        <v>58</v>
      </c>
      <c r="E46" s="2">
        <v>57224.167621000001</v>
      </c>
      <c r="F46" s="2">
        <v>17443.921590999998</v>
      </c>
      <c r="G46" s="2">
        <v>10.243185</v>
      </c>
      <c r="I46" s="1">
        <v>13</v>
      </c>
      <c r="J46" s="7">
        <v>6.1000000000000004E-3</v>
      </c>
      <c r="K46" s="2">
        <v>1694532000</v>
      </c>
      <c r="L46" s="2">
        <v>65</v>
      </c>
      <c r="M46" s="2">
        <v>26069.725092000001</v>
      </c>
      <c r="N46" s="2">
        <v>20005.622089</v>
      </c>
      <c r="O46" s="2">
        <v>7.1874330000000004</v>
      </c>
      <c r="Q46" s="1">
        <v>13</v>
      </c>
      <c r="R46" s="7">
        <v>6.1000000000000004E-3</v>
      </c>
      <c r="S46" s="2">
        <v>1191519.558</v>
      </c>
      <c r="T46" s="2">
        <v>67</v>
      </c>
      <c r="U46" s="2">
        <v>17783.874</v>
      </c>
      <c r="V46" s="2">
        <v>29709.596373</v>
      </c>
      <c r="W46" s="2">
        <v>46.298788000000002</v>
      </c>
      <c r="Y46" s="1">
        <v>13</v>
      </c>
      <c r="Z46" s="7">
        <v>6.1000000000000004E-3</v>
      </c>
      <c r="AA46">
        <v>1376577.41</v>
      </c>
      <c r="AB46">
        <v>59</v>
      </c>
      <c r="AC46">
        <v>23331.820508000001</v>
      </c>
      <c r="AD46">
        <v>41570.796939</v>
      </c>
      <c r="AE46">
        <v>11.6084</v>
      </c>
    </row>
    <row r="47" spans="1:31">
      <c r="A47" s="1">
        <v>14</v>
      </c>
      <c r="B47" s="7">
        <v>1.6199999999999999E-2</v>
      </c>
      <c r="C47" s="2">
        <v>868150</v>
      </c>
      <c r="D47" s="2">
        <v>173</v>
      </c>
      <c r="E47" s="2">
        <v>5.0182079999999996</v>
      </c>
      <c r="F47" s="2">
        <v>3.3561999999999999</v>
      </c>
      <c r="G47" s="2">
        <v>2.679E-9</v>
      </c>
      <c r="I47" s="1">
        <v>14</v>
      </c>
      <c r="J47" s="7">
        <v>1.6199999999999999E-2</v>
      </c>
      <c r="K47" s="2">
        <v>1045643</v>
      </c>
      <c r="L47" s="2">
        <v>175</v>
      </c>
      <c r="M47" s="2">
        <v>5.9751029999999998</v>
      </c>
      <c r="N47" s="2">
        <v>4.6920029999999997</v>
      </c>
      <c r="O47" s="2">
        <v>4.4349999999999997E-9</v>
      </c>
      <c r="Q47" s="1">
        <v>14</v>
      </c>
      <c r="R47" s="7">
        <v>1.6199999999999999E-2</v>
      </c>
      <c r="S47" s="2">
        <v>70.614999999999995</v>
      </c>
      <c r="T47" s="2">
        <v>163</v>
      </c>
      <c r="U47" s="2">
        <v>4.3322100000000004E-7</v>
      </c>
      <c r="V47" s="2">
        <v>5.8080800000000002E-7</v>
      </c>
      <c r="W47" s="2">
        <v>2.744E-9</v>
      </c>
      <c r="Y47" s="1">
        <v>14</v>
      </c>
      <c r="Z47" s="7">
        <v>1.6199999999999999E-2</v>
      </c>
      <c r="AA47">
        <v>821.81100000000004</v>
      </c>
      <c r="AB47">
        <v>173</v>
      </c>
      <c r="AC47">
        <v>4.7503529999999996</v>
      </c>
      <c r="AD47">
        <v>3.568257</v>
      </c>
      <c r="AE47">
        <v>6.9300000000000007E-9</v>
      </c>
    </row>
    <row r="48" spans="1:31">
      <c r="A48" s="1">
        <v>15</v>
      </c>
      <c r="B48" s="7">
        <v>7.6899999999999996E-2</v>
      </c>
      <c r="C48" s="2">
        <v>17528040</v>
      </c>
      <c r="D48" s="2">
        <v>764</v>
      </c>
      <c r="E48" s="2">
        <v>22.942457000000001</v>
      </c>
      <c r="F48" s="2">
        <v>89.830115000000006</v>
      </c>
      <c r="G48" s="2">
        <v>5.4094999999999996E-8</v>
      </c>
      <c r="I48" s="1">
        <v>15</v>
      </c>
      <c r="J48" s="7">
        <v>7.6899999999999996E-2</v>
      </c>
      <c r="K48" s="2">
        <v>4158371</v>
      </c>
      <c r="L48" s="2">
        <v>824</v>
      </c>
      <c r="M48" s="2">
        <v>5.0465669999999996</v>
      </c>
      <c r="N48" s="2">
        <v>42.924895999999997</v>
      </c>
      <c r="O48" s="2">
        <v>1.7638000000000002E-8</v>
      </c>
      <c r="Q48" s="1">
        <v>15</v>
      </c>
      <c r="R48" s="7">
        <v>7.6899999999999996E-2</v>
      </c>
      <c r="S48" s="2">
        <v>51624.661</v>
      </c>
      <c r="T48" s="2">
        <v>831</v>
      </c>
      <c r="U48" s="2">
        <v>62.123539000000001</v>
      </c>
      <c r="V48" s="2">
        <v>178.605039</v>
      </c>
      <c r="W48" s="2">
        <v>2.005976</v>
      </c>
      <c r="Y48" s="1">
        <v>15</v>
      </c>
      <c r="Z48" s="7">
        <v>7.6899999999999996E-2</v>
      </c>
      <c r="AA48">
        <v>77.512</v>
      </c>
      <c r="AB48">
        <v>811</v>
      </c>
      <c r="AC48">
        <v>9.5575999999999995E-8</v>
      </c>
      <c r="AD48">
        <v>4.3516999999999999E-8</v>
      </c>
      <c r="AE48">
        <v>6.5399999999999991E-10</v>
      </c>
    </row>
    <row r="49" spans="5:29">
      <c r="E49" s="10">
        <f>SUMPRODUCT(B34:B48,E34:E48)</f>
        <v>3249.2021380132906</v>
      </c>
      <c r="M49" s="10">
        <f>SUMPRODUCT(J40:J48,M40:M48)</f>
        <v>2098.2830980171475</v>
      </c>
      <c r="U49" s="10">
        <f>SUMPRODUCT(R40:R48,U40:U48)</f>
        <v>231.28878893701815</v>
      </c>
      <c r="AC49" s="10">
        <f>SUMPRODUCT(Z40:Z48,AC40:AC48)</f>
        <v>878.32620044930229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7D2CC-D581-4801-8D9A-94E9E5C0D6CA}">
  <dimension ref="A1:O24"/>
  <sheetViews>
    <sheetView topLeftCell="B1" zoomScale="130" zoomScaleNormal="130" workbookViewId="0">
      <selection activeCell="K21" sqref="K18:K21"/>
    </sheetView>
  </sheetViews>
  <sheetFormatPr defaultColWidth="8.75" defaultRowHeight="14"/>
  <cols>
    <col min="1" max="1" width="15.4140625" style="12" bestFit="1" customWidth="1"/>
    <col min="2" max="2" width="12.1640625" style="12" bestFit="1" customWidth="1"/>
    <col min="3" max="3" width="13.83203125" style="12" bestFit="1" customWidth="1"/>
    <col min="4" max="4" width="15.1640625" style="12" customWidth="1"/>
    <col min="5" max="5" width="3" style="12" customWidth="1"/>
    <col min="6" max="6" width="14" style="12" bestFit="1" customWidth="1"/>
    <col min="7" max="7" width="15" style="12" customWidth="1"/>
    <col min="8" max="8" width="14.75" style="12" bestFit="1" customWidth="1"/>
    <col min="9" max="9" width="13.4140625" style="12" customWidth="1"/>
    <col min="10" max="10" width="3.1640625" style="12" customWidth="1"/>
    <col min="11" max="11" width="22.1640625" style="12" bestFit="1" customWidth="1"/>
    <col min="12" max="12" width="11.16406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640625" style="12" bestFit="1" customWidth="1"/>
    <col min="18" max="18" width="11.25" style="12" bestFit="1" customWidth="1"/>
    <col min="19" max="20" width="9.25" style="12" bestFit="1" customWidth="1"/>
    <col min="21" max="16384" width="8.75" style="12"/>
  </cols>
  <sheetData>
    <row r="1" spans="1:15" ht="28">
      <c r="A1" s="13" t="s">
        <v>22</v>
      </c>
      <c r="C1" s="19" t="s">
        <v>13</v>
      </c>
      <c r="D1" s="23" t="s">
        <v>35</v>
      </c>
      <c r="E1" s="13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2">
      <c r="A6" s="13" t="s">
        <v>36</v>
      </c>
      <c r="B6" s="13" t="s">
        <v>16</v>
      </c>
      <c r="C6" s="13" t="s">
        <v>39</v>
      </c>
      <c r="D6" s="13" t="s">
        <v>38</v>
      </c>
      <c r="E6" s="13"/>
      <c r="F6" s="13" t="s">
        <v>40</v>
      </c>
      <c r="G6" s="13" t="s">
        <v>41</v>
      </c>
      <c r="K6" s="13" t="s">
        <v>44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10x'!E30</f>
        <v>63.700057330667896</v>
      </c>
      <c r="C7" s="20">
        <f>$B7*C$3/1000</f>
        <v>637.00057330667892</v>
      </c>
      <c r="D7" s="22">
        <f>$B7*D$3/1000</f>
        <v>94857.411572588157</v>
      </c>
      <c r="E7" s="25"/>
      <c r="F7" s="21">
        <f>C7/60</f>
        <v>10.616676221777983</v>
      </c>
      <c r="G7" s="24">
        <f>D7/60</f>
        <v>1580.956859543136</v>
      </c>
      <c r="H7" s="16"/>
      <c r="I7" s="16"/>
      <c r="J7" s="16"/>
    </row>
    <row r="8" spans="1:15">
      <c r="A8" s="12" t="s">
        <v>15</v>
      </c>
      <c r="B8" s="14">
        <f>'Query 10x'!M30</f>
        <v>0.97310401757942211</v>
      </c>
      <c r="C8" s="20">
        <f>$B8*C$3/1000</f>
        <v>9.731040175794222</v>
      </c>
      <c r="D8" s="22">
        <f>$B8*D$3/1000</f>
        <v>1449.0744932819744</v>
      </c>
      <c r="E8" s="25"/>
      <c r="F8" s="21">
        <f>C8/60</f>
        <v>0.1621840029299037</v>
      </c>
      <c r="G8" s="24">
        <f>D8/60</f>
        <v>24.151241554699574</v>
      </c>
      <c r="H8" s="16"/>
      <c r="I8" s="16"/>
      <c r="J8" s="16"/>
      <c r="K8" s="12">
        <v>675</v>
      </c>
      <c r="L8" s="17">
        <f>K8*$D$24</f>
        <v>830925</v>
      </c>
      <c r="M8" s="15">
        <f>L8/60</f>
        <v>13848.75</v>
      </c>
      <c r="N8" s="15">
        <f>M8/60</f>
        <v>230.8125</v>
      </c>
      <c r="O8" s="15">
        <f>N8/24</f>
        <v>9.6171875</v>
      </c>
    </row>
    <row r="9" spans="1:15">
      <c r="K9" s="12">
        <v>415</v>
      </c>
    </row>
    <row r="10" spans="1:15" ht="42">
      <c r="A10" s="13" t="s">
        <v>37</v>
      </c>
      <c r="B10" s="13" t="s">
        <v>16</v>
      </c>
      <c r="C10" s="13" t="s">
        <v>39</v>
      </c>
      <c r="D10" s="13" t="s">
        <v>38</v>
      </c>
      <c r="E10" s="13"/>
      <c r="F10" s="13" t="s">
        <v>40</v>
      </c>
      <c r="G10" s="13" t="s">
        <v>41</v>
      </c>
      <c r="H10" s="13" t="s">
        <v>42</v>
      </c>
      <c r="I10" s="13" t="s">
        <v>43</v>
      </c>
      <c r="J10" s="13"/>
      <c r="K10" s="13" t="s">
        <v>45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10x'!E49</f>
        <v>3249.2021380132906</v>
      </c>
      <c r="C11" s="20">
        <f t="shared" ref="C11:D13" si="0">$B11*C$4/1000</f>
        <v>32492.021380132905</v>
      </c>
      <c r="D11" s="22">
        <f t="shared" si="0"/>
        <v>11773126.534855977</v>
      </c>
      <c r="E11" s="25"/>
      <c r="F11" s="21">
        <f t="shared" ref="F11:G13" si="1">C11/60</f>
        <v>541.53368966888172</v>
      </c>
      <c r="G11" s="24">
        <f t="shared" si="1"/>
        <v>196218.77558093294</v>
      </c>
      <c r="H11" s="24">
        <f>G11/60</f>
        <v>3270.3129263488822</v>
      </c>
      <c r="I11" s="24">
        <f>H11/24</f>
        <v>136.26303859787009</v>
      </c>
      <c r="J11" s="16"/>
      <c r="K11" s="18"/>
      <c r="L11" s="18"/>
      <c r="M11" s="18"/>
      <c r="N11" s="18"/>
      <c r="O11" s="18"/>
    </row>
    <row r="12" spans="1:15">
      <c r="A12" s="12" t="s">
        <v>18</v>
      </c>
      <c r="B12" s="14">
        <f>'Query 10x'!M49</f>
        <v>2098.2830980171475</v>
      </c>
      <c r="C12" s="20">
        <f t="shared" si="0"/>
        <v>20982.830980171475</v>
      </c>
      <c r="D12" s="22">
        <f t="shared" si="0"/>
        <v>7602897.9945243523</v>
      </c>
      <c r="E12" s="25"/>
      <c r="F12" s="21">
        <f t="shared" si="1"/>
        <v>349.71384966952456</v>
      </c>
      <c r="G12" s="24">
        <f t="shared" si="1"/>
        <v>126714.96657540587</v>
      </c>
      <c r="H12" s="24">
        <f>G12/60</f>
        <v>2111.9161095900977</v>
      </c>
      <c r="I12" s="24">
        <f>H12/24</f>
        <v>87.996504566254075</v>
      </c>
      <c r="J12" s="16"/>
      <c r="K12" s="18"/>
      <c r="L12" s="18"/>
      <c r="M12" s="18"/>
      <c r="N12" s="18"/>
      <c r="O12" s="18"/>
    </row>
    <row r="13" spans="1:15">
      <c r="A13" s="12" t="s">
        <v>19</v>
      </c>
      <c r="B13" s="14">
        <f>'Query 10x'!U49</f>
        <v>231.28878893701815</v>
      </c>
      <c r="C13" s="20">
        <f t="shared" si="0"/>
        <v>2312.8878893701817</v>
      </c>
      <c r="D13" s="22">
        <f t="shared" si="0"/>
        <v>838049.48494650226</v>
      </c>
      <c r="E13" s="25"/>
      <c r="F13" s="21">
        <f t="shared" si="1"/>
        <v>38.548131489503028</v>
      </c>
      <c r="G13" s="24">
        <f t="shared" si="1"/>
        <v>13967.491415775037</v>
      </c>
      <c r="H13" s="24">
        <f>G13/60</f>
        <v>232.79152359625061</v>
      </c>
      <c r="I13" s="24">
        <f>H13/24</f>
        <v>9.6996468165104428</v>
      </c>
      <c r="J13" s="16"/>
      <c r="K13" s="18">
        <v>922</v>
      </c>
      <c r="L13" s="17">
        <f>K13*$D$24</f>
        <v>1134982</v>
      </c>
      <c r="M13" s="15">
        <f>L13/60</f>
        <v>18916.366666666665</v>
      </c>
      <c r="N13" s="15">
        <f>M13/60</f>
        <v>315.27277777777778</v>
      </c>
      <c r="O13" s="15">
        <f>N13/24</f>
        <v>13.136365740740741</v>
      </c>
    </row>
    <row r="14" spans="1:15">
      <c r="K14" s="12">
        <v>623</v>
      </c>
    </row>
    <row r="18" spans="1:11">
      <c r="K18" s="12">
        <v>1144830</v>
      </c>
    </row>
    <row r="19" spans="1:11">
      <c r="K19" s="12">
        <v>1435961</v>
      </c>
    </row>
    <row r="20" spans="1:11">
      <c r="K20" s="12">
        <v>1284917</v>
      </c>
    </row>
    <row r="21" spans="1:11">
      <c r="K21" s="12">
        <v>1134982</v>
      </c>
    </row>
    <row r="23" spans="1:11">
      <c r="A23" s="13" t="s">
        <v>26</v>
      </c>
      <c r="B23" s="13" t="s">
        <v>27</v>
      </c>
      <c r="C23" s="13" t="s">
        <v>28</v>
      </c>
      <c r="D23" s="13" t="s">
        <v>29</v>
      </c>
      <c r="E23" s="13"/>
      <c r="G23" s="13"/>
    </row>
    <row r="24" spans="1:11">
      <c r="A24" s="12" t="s">
        <v>30</v>
      </c>
      <c r="B24" s="12">
        <v>1231000000</v>
      </c>
      <c r="C24" s="12">
        <v>1000000</v>
      </c>
      <c r="D24" s="17">
        <f>B24/C24</f>
        <v>1231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8B785-CA88-414A-B941-315E204E4262}">
  <sheetPr filterMode="1"/>
  <dimension ref="A1:AJ329"/>
  <sheetViews>
    <sheetView workbookViewId="0">
      <selection activeCell="H39" sqref="H39"/>
    </sheetView>
  </sheetViews>
  <sheetFormatPr defaultRowHeight="14"/>
  <cols>
    <col min="1" max="1" width="5.75" style="35" bestFit="1" customWidth="1"/>
    <col min="2" max="2" width="9.75" style="35" bestFit="1" customWidth="1"/>
    <col min="3" max="3" width="14.58203125" style="35" bestFit="1" customWidth="1"/>
    <col min="4" max="4" width="14.58203125" style="35" customWidth="1"/>
    <col min="5" max="5" width="14.58203125" style="35" bestFit="1" customWidth="1"/>
    <col min="6" max="6" width="13.75" style="35" bestFit="1" customWidth="1"/>
    <col min="7" max="7" width="13.75" style="35" customWidth="1"/>
    <col min="8" max="8" width="14.58203125" style="35" bestFit="1" customWidth="1"/>
    <col min="9" max="9" width="13.75" style="35" bestFit="1" customWidth="1"/>
    <col min="10" max="10" width="16.1640625" style="35" bestFit="1" customWidth="1"/>
    <col min="12" max="12" width="24.4140625" customWidth="1"/>
    <col min="13" max="13" width="29" customWidth="1"/>
    <col min="14" max="14" width="10.75" customWidth="1"/>
    <col min="15" max="17" width="9.58203125" customWidth="1"/>
    <col min="18" max="18" width="8.6640625" customWidth="1"/>
    <col min="19" max="19" width="6.08203125" customWidth="1"/>
    <col min="20" max="22" width="13.83203125" customWidth="1"/>
    <col min="23" max="24" width="12.9140625" customWidth="1"/>
    <col min="25" max="25" width="13.83203125" customWidth="1"/>
    <col min="26" max="26" width="12.9140625" customWidth="1"/>
    <col min="27" max="27" width="15.5" customWidth="1"/>
    <col min="28" max="28" width="9.75" customWidth="1"/>
    <col min="29" max="36" width="8.6640625" customWidth="1"/>
  </cols>
  <sheetData>
    <row r="1" spans="1:36">
      <c r="B1" s="52" t="s">
        <v>440</v>
      </c>
      <c r="C1" s="52"/>
      <c r="D1" s="52"/>
      <c r="E1" s="52"/>
      <c r="F1" s="52"/>
      <c r="G1" s="52"/>
      <c r="H1" s="52"/>
      <c r="I1" s="52"/>
      <c r="J1" s="52"/>
      <c r="L1" s="31" t="s">
        <v>362</v>
      </c>
      <c r="M1" s="31" t="s">
        <v>26</v>
      </c>
      <c r="N1" s="31" t="s">
        <v>363</v>
      </c>
      <c r="O1" s="31" t="s">
        <v>366</v>
      </c>
      <c r="P1" s="31" t="s">
        <v>364</v>
      </c>
      <c r="Q1" s="31" t="s">
        <v>365</v>
      </c>
      <c r="R1" s="31" t="s">
        <v>52</v>
      </c>
      <c r="S1" s="31" t="s">
        <v>56</v>
      </c>
      <c r="T1" s="31" t="s">
        <v>57</v>
      </c>
      <c r="U1" s="34" t="s">
        <v>457</v>
      </c>
      <c r="V1" s="34" t="s">
        <v>58</v>
      </c>
      <c r="W1" s="34" t="s">
        <v>60</v>
      </c>
      <c r="X1" s="34" t="s">
        <v>458</v>
      </c>
      <c r="Y1" s="31" t="s">
        <v>59</v>
      </c>
      <c r="Z1" s="31" t="s">
        <v>61</v>
      </c>
      <c r="AA1" s="31" t="s">
        <v>62</v>
      </c>
      <c r="AB1" s="31" t="s">
        <v>56</v>
      </c>
      <c r="AC1" s="31" t="s">
        <v>57</v>
      </c>
      <c r="AD1" s="34" t="s">
        <v>457</v>
      </c>
      <c r="AE1" s="34" t="s">
        <v>58</v>
      </c>
      <c r="AF1" s="34" t="s">
        <v>60</v>
      </c>
      <c r="AG1" s="34" t="s">
        <v>458</v>
      </c>
      <c r="AH1" s="31" t="s">
        <v>59</v>
      </c>
      <c r="AI1" s="31" t="s">
        <v>61</v>
      </c>
      <c r="AJ1" s="31" t="s">
        <v>62</v>
      </c>
    </row>
    <row r="2" spans="1:36">
      <c r="A2" s="36" t="s">
        <v>52</v>
      </c>
      <c r="B2" s="36" t="s">
        <v>56</v>
      </c>
      <c r="C2" s="36" t="s">
        <v>57</v>
      </c>
      <c r="D2" s="34" t="s">
        <v>457</v>
      </c>
      <c r="E2" s="34" t="s">
        <v>58</v>
      </c>
      <c r="F2" s="34" t="s">
        <v>60</v>
      </c>
      <c r="G2" s="34" t="s">
        <v>458</v>
      </c>
      <c r="H2" s="36" t="s">
        <v>59</v>
      </c>
      <c r="I2" s="36" t="s">
        <v>61</v>
      </c>
      <c r="J2" s="36" t="s">
        <v>62</v>
      </c>
      <c r="L2" t="s">
        <v>68</v>
      </c>
      <c r="M2" t="s">
        <v>69</v>
      </c>
      <c r="N2">
        <v>625467392</v>
      </c>
      <c r="O2" t="s">
        <v>70</v>
      </c>
      <c r="P2" t="s">
        <v>71</v>
      </c>
      <c r="Q2" t="s">
        <v>72</v>
      </c>
      <c r="R2" t="str">
        <f t="shared" ref="R2:R65" si="0">IF(ISNUMBER(SEARCH("_2x", L2)), "2x", IF(ISNUMBER(SEARCH("_5x", L2)), "5x", IF(ISNUMBER(SEARCH("_10x", L2)), "10x", "1x")))</f>
        <v>1x</v>
      </c>
      <c r="S2">
        <v>1</v>
      </c>
      <c r="AB2">
        <f>IF(S2=1,$N2,"")</f>
        <v>625467392</v>
      </c>
      <c r="AC2" t="str">
        <f>IF(T2=1,$N2,"")</f>
        <v/>
      </c>
      <c r="AE2" t="str">
        <f>IF(V2=1,$N2,"")</f>
        <v/>
      </c>
      <c r="AF2" t="str">
        <f>IF(W2=1,$N2,"")</f>
        <v/>
      </c>
      <c r="AH2" t="str">
        <f>IF(Y2=1,$N2,"")</f>
        <v/>
      </c>
      <c r="AI2" t="str">
        <f t="shared" ref="AI2:AJ2" si="1">IF(Z2=1,$N2,"")</f>
        <v/>
      </c>
      <c r="AJ2" t="str">
        <f t="shared" si="1"/>
        <v/>
      </c>
    </row>
    <row r="3" spans="1:36">
      <c r="A3" s="36" t="s">
        <v>367</v>
      </c>
      <c r="B3" s="35">
        <f ca="1">SUMIF($R$2:$AJ$329,$A3,AB$2:AB$329)</f>
        <v>715800576</v>
      </c>
      <c r="C3" s="35">
        <f t="shared" ref="C3:D6" ca="1" si="2">SUMIF($R$2:$AJ$329,$A3,AC$2:AC$329)</f>
        <v>738615296</v>
      </c>
      <c r="D3" s="35">
        <f t="shared" ca="1" si="2"/>
        <v>890109952</v>
      </c>
      <c r="E3" s="35">
        <f t="shared" ref="E3:E6" ca="1" si="3">SUMIF($R$2:$AJ$329,$A3,AE$2:AE$329)</f>
        <v>917856256</v>
      </c>
      <c r="F3" s="35">
        <f t="shared" ref="F3:F6" ca="1" si="4">SUMIF($R$2:$AJ$329,$A3,AF$2:AF$329)</f>
        <v>893943808</v>
      </c>
      <c r="G3" s="35">
        <f t="shared" ref="G3:G6" ca="1" si="5">SUMIF($R$2:$AJ$329,$A3,AG$2:AG$329)</f>
        <v>928399360</v>
      </c>
      <c r="H3" s="35">
        <f t="shared" ref="H3:H6" ca="1" si="6">SUMIF($R$2:$AJ$329,$A3,AH$2:AH$329)</f>
        <v>934887424</v>
      </c>
      <c r="I3" s="35">
        <f t="shared" ref="I3:I6" ca="1" si="7">SUMIF($R$2:$AJ$329,$A3,AI$2:AI$329)</f>
        <v>925286400</v>
      </c>
      <c r="J3" s="35">
        <f t="shared" ref="J3:J6" ca="1" si="8">SUMIF($R$2:$AJ$329,$A3,AJ$2:AJ$329)</f>
        <v>920936448</v>
      </c>
      <c r="L3" t="s">
        <v>68</v>
      </c>
      <c r="M3" t="s">
        <v>73</v>
      </c>
      <c r="N3">
        <v>18178048</v>
      </c>
      <c r="O3" t="s">
        <v>74</v>
      </c>
      <c r="P3" t="s">
        <v>74</v>
      </c>
      <c r="Q3" t="s">
        <v>75</v>
      </c>
      <c r="R3" t="str">
        <f t="shared" si="0"/>
        <v>1x</v>
      </c>
      <c r="S3">
        <v>1</v>
      </c>
      <c r="T3">
        <v>1</v>
      </c>
      <c r="AB3">
        <f>IF(S3=1,$N3,"")</f>
        <v>18178048</v>
      </c>
      <c r="AC3">
        <f>IF(T3=1,$N3,"")</f>
        <v>18178048</v>
      </c>
      <c r="AE3" t="str">
        <f>IF(V3=1,$N3,"")</f>
        <v/>
      </c>
      <c r="AF3" t="str">
        <f>IF(W3=1,$N3,"")</f>
        <v/>
      </c>
      <c r="AH3" t="str">
        <f>IF(Y3=1,$N3,"")</f>
        <v/>
      </c>
      <c r="AI3" t="str">
        <f t="shared" ref="AI3:AI49" si="9">IF(Z3=1,$N3,"")</f>
        <v/>
      </c>
      <c r="AJ3" t="str">
        <f t="shared" ref="AJ3:AJ49" si="10">IF(AA3=1,$N3,"")</f>
        <v/>
      </c>
    </row>
    <row r="4" spans="1:36">
      <c r="A4" s="36" t="s">
        <v>368</v>
      </c>
      <c r="B4" s="35">
        <f t="shared" ref="B4:C6" ca="1" si="11">SUMIF($R$2:$AJ$329,$A4,AB$2:AB$329)</f>
        <v>1431248896</v>
      </c>
      <c r="C4" s="35">
        <f t="shared" ca="1" si="2"/>
        <v>1476624384</v>
      </c>
      <c r="D4" s="35">
        <f t="shared" ca="1" si="2"/>
        <v>1677426688</v>
      </c>
      <c r="E4" s="35">
        <f t="shared" ca="1" si="3"/>
        <v>1732567040</v>
      </c>
      <c r="F4" s="35">
        <f t="shared" ca="1" si="4"/>
        <v>1684660224</v>
      </c>
      <c r="G4" s="35">
        <f t="shared" ca="1" si="5"/>
        <v>1753694208</v>
      </c>
      <c r="H4" s="35">
        <f t="shared" ca="1" si="6"/>
        <v>1766490112</v>
      </c>
      <c r="I4" s="35">
        <f t="shared" ca="1" si="7"/>
        <v>1747132416</v>
      </c>
      <c r="J4" s="35">
        <f t="shared" ca="1" si="8"/>
        <v>1746059264</v>
      </c>
      <c r="L4" t="s">
        <v>68</v>
      </c>
      <c r="M4" t="s">
        <v>76</v>
      </c>
      <c r="N4">
        <v>72155136</v>
      </c>
      <c r="O4" t="s">
        <v>77</v>
      </c>
      <c r="P4" t="s">
        <v>78</v>
      </c>
      <c r="Q4" t="s">
        <v>79</v>
      </c>
      <c r="R4" t="str">
        <f t="shared" si="0"/>
        <v>1x</v>
      </c>
      <c r="S4">
        <v>1</v>
      </c>
      <c r="AB4">
        <f>IF(S4=1,$N4,"")</f>
        <v>72155136</v>
      </c>
      <c r="AC4" t="str">
        <f>IF(T4=1,$N4,"")</f>
        <v/>
      </c>
      <c r="AE4" t="str">
        <f>IF(V4=1,$N4,"")</f>
        <v/>
      </c>
      <c r="AF4" t="str">
        <f>IF(W4=1,$N4,"")</f>
        <v/>
      </c>
      <c r="AH4" t="str">
        <f>IF(Y4=1,$N4,"")</f>
        <v/>
      </c>
      <c r="AI4" t="str">
        <f t="shared" si="9"/>
        <v/>
      </c>
      <c r="AJ4" t="str">
        <f t="shared" si="10"/>
        <v/>
      </c>
    </row>
    <row r="5" spans="1:36">
      <c r="A5" s="34" t="s">
        <v>371</v>
      </c>
      <c r="B5" s="35">
        <f t="shared" ca="1" si="11"/>
        <v>3577634816</v>
      </c>
      <c r="C5" s="35">
        <f t="shared" ca="1" si="2"/>
        <v>3690553344</v>
      </c>
      <c r="D5" s="35">
        <f t="shared" ca="1" si="2"/>
        <v>4039483392</v>
      </c>
      <c r="E5" s="35">
        <f t="shared" ca="1" si="3"/>
        <v>4176658432</v>
      </c>
      <c r="F5" s="35">
        <f t="shared" ca="1" si="4"/>
        <v>4056940544</v>
      </c>
      <c r="G5" s="35">
        <f t="shared" ca="1" si="5"/>
        <v>4231340032</v>
      </c>
      <c r="H5" s="35">
        <f t="shared" ca="1" si="6"/>
        <v>4262830080</v>
      </c>
      <c r="I5" s="35">
        <f t="shared" ca="1" si="7"/>
        <v>4214415360</v>
      </c>
      <c r="J5" s="35">
        <f t="shared" ca="1" si="8"/>
        <v>4223451136</v>
      </c>
      <c r="L5" t="s">
        <v>165</v>
      </c>
      <c r="M5" t="s">
        <v>91</v>
      </c>
      <c r="N5">
        <v>70385664</v>
      </c>
      <c r="O5" t="s">
        <v>92</v>
      </c>
      <c r="P5" t="s">
        <v>93</v>
      </c>
      <c r="Q5" t="s">
        <v>94</v>
      </c>
      <c r="R5" t="str">
        <f t="shared" si="0"/>
        <v>1x</v>
      </c>
      <c r="V5">
        <v>1</v>
      </c>
      <c r="Y5">
        <v>1</v>
      </c>
      <c r="AB5" t="str">
        <f>IF(S5=1,$N5,"")</f>
        <v/>
      </c>
      <c r="AC5" t="str">
        <f>IF(T5=1,$N5,"")</f>
        <v/>
      </c>
      <c r="AE5">
        <f>IF(V5=1,$N5,"")</f>
        <v>70385664</v>
      </c>
      <c r="AF5" t="str">
        <f>IF(W5=1,$N5,"")</f>
        <v/>
      </c>
      <c r="AH5">
        <f>IF(Y5=1,$N5,"")</f>
        <v>70385664</v>
      </c>
      <c r="AI5" t="str">
        <f t="shared" si="9"/>
        <v/>
      </c>
      <c r="AJ5" t="str">
        <f t="shared" si="10"/>
        <v/>
      </c>
    </row>
    <row r="6" spans="1:36">
      <c r="A6" s="36" t="s">
        <v>369</v>
      </c>
      <c r="B6" s="35">
        <f t="shared" ca="1" si="11"/>
        <v>7154958336</v>
      </c>
      <c r="C6" s="35">
        <f t="shared" ca="1" si="2"/>
        <v>7380467712</v>
      </c>
      <c r="D6" s="35">
        <f t="shared" ca="1" si="2"/>
        <v>7976255488</v>
      </c>
      <c r="E6" s="35">
        <f t="shared" ca="1" si="3"/>
        <v>8250155008</v>
      </c>
      <c r="F6" s="35">
        <f t="shared" ca="1" si="4"/>
        <v>8010678272</v>
      </c>
      <c r="G6" s="35">
        <f t="shared" ca="1" si="5"/>
        <v>8360648704</v>
      </c>
      <c r="H6" s="35">
        <f t="shared" ca="1" si="6"/>
        <v>8423366656</v>
      </c>
      <c r="I6" s="35">
        <f t="shared" ca="1" si="7"/>
        <v>8326438912</v>
      </c>
      <c r="J6" s="35">
        <f t="shared" ca="1" si="8"/>
        <v>8351916032</v>
      </c>
      <c r="L6" t="s">
        <v>165</v>
      </c>
      <c r="M6" t="s">
        <v>95</v>
      </c>
      <c r="N6">
        <v>31948800</v>
      </c>
      <c r="O6" t="s">
        <v>96</v>
      </c>
      <c r="P6" t="s">
        <v>97</v>
      </c>
      <c r="Q6" t="s">
        <v>98</v>
      </c>
      <c r="R6" t="str">
        <f t="shared" si="0"/>
        <v>1x</v>
      </c>
      <c r="V6">
        <v>1</v>
      </c>
      <c r="Y6">
        <v>1</v>
      </c>
      <c r="AB6" t="str">
        <f>IF(S6=1,$N6,"")</f>
        <v/>
      </c>
      <c r="AC6" t="str">
        <f>IF(T6=1,$N6,"")</f>
        <v/>
      </c>
      <c r="AE6">
        <f>IF(V6=1,$N6,"")</f>
        <v>31948800</v>
      </c>
      <c r="AF6" t="str">
        <f>IF(W6=1,$N6,"")</f>
        <v/>
      </c>
      <c r="AH6">
        <f>IF(Y6=1,$N6,"")</f>
        <v>31948800</v>
      </c>
      <c r="AI6" t="str">
        <f t="shared" si="9"/>
        <v/>
      </c>
      <c r="AJ6" t="str">
        <f t="shared" si="10"/>
        <v/>
      </c>
    </row>
    <row r="7" spans="1:36">
      <c r="L7" t="s">
        <v>165</v>
      </c>
      <c r="M7" t="s">
        <v>99</v>
      </c>
      <c r="N7">
        <v>30597120</v>
      </c>
      <c r="O7" t="s">
        <v>97</v>
      </c>
      <c r="P7" t="s">
        <v>97</v>
      </c>
      <c r="Q7" t="s">
        <v>166</v>
      </c>
      <c r="R7" t="str">
        <f t="shared" si="0"/>
        <v>1x</v>
      </c>
      <c r="Y7">
        <v>1</v>
      </c>
      <c r="AB7" t="str">
        <f>IF(S7=1,$N7,"")</f>
        <v/>
      </c>
      <c r="AC7" t="str">
        <f>IF(T7=1,$N7,"")</f>
        <v/>
      </c>
      <c r="AE7" t="str">
        <f>IF(V7=1,$N7,"")</f>
        <v/>
      </c>
      <c r="AF7" t="str">
        <f>IF(W7=1,$N7,"")</f>
        <v/>
      </c>
      <c r="AH7">
        <f>IF(Y7=1,$N7,"")</f>
        <v>30597120</v>
      </c>
      <c r="AI7" t="str">
        <f t="shared" si="9"/>
        <v/>
      </c>
      <c r="AJ7" t="str">
        <f t="shared" si="10"/>
        <v/>
      </c>
    </row>
    <row r="8" spans="1:36">
      <c r="A8" s="45"/>
      <c r="B8" s="54" t="s">
        <v>67</v>
      </c>
      <c r="C8" s="54"/>
      <c r="D8" s="54"/>
      <c r="E8" s="54"/>
      <c r="F8" s="54"/>
      <c r="G8" s="54"/>
      <c r="H8" s="54"/>
      <c r="I8" s="54"/>
      <c r="J8" s="54"/>
      <c r="L8" t="s">
        <v>165</v>
      </c>
      <c r="M8" t="s">
        <v>103</v>
      </c>
      <c r="N8">
        <v>62570496</v>
      </c>
      <c r="O8" t="s">
        <v>167</v>
      </c>
      <c r="P8" t="s">
        <v>168</v>
      </c>
      <c r="Q8" t="s">
        <v>166</v>
      </c>
      <c r="R8" t="str">
        <f t="shared" si="0"/>
        <v>1x</v>
      </c>
      <c r="V8">
        <v>1</v>
      </c>
      <c r="Y8">
        <v>1</v>
      </c>
      <c r="AB8" t="str">
        <f>IF(S8=1,$N8,"")</f>
        <v/>
      </c>
      <c r="AC8" t="str">
        <f>IF(T8=1,$N8,"")</f>
        <v/>
      </c>
      <c r="AE8">
        <f>IF(V8=1,$N8,"")</f>
        <v>62570496</v>
      </c>
      <c r="AF8" t="str">
        <f>IF(W8=1,$N8,"")</f>
        <v/>
      </c>
      <c r="AH8">
        <f>IF(Y8=1,$N8,"")</f>
        <v>62570496</v>
      </c>
      <c r="AI8" t="str">
        <f t="shared" si="9"/>
        <v/>
      </c>
      <c r="AJ8" t="str">
        <f t="shared" si="10"/>
        <v/>
      </c>
    </row>
    <row r="9" spans="1:36">
      <c r="A9" s="46" t="s">
        <v>52</v>
      </c>
      <c r="B9" s="46" t="s">
        <v>56</v>
      </c>
      <c r="C9" s="46" t="s">
        <v>57</v>
      </c>
      <c r="D9" s="46" t="s">
        <v>457</v>
      </c>
      <c r="E9" s="46" t="s">
        <v>58</v>
      </c>
      <c r="F9" s="46" t="s">
        <v>60</v>
      </c>
      <c r="G9" s="46" t="s">
        <v>458</v>
      </c>
      <c r="H9" s="46" t="s">
        <v>59</v>
      </c>
      <c r="I9" s="46" t="s">
        <v>61</v>
      </c>
      <c r="J9" s="46" t="s">
        <v>62</v>
      </c>
      <c r="L9" t="s">
        <v>165</v>
      </c>
      <c r="M9" t="s">
        <v>105</v>
      </c>
      <c r="N9">
        <v>49152</v>
      </c>
      <c r="O9" t="s">
        <v>125</v>
      </c>
      <c r="P9" t="s">
        <v>110</v>
      </c>
      <c r="Q9" t="s">
        <v>107</v>
      </c>
      <c r="R9" t="str">
        <f t="shared" si="0"/>
        <v>1x</v>
      </c>
      <c r="T9">
        <v>1</v>
      </c>
      <c r="V9">
        <v>1</v>
      </c>
      <c r="Y9">
        <v>1</v>
      </c>
      <c r="AB9" t="str">
        <f>IF(S9=1,$N9,"")</f>
        <v/>
      </c>
      <c r="AC9">
        <f>IF(T9=1,$N9,"")</f>
        <v>49152</v>
      </c>
      <c r="AE9">
        <f>IF(V9=1,$N9,"")</f>
        <v>49152</v>
      </c>
      <c r="AF9" t="str">
        <f>IF(W9=1,$N9,"")</f>
        <v/>
      </c>
      <c r="AH9">
        <f>IF(Y9=1,$N9,"")</f>
        <v>49152</v>
      </c>
      <c r="AI9" t="str">
        <f t="shared" si="9"/>
        <v/>
      </c>
      <c r="AJ9" t="str">
        <f t="shared" si="10"/>
        <v/>
      </c>
    </row>
    <row r="10" spans="1:36">
      <c r="A10" s="46" t="s">
        <v>367</v>
      </c>
      <c r="B10" s="47">
        <f t="shared" ref="B10:J13" ca="1" si="12">B3/1024/1024</f>
        <v>682.640625</v>
      </c>
      <c r="C10" s="47">
        <f t="shared" ca="1" si="12"/>
        <v>704.3984375</v>
      </c>
      <c r="D10" s="47">
        <f t="shared" ref="D10" ca="1" si="13">D3/1024/1024</f>
        <v>848.875</v>
      </c>
      <c r="E10" s="47">
        <f t="shared" ca="1" si="12"/>
        <v>875.3359375</v>
      </c>
      <c r="F10" s="47">
        <f t="shared" ca="1" si="12"/>
        <v>852.53125</v>
      </c>
      <c r="G10" s="47">
        <f t="shared" ref="G10" ca="1" si="14">G3/1024/1024</f>
        <v>885.390625</v>
      </c>
      <c r="H10" s="47">
        <f t="shared" ca="1" si="12"/>
        <v>891.578125</v>
      </c>
      <c r="I10" s="47">
        <f t="shared" ca="1" si="12"/>
        <v>882.421875</v>
      </c>
      <c r="J10" s="47">
        <f t="shared" ca="1" si="12"/>
        <v>878.2734375</v>
      </c>
      <c r="L10" t="s">
        <v>165</v>
      </c>
      <c r="M10" t="s">
        <v>108</v>
      </c>
      <c r="N10">
        <v>73728</v>
      </c>
      <c r="O10" t="s">
        <v>106</v>
      </c>
      <c r="P10" t="s">
        <v>110</v>
      </c>
      <c r="Q10" t="s">
        <v>111</v>
      </c>
      <c r="R10" t="str">
        <f t="shared" si="0"/>
        <v>1x</v>
      </c>
      <c r="T10">
        <v>1</v>
      </c>
      <c r="V10">
        <v>1</v>
      </c>
      <c r="Y10">
        <v>1</v>
      </c>
      <c r="AB10" t="str">
        <f>IF(S10=1,$N10,"")</f>
        <v/>
      </c>
      <c r="AC10">
        <f>IF(T10=1,$N10,"")</f>
        <v>73728</v>
      </c>
      <c r="AE10">
        <f>IF(V10=1,$N10,"")</f>
        <v>73728</v>
      </c>
      <c r="AF10" t="str">
        <f>IF(W10=1,$N10,"")</f>
        <v/>
      </c>
      <c r="AH10">
        <f>IF(Y10=1,$N10,"")</f>
        <v>73728</v>
      </c>
      <c r="AI10" t="str">
        <f t="shared" si="9"/>
        <v/>
      </c>
      <c r="AJ10" t="str">
        <f t="shared" si="10"/>
        <v/>
      </c>
    </row>
    <row r="11" spans="1:36">
      <c r="A11" s="46" t="s">
        <v>368</v>
      </c>
      <c r="B11" s="47">
        <f t="shared" ca="1" si="12"/>
        <v>1364.9453125</v>
      </c>
      <c r="C11" s="47">
        <f t="shared" ca="1" si="12"/>
        <v>1408.21875</v>
      </c>
      <c r="D11" s="47">
        <f t="shared" ref="D11" ca="1" si="15">D4/1024/1024</f>
        <v>1599.71875</v>
      </c>
      <c r="E11" s="47">
        <f t="shared" ca="1" si="12"/>
        <v>1652.3046875</v>
      </c>
      <c r="F11" s="47">
        <f t="shared" ca="1" si="12"/>
        <v>1606.6171875</v>
      </c>
      <c r="G11" s="47">
        <f t="shared" ref="G11" ca="1" si="16">G4/1024/1024</f>
        <v>1672.453125</v>
      </c>
      <c r="H11" s="47">
        <f t="shared" ca="1" si="12"/>
        <v>1684.65625</v>
      </c>
      <c r="I11" s="47">
        <f t="shared" ca="1" si="12"/>
        <v>1666.1953125</v>
      </c>
      <c r="J11" s="47">
        <f t="shared" ca="1" si="12"/>
        <v>1665.171875</v>
      </c>
      <c r="L11" t="s">
        <v>165</v>
      </c>
      <c r="M11" t="s">
        <v>112</v>
      </c>
      <c r="N11">
        <v>384458752</v>
      </c>
      <c r="O11" t="s">
        <v>169</v>
      </c>
      <c r="P11" t="s">
        <v>170</v>
      </c>
      <c r="Q11" t="s">
        <v>171</v>
      </c>
      <c r="R11" t="str">
        <f t="shared" si="0"/>
        <v>1x</v>
      </c>
      <c r="T11">
        <v>1</v>
      </c>
      <c r="V11">
        <v>1</v>
      </c>
      <c r="Y11">
        <v>1</v>
      </c>
      <c r="AB11" t="str">
        <f>IF(S11=1,$N11,"")</f>
        <v/>
      </c>
      <c r="AC11">
        <f>IF(T11=1,$N11,"")</f>
        <v>384458752</v>
      </c>
      <c r="AE11">
        <f>IF(V11=1,$N11,"")</f>
        <v>384458752</v>
      </c>
      <c r="AF11" t="str">
        <f>IF(W11=1,$N11,"")</f>
        <v/>
      </c>
      <c r="AH11">
        <f>IF(Y11=1,$N11,"")</f>
        <v>384458752</v>
      </c>
      <c r="AI11" t="str">
        <f t="shared" si="9"/>
        <v/>
      </c>
      <c r="AJ11" t="str">
        <f t="shared" si="10"/>
        <v/>
      </c>
    </row>
    <row r="12" spans="1:36">
      <c r="A12" s="46" t="s">
        <v>371</v>
      </c>
      <c r="B12" s="47">
        <f t="shared" ca="1" si="12"/>
        <v>3411.8984375</v>
      </c>
      <c r="C12" s="47">
        <f t="shared" ca="1" si="12"/>
        <v>3519.5859375</v>
      </c>
      <c r="D12" s="47">
        <f t="shared" ref="D12" ca="1" si="17">D5/1024/1024</f>
        <v>3852.3515625</v>
      </c>
      <c r="E12" s="47">
        <f t="shared" ca="1" si="12"/>
        <v>3983.171875</v>
      </c>
      <c r="F12" s="47">
        <f t="shared" ca="1" si="12"/>
        <v>3869</v>
      </c>
      <c r="G12" s="47">
        <f t="shared" ref="G12" ca="1" si="18">G5/1024/1024</f>
        <v>4035.3203125</v>
      </c>
      <c r="H12" s="47">
        <f t="shared" ca="1" si="12"/>
        <v>4065.3515625</v>
      </c>
      <c r="I12" s="47">
        <f t="shared" ca="1" si="12"/>
        <v>4019.1796875</v>
      </c>
      <c r="J12" s="47">
        <f t="shared" ca="1" si="12"/>
        <v>4027.796875</v>
      </c>
      <c r="L12" t="s">
        <v>165</v>
      </c>
      <c r="M12" t="s">
        <v>116</v>
      </c>
      <c r="N12">
        <v>22929408</v>
      </c>
      <c r="O12" t="s">
        <v>122</v>
      </c>
      <c r="P12" t="s">
        <v>119</v>
      </c>
      <c r="Q12" t="s">
        <v>172</v>
      </c>
      <c r="R12" t="str">
        <f t="shared" si="0"/>
        <v>1x</v>
      </c>
      <c r="T12">
        <v>1</v>
      </c>
      <c r="V12">
        <v>1</v>
      </c>
      <c r="Y12">
        <v>1</v>
      </c>
      <c r="AB12" t="str">
        <f>IF(S12=1,$N12,"")</f>
        <v/>
      </c>
      <c r="AC12">
        <f>IF(T12=1,$N12,"")</f>
        <v>22929408</v>
      </c>
      <c r="AE12">
        <f>IF(V12=1,$N12,"")</f>
        <v>22929408</v>
      </c>
      <c r="AF12" t="str">
        <f>IF(W12=1,$N12,"")</f>
        <v/>
      </c>
      <c r="AH12">
        <f>IF(Y12=1,$N12,"")</f>
        <v>22929408</v>
      </c>
      <c r="AI12" t="str">
        <f t="shared" si="9"/>
        <v/>
      </c>
      <c r="AJ12" t="str">
        <f t="shared" si="10"/>
        <v/>
      </c>
    </row>
    <row r="13" spans="1:36">
      <c r="A13" s="46" t="s">
        <v>369</v>
      </c>
      <c r="B13" s="47">
        <f t="shared" ca="1" si="12"/>
        <v>6823.5</v>
      </c>
      <c r="C13" s="47">
        <f t="shared" ca="1" si="12"/>
        <v>7038.5625</v>
      </c>
      <c r="D13" s="47">
        <f t="shared" ref="D13" ca="1" si="19">D6/1024/1024</f>
        <v>7606.75</v>
      </c>
      <c r="E13" s="47">
        <f t="shared" ca="1" si="12"/>
        <v>7867.9609375</v>
      </c>
      <c r="F13" s="47">
        <f t="shared" ca="1" si="12"/>
        <v>7639.578125</v>
      </c>
      <c r="G13" s="47">
        <f t="shared" ref="G13" ca="1" si="20">G6/1024/1024</f>
        <v>7973.3359375</v>
      </c>
      <c r="H13" s="47">
        <f t="shared" ca="1" si="12"/>
        <v>8033.1484375</v>
      </c>
      <c r="I13" s="47">
        <f t="shared" ca="1" si="12"/>
        <v>7940.7109375</v>
      </c>
      <c r="J13" s="47">
        <f t="shared" ca="1" si="12"/>
        <v>7965.0078125</v>
      </c>
      <c r="L13" t="s">
        <v>165</v>
      </c>
      <c r="M13" t="s">
        <v>120</v>
      </c>
      <c r="N13">
        <v>240754688</v>
      </c>
      <c r="O13" t="s">
        <v>173</v>
      </c>
      <c r="P13" t="s">
        <v>174</v>
      </c>
      <c r="Q13" t="s">
        <v>175</v>
      </c>
      <c r="R13" t="str">
        <f t="shared" si="0"/>
        <v>1x</v>
      </c>
      <c r="T13">
        <v>1</v>
      </c>
      <c r="V13">
        <v>1</v>
      </c>
      <c r="Y13">
        <v>1</v>
      </c>
      <c r="AB13" t="str">
        <f>IF(S13=1,$N13,"")</f>
        <v/>
      </c>
      <c r="AC13">
        <f>IF(T13=1,$N13,"")</f>
        <v>240754688</v>
      </c>
      <c r="AE13">
        <f>IF(V13=1,$N13,"")</f>
        <v>240754688</v>
      </c>
      <c r="AF13" t="str">
        <f>IF(W13=1,$N13,"")</f>
        <v/>
      </c>
      <c r="AH13">
        <f>IF(Y13=1,$N13,"")</f>
        <v>240754688</v>
      </c>
      <c r="AI13" t="str">
        <f t="shared" si="9"/>
        <v/>
      </c>
      <c r="AJ13" t="str">
        <f t="shared" si="10"/>
        <v/>
      </c>
    </row>
    <row r="14" spans="1:36">
      <c r="L14" t="s">
        <v>165</v>
      </c>
      <c r="M14" t="s">
        <v>73</v>
      </c>
      <c r="N14">
        <v>18169856</v>
      </c>
      <c r="O14" t="s">
        <v>74</v>
      </c>
      <c r="P14" t="s">
        <v>74</v>
      </c>
      <c r="Q14" t="s">
        <v>75</v>
      </c>
      <c r="R14" t="str">
        <f t="shared" si="0"/>
        <v>1x</v>
      </c>
      <c r="V14">
        <v>1</v>
      </c>
      <c r="Y14">
        <v>1</v>
      </c>
      <c r="AB14" t="str">
        <f>IF(S14=1,$N14,"")</f>
        <v/>
      </c>
      <c r="AC14" t="str">
        <f>IF(T14=1,$N14,"")</f>
        <v/>
      </c>
      <c r="AE14">
        <f>IF(V14=1,$N14,"")</f>
        <v>18169856</v>
      </c>
      <c r="AF14" t="str">
        <f>IF(W14=1,$N14,"")</f>
        <v/>
      </c>
      <c r="AH14">
        <f>IF(Y14=1,$N14,"")</f>
        <v>18169856</v>
      </c>
      <c r="AI14" t="str">
        <f t="shared" si="9"/>
        <v/>
      </c>
      <c r="AJ14" t="str">
        <f t="shared" si="10"/>
        <v/>
      </c>
    </row>
    <row r="15" spans="1:36">
      <c r="L15" t="s">
        <v>165</v>
      </c>
      <c r="M15" t="s">
        <v>124</v>
      </c>
      <c r="N15">
        <v>32768</v>
      </c>
      <c r="O15" t="s">
        <v>107</v>
      </c>
      <c r="P15" t="s">
        <v>110</v>
      </c>
      <c r="Q15" t="s">
        <v>111</v>
      </c>
      <c r="R15" t="str">
        <f t="shared" si="0"/>
        <v>1x</v>
      </c>
      <c r="V15">
        <v>1</v>
      </c>
      <c r="Y15">
        <v>1</v>
      </c>
      <c r="AB15" t="str">
        <f>IF(S15=1,$N15,"")</f>
        <v/>
      </c>
      <c r="AC15" t="str">
        <f>IF(T15=1,$N15,"")</f>
        <v/>
      </c>
      <c r="AE15">
        <f>IF(V15=1,$N15,"")</f>
        <v>32768</v>
      </c>
      <c r="AF15" t="str">
        <f>IF(W15=1,$N15,"")</f>
        <v/>
      </c>
      <c r="AH15">
        <f>IF(Y15=1,$N15,"")</f>
        <v>32768</v>
      </c>
      <c r="AI15" t="str">
        <f t="shared" si="9"/>
        <v/>
      </c>
      <c r="AJ15" t="str">
        <f t="shared" si="10"/>
        <v/>
      </c>
    </row>
    <row r="16" spans="1:36">
      <c r="B16" s="53" t="s">
        <v>370</v>
      </c>
      <c r="C16" s="53"/>
      <c r="D16" s="53"/>
      <c r="E16" s="53"/>
      <c r="F16" s="53"/>
      <c r="G16" s="53"/>
      <c r="H16" s="53"/>
      <c r="I16" s="53"/>
      <c r="J16" s="53"/>
      <c r="L16" t="s">
        <v>165</v>
      </c>
      <c r="M16" t="s">
        <v>126</v>
      </c>
      <c r="N16">
        <v>14311424</v>
      </c>
      <c r="O16" t="s">
        <v>176</v>
      </c>
      <c r="P16" t="s">
        <v>104</v>
      </c>
      <c r="Q16" t="s">
        <v>177</v>
      </c>
      <c r="R16" t="str">
        <f t="shared" si="0"/>
        <v>1x</v>
      </c>
      <c r="V16">
        <v>1</v>
      </c>
      <c r="AB16" t="str">
        <f>IF(S16=1,$N16,"")</f>
        <v/>
      </c>
      <c r="AC16" t="str">
        <f>IF(T16=1,$N16,"")</f>
        <v/>
      </c>
      <c r="AE16">
        <f>IF(V16=1,$N16,"")</f>
        <v>14311424</v>
      </c>
      <c r="AF16" t="str">
        <f>IF(W16=1,$N16,"")</f>
        <v/>
      </c>
      <c r="AH16" t="str">
        <f>IF(Y16=1,$N16,"")</f>
        <v/>
      </c>
      <c r="AI16" t="str">
        <f t="shared" si="9"/>
        <v/>
      </c>
      <c r="AJ16" t="str">
        <f t="shared" si="10"/>
        <v/>
      </c>
    </row>
    <row r="17" spans="2:36">
      <c r="B17" s="37" t="s">
        <v>56</v>
      </c>
      <c r="C17" s="37" t="s">
        <v>57</v>
      </c>
      <c r="D17" s="34" t="s">
        <v>457</v>
      </c>
      <c r="E17" s="34" t="s">
        <v>58</v>
      </c>
      <c r="F17" s="34" t="s">
        <v>60</v>
      </c>
      <c r="G17" s="34" t="s">
        <v>458</v>
      </c>
      <c r="H17" s="37" t="s">
        <v>59</v>
      </c>
      <c r="I17" s="37" t="s">
        <v>61</v>
      </c>
      <c r="J17" s="37" t="s">
        <v>62</v>
      </c>
      <c r="L17" t="s">
        <v>165</v>
      </c>
      <c r="M17" t="s">
        <v>130</v>
      </c>
      <c r="N17">
        <v>745472</v>
      </c>
      <c r="O17" t="s">
        <v>131</v>
      </c>
      <c r="P17" t="s">
        <v>132</v>
      </c>
      <c r="Q17" t="s">
        <v>111</v>
      </c>
      <c r="R17" t="str">
        <f t="shared" si="0"/>
        <v>1x</v>
      </c>
      <c r="Y17">
        <v>1</v>
      </c>
      <c r="AB17" t="str">
        <f>IF(S17=1,$N17,"")</f>
        <v/>
      </c>
      <c r="AC17" t="str">
        <f>IF(T17=1,$N17,"")</f>
        <v/>
      </c>
      <c r="AE17" t="str">
        <f>IF(V17=1,$N17,"")</f>
        <v/>
      </c>
      <c r="AF17" t="str">
        <f>IF(W17=1,$N17,"")</f>
        <v/>
      </c>
      <c r="AH17">
        <f>IF(Y17=1,$N17,"")</f>
        <v>745472</v>
      </c>
      <c r="AI17" t="str">
        <f t="shared" si="9"/>
        <v/>
      </c>
      <c r="AJ17" t="str">
        <f t="shared" si="10"/>
        <v/>
      </c>
    </row>
    <row r="18" spans="2:36">
      <c r="B18" s="35" t="s">
        <v>69</v>
      </c>
      <c r="C18" s="35" t="s">
        <v>105</v>
      </c>
      <c r="E18" s="35" t="s">
        <v>91</v>
      </c>
      <c r="F18" s="35" t="s">
        <v>91</v>
      </c>
      <c r="H18" s="35" t="s">
        <v>91</v>
      </c>
      <c r="I18" s="35" t="s">
        <v>91</v>
      </c>
      <c r="J18" s="35" t="s">
        <v>241</v>
      </c>
      <c r="L18" t="s">
        <v>165</v>
      </c>
      <c r="M18" t="s">
        <v>76</v>
      </c>
      <c r="N18">
        <v>72155136</v>
      </c>
      <c r="O18" t="s">
        <v>77</v>
      </c>
      <c r="P18" t="s">
        <v>78</v>
      </c>
      <c r="Q18" t="s">
        <v>79</v>
      </c>
      <c r="R18" t="str">
        <f t="shared" si="0"/>
        <v>1x</v>
      </c>
      <c r="T18">
        <v>1</v>
      </c>
      <c r="V18">
        <v>1</v>
      </c>
      <c r="Y18">
        <v>1</v>
      </c>
      <c r="AB18" t="str">
        <f>IF(S18=1,$N18,"")</f>
        <v/>
      </c>
      <c r="AC18">
        <f>IF(T18=1,$N18,"")</f>
        <v>72155136</v>
      </c>
      <c r="AE18">
        <f>IF(V18=1,$N18,"")</f>
        <v>72155136</v>
      </c>
      <c r="AF18" t="str">
        <f>IF(W18=1,$N18,"")</f>
        <v/>
      </c>
      <c r="AH18">
        <f>IF(Y18=1,$N18,"")</f>
        <v>72155136</v>
      </c>
      <c r="AI18" t="str">
        <f t="shared" si="9"/>
        <v/>
      </c>
      <c r="AJ18" t="str">
        <f t="shared" si="10"/>
        <v/>
      </c>
    </row>
    <row r="19" spans="2:36">
      <c r="B19" s="35" t="s">
        <v>73</v>
      </c>
      <c r="C19" s="35" t="s">
        <v>116</v>
      </c>
      <c r="E19" s="35" t="s">
        <v>95</v>
      </c>
      <c r="F19" s="35" t="s">
        <v>95</v>
      </c>
      <c r="H19" s="35" t="s">
        <v>95</v>
      </c>
      <c r="I19" s="35" t="s">
        <v>95</v>
      </c>
      <c r="J19" s="35" t="s">
        <v>99</v>
      </c>
      <c r="L19" t="s">
        <v>165</v>
      </c>
      <c r="M19" t="s">
        <v>133</v>
      </c>
      <c r="N19">
        <v>16384</v>
      </c>
      <c r="O19" t="s">
        <v>111</v>
      </c>
      <c r="P19" t="s">
        <v>134</v>
      </c>
      <c r="Q19" t="s">
        <v>110</v>
      </c>
      <c r="R19" t="str">
        <f t="shared" si="0"/>
        <v>1x</v>
      </c>
      <c r="T19">
        <v>1</v>
      </c>
      <c r="V19">
        <v>1</v>
      </c>
      <c r="Y19">
        <v>1</v>
      </c>
      <c r="AB19" t="str">
        <f>IF(S19=1,$N19,"")</f>
        <v/>
      </c>
      <c r="AC19">
        <f>IF(T19=1,$N19,"")</f>
        <v>16384</v>
      </c>
      <c r="AE19">
        <f>IF(V19=1,$N19,"")</f>
        <v>16384</v>
      </c>
      <c r="AF19" t="str">
        <f>IF(W19=1,$N19,"")</f>
        <v/>
      </c>
      <c r="AH19">
        <f>IF(Y19=1,$N19,"")</f>
        <v>16384</v>
      </c>
      <c r="AI19" t="str">
        <f t="shared" si="9"/>
        <v/>
      </c>
      <c r="AJ19" t="str">
        <f t="shared" si="10"/>
        <v/>
      </c>
    </row>
    <row r="20" spans="2:36">
      <c r="B20" s="35" t="s">
        <v>76</v>
      </c>
      <c r="C20" s="35" t="s">
        <v>73</v>
      </c>
      <c r="E20" s="35" t="s">
        <v>103</v>
      </c>
      <c r="F20" s="35" t="s">
        <v>103</v>
      </c>
      <c r="H20" s="35" t="s">
        <v>99</v>
      </c>
      <c r="I20" s="35" t="s">
        <v>99</v>
      </c>
      <c r="J20" s="35" t="s">
        <v>103</v>
      </c>
      <c r="L20" t="s">
        <v>220</v>
      </c>
      <c r="M20" t="s">
        <v>91</v>
      </c>
      <c r="N20">
        <v>70385664</v>
      </c>
      <c r="O20" t="s">
        <v>92</v>
      </c>
      <c r="P20" t="s">
        <v>93</v>
      </c>
      <c r="Q20" t="s">
        <v>94</v>
      </c>
      <c r="R20" t="str">
        <f t="shared" si="0"/>
        <v>1x</v>
      </c>
      <c r="W20">
        <v>1</v>
      </c>
      <c r="Z20">
        <v>1</v>
      </c>
      <c r="AB20" t="str">
        <f>IF(S20=1,$N20,"")</f>
        <v/>
      </c>
      <c r="AC20" t="str">
        <f>IF(T20=1,$N20,"")</f>
        <v/>
      </c>
      <c r="AE20" t="str">
        <f>IF(V20=1,$N20,"")</f>
        <v/>
      </c>
      <c r="AF20">
        <f>IF(W20=1,$N20,"")</f>
        <v>70385664</v>
      </c>
      <c r="AH20" t="str">
        <f>IF(Y20=1,$N20,"")</f>
        <v/>
      </c>
      <c r="AI20">
        <f t="shared" si="9"/>
        <v>70385664</v>
      </c>
      <c r="AJ20" t="str">
        <f t="shared" si="10"/>
        <v/>
      </c>
    </row>
    <row r="21" spans="2:36">
      <c r="C21" s="35" t="s">
        <v>76</v>
      </c>
      <c r="E21" s="35" t="s">
        <v>105</v>
      </c>
      <c r="F21" s="35" t="s">
        <v>105</v>
      </c>
      <c r="H21" s="35" t="s">
        <v>103</v>
      </c>
      <c r="I21" s="35" t="s">
        <v>103</v>
      </c>
      <c r="J21" s="35" t="s">
        <v>105</v>
      </c>
      <c r="L21" t="s">
        <v>220</v>
      </c>
      <c r="M21" t="s">
        <v>95</v>
      </c>
      <c r="N21">
        <v>31948800</v>
      </c>
      <c r="O21" t="s">
        <v>96</v>
      </c>
      <c r="P21" t="s">
        <v>97</v>
      </c>
      <c r="Q21" t="s">
        <v>98</v>
      </c>
      <c r="R21" t="str">
        <f t="shared" si="0"/>
        <v>1x</v>
      </c>
      <c r="W21">
        <v>1</v>
      </c>
      <c r="Z21">
        <v>1</v>
      </c>
      <c r="AB21" t="str">
        <f>IF(S21=1,$N21,"")</f>
        <v/>
      </c>
      <c r="AC21" t="str">
        <f>IF(T21=1,$N21,"")</f>
        <v/>
      </c>
      <c r="AE21" t="str">
        <f>IF(V21=1,$N21,"")</f>
        <v/>
      </c>
      <c r="AF21">
        <f>IF(W21=1,$N21,"")</f>
        <v>31948800</v>
      </c>
      <c r="AH21" t="str">
        <f>IF(Y21=1,$N21,"")</f>
        <v/>
      </c>
      <c r="AI21">
        <f t="shared" si="9"/>
        <v>31948800</v>
      </c>
      <c r="AJ21" t="str">
        <f t="shared" si="10"/>
        <v/>
      </c>
    </row>
    <row r="22" spans="2:36">
      <c r="C22" s="35" t="s">
        <v>133</v>
      </c>
      <c r="E22" s="35" t="s">
        <v>108</v>
      </c>
      <c r="F22" s="35" t="s">
        <v>108</v>
      </c>
      <c r="H22" s="35" t="s">
        <v>105</v>
      </c>
      <c r="I22" s="35" t="s">
        <v>105</v>
      </c>
      <c r="J22" s="35" t="s">
        <v>108</v>
      </c>
      <c r="L22" t="s">
        <v>220</v>
      </c>
      <c r="M22" t="s">
        <v>99</v>
      </c>
      <c r="N22">
        <v>30597120</v>
      </c>
      <c r="O22" t="s">
        <v>97</v>
      </c>
      <c r="P22" t="s">
        <v>97</v>
      </c>
      <c r="Q22" t="s">
        <v>166</v>
      </c>
      <c r="R22" t="str">
        <f t="shared" si="0"/>
        <v>1x</v>
      </c>
      <c r="Z22">
        <v>1</v>
      </c>
      <c r="AB22" t="str">
        <f>IF(S22=1,$N22,"")</f>
        <v/>
      </c>
      <c r="AC22" t="str">
        <f>IF(T22=1,$N22,"")</f>
        <v/>
      </c>
      <c r="AE22" t="str">
        <f>IF(V22=1,$N22,"")</f>
        <v/>
      </c>
      <c r="AF22" t="str">
        <f>IF(W22=1,$N22,"")</f>
        <v/>
      </c>
      <c r="AH22" t="str">
        <f>IF(Y22=1,$N22,"")</f>
        <v/>
      </c>
      <c r="AI22">
        <f t="shared" si="9"/>
        <v>30597120</v>
      </c>
      <c r="AJ22" t="str">
        <f t="shared" si="10"/>
        <v/>
      </c>
    </row>
    <row r="23" spans="2:36">
      <c r="E23" s="35" t="s">
        <v>112</v>
      </c>
      <c r="F23" s="35" t="s">
        <v>112</v>
      </c>
      <c r="H23" s="35" t="s">
        <v>108</v>
      </c>
      <c r="I23" s="35" t="s">
        <v>108</v>
      </c>
      <c r="J23" s="35" t="s">
        <v>112</v>
      </c>
      <c r="L23" t="s">
        <v>220</v>
      </c>
      <c r="M23" t="s">
        <v>103</v>
      </c>
      <c r="N23">
        <v>62570496</v>
      </c>
      <c r="O23" t="s">
        <v>167</v>
      </c>
      <c r="P23" t="s">
        <v>168</v>
      </c>
      <c r="Q23" t="s">
        <v>166</v>
      </c>
      <c r="R23" t="str">
        <f t="shared" si="0"/>
        <v>1x</v>
      </c>
      <c r="W23">
        <v>1</v>
      </c>
      <c r="Z23">
        <v>1</v>
      </c>
      <c r="AB23" t="str">
        <f>IF(S23=1,$N23,"")</f>
        <v/>
      </c>
      <c r="AC23" t="str">
        <f>IF(T23=1,$N23,"")</f>
        <v/>
      </c>
      <c r="AE23" t="str">
        <f>IF(V23=1,$N23,"")</f>
        <v/>
      </c>
      <c r="AF23">
        <f>IF(W23=1,$N23,"")</f>
        <v>62570496</v>
      </c>
      <c r="AH23" t="str">
        <f>IF(Y23=1,$N23,"")</f>
        <v/>
      </c>
      <c r="AI23">
        <f t="shared" si="9"/>
        <v>62570496</v>
      </c>
      <c r="AJ23" t="str">
        <f t="shared" si="10"/>
        <v/>
      </c>
    </row>
    <row r="24" spans="2:36">
      <c r="E24" s="35" t="s">
        <v>116</v>
      </c>
      <c r="F24" s="35" t="s">
        <v>116</v>
      </c>
      <c r="H24" s="35" t="s">
        <v>112</v>
      </c>
      <c r="I24" s="35" t="s">
        <v>112</v>
      </c>
      <c r="J24" s="35" t="s">
        <v>116</v>
      </c>
      <c r="L24" t="s">
        <v>220</v>
      </c>
      <c r="M24" t="s">
        <v>105</v>
      </c>
      <c r="N24">
        <v>7258112</v>
      </c>
      <c r="O24" t="s">
        <v>221</v>
      </c>
      <c r="P24" t="s">
        <v>222</v>
      </c>
      <c r="Q24" t="s">
        <v>223</v>
      </c>
      <c r="R24" t="str">
        <f t="shared" si="0"/>
        <v>1x</v>
      </c>
      <c r="W24">
        <v>1</v>
      </c>
      <c r="Z24">
        <v>1</v>
      </c>
      <c r="AB24" t="str">
        <f>IF(S24=1,$N24,"")</f>
        <v/>
      </c>
      <c r="AC24" t="str">
        <f>IF(T24=1,$N24,"")</f>
        <v/>
      </c>
      <c r="AE24" t="str">
        <f>IF(V24=1,$N24,"")</f>
        <v/>
      </c>
      <c r="AF24">
        <f>IF(W24=1,$N24,"")</f>
        <v>7258112</v>
      </c>
      <c r="AH24" t="str">
        <f>IF(Y24=1,$N24,"")</f>
        <v/>
      </c>
      <c r="AI24">
        <f t="shared" si="9"/>
        <v>7258112</v>
      </c>
      <c r="AJ24" t="str">
        <f t="shared" si="10"/>
        <v/>
      </c>
    </row>
    <row r="25" spans="2:36">
      <c r="E25" s="35" t="s">
        <v>120</v>
      </c>
      <c r="F25" s="35" t="s">
        <v>73</v>
      </c>
      <c r="H25" s="35" t="s">
        <v>116</v>
      </c>
      <c r="I25" s="35" t="s">
        <v>116</v>
      </c>
      <c r="J25" s="35" t="s">
        <v>120</v>
      </c>
      <c r="L25" t="s">
        <v>220</v>
      </c>
      <c r="M25" t="s">
        <v>108</v>
      </c>
      <c r="N25">
        <v>105308160</v>
      </c>
      <c r="O25" t="s">
        <v>224</v>
      </c>
      <c r="P25" t="s">
        <v>225</v>
      </c>
      <c r="Q25" t="s">
        <v>226</v>
      </c>
      <c r="R25" t="str">
        <f t="shared" si="0"/>
        <v>1x</v>
      </c>
      <c r="W25">
        <v>1</v>
      </c>
      <c r="Z25">
        <v>1</v>
      </c>
      <c r="AB25" t="str">
        <f>IF(S25=1,$N25,"")</f>
        <v/>
      </c>
      <c r="AC25" t="str">
        <f>IF(T25=1,$N25,"")</f>
        <v/>
      </c>
      <c r="AE25" t="str">
        <f>IF(V25=1,$N25,"")</f>
        <v/>
      </c>
      <c r="AF25">
        <f>IF(W25=1,$N25,"")</f>
        <v>105308160</v>
      </c>
      <c r="AH25" t="str">
        <f>IF(Y25=1,$N25,"")</f>
        <v/>
      </c>
      <c r="AI25">
        <f t="shared" si="9"/>
        <v>105308160</v>
      </c>
      <c r="AJ25" t="str">
        <f t="shared" si="10"/>
        <v/>
      </c>
    </row>
    <row r="26" spans="2:36">
      <c r="E26" s="35" t="s">
        <v>73</v>
      </c>
      <c r="F26" s="35" t="s">
        <v>124</v>
      </c>
      <c r="H26" s="35" t="s">
        <v>120</v>
      </c>
      <c r="I26" s="35" t="s">
        <v>120</v>
      </c>
      <c r="J26" s="35" t="s">
        <v>73</v>
      </c>
      <c r="L26" t="s">
        <v>220</v>
      </c>
      <c r="M26" t="s">
        <v>112</v>
      </c>
      <c r="N26">
        <v>382525440</v>
      </c>
      <c r="O26" t="s">
        <v>227</v>
      </c>
      <c r="P26" t="s">
        <v>170</v>
      </c>
      <c r="Q26" t="s">
        <v>228</v>
      </c>
      <c r="R26" t="str">
        <f t="shared" si="0"/>
        <v>1x</v>
      </c>
      <c r="W26">
        <v>1</v>
      </c>
      <c r="Z26">
        <v>1</v>
      </c>
      <c r="AB26" t="str">
        <f>IF(S26=1,$N26,"")</f>
        <v/>
      </c>
      <c r="AC26" t="str">
        <f>IF(T26=1,$N26,"")</f>
        <v/>
      </c>
      <c r="AE26" t="str">
        <f>IF(V26=1,$N26,"")</f>
        <v/>
      </c>
      <c r="AF26">
        <f>IF(W26=1,$N26,"")</f>
        <v>382525440</v>
      </c>
      <c r="AH26" t="str">
        <f>IF(Y26=1,$N26,"")</f>
        <v/>
      </c>
      <c r="AI26">
        <f t="shared" si="9"/>
        <v>382525440</v>
      </c>
      <c r="AJ26" t="str">
        <f t="shared" si="10"/>
        <v/>
      </c>
    </row>
    <row r="27" spans="2:36">
      <c r="E27" s="35" t="s">
        <v>124</v>
      </c>
      <c r="F27" s="35" t="s">
        <v>76</v>
      </c>
      <c r="H27" s="35" t="s">
        <v>73</v>
      </c>
      <c r="I27" s="35" t="s">
        <v>73</v>
      </c>
      <c r="J27" s="35" t="s">
        <v>258</v>
      </c>
      <c r="L27" t="s">
        <v>220</v>
      </c>
      <c r="M27" t="s">
        <v>116</v>
      </c>
      <c r="N27">
        <v>8945664</v>
      </c>
      <c r="O27" t="s">
        <v>229</v>
      </c>
      <c r="P27" t="s">
        <v>230</v>
      </c>
      <c r="Q27" t="s">
        <v>215</v>
      </c>
      <c r="R27" t="str">
        <f t="shared" si="0"/>
        <v>1x</v>
      </c>
      <c r="W27">
        <v>1</v>
      </c>
      <c r="Z27">
        <v>1</v>
      </c>
      <c r="AB27" t="str">
        <f>IF(S27=1,$N27,"")</f>
        <v/>
      </c>
      <c r="AC27" t="str">
        <f>IF(T27=1,$N27,"")</f>
        <v/>
      </c>
      <c r="AE27" t="str">
        <f>IF(V27=1,$N27,"")</f>
        <v/>
      </c>
      <c r="AF27">
        <f>IF(W27=1,$N27,"")</f>
        <v>8945664</v>
      </c>
      <c r="AH27" t="str">
        <f>IF(Y27=1,$N27,"")</f>
        <v/>
      </c>
      <c r="AI27">
        <f t="shared" si="9"/>
        <v>8945664</v>
      </c>
      <c r="AJ27" t="str">
        <f t="shared" si="10"/>
        <v/>
      </c>
    </row>
    <row r="28" spans="2:36">
      <c r="E28" s="35" t="s">
        <v>126</v>
      </c>
      <c r="H28" s="35" t="s">
        <v>124</v>
      </c>
      <c r="I28" s="35" t="s">
        <v>124</v>
      </c>
      <c r="J28" s="35" t="s">
        <v>130</v>
      </c>
      <c r="L28" t="s">
        <v>220</v>
      </c>
      <c r="M28" t="s">
        <v>120</v>
      </c>
      <c r="N28">
        <v>135561216</v>
      </c>
      <c r="O28" t="s">
        <v>231</v>
      </c>
      <c r="P28" t="s">
        <v>232</v>
      </c>
      <c r="Q28" t="s">
        <v>148</v>
      </c>
      <c r="R28" t="str">
        <f t="shared" si="0"/>
        <v>1x</v>
      </c>
      <c r="W28">
        <v>1</v>
      </c>
      <c r="Z28">
        <v>1</v>
      </c>
      <c r="AB28" t="str">
        <f>IF(S28=1,$N28,"")</f>
        <v/>
      </c>
      <c r="AC28" t="str">
        <f>IF(T28=1,$N28,"")</f>
        <v/>
      </c>
      <c r="AE28" t="str">
        <f>IF(V28=1,$N28,"")</f>
        <v/>
      </c>
      <c r="AF28">
        <f>IF(W28=1,$N28,"")</f>
        <v>135561216</v>
      </c>
      <c r="AH28" t="str">
        <f>IF(Y28=1,$N28,"")</f>
        <v/>
      </c>
      <c r="AI28">
        <f t="shared" si="9"/>
        <v>135561216</v>
      </c>
      <c r="AJ28" t="str">
        <f t="shared" si="10"/>
        <v/>
      </c>
    </row>
    <row r="29" spans="2:36">
      <c r="E29" s="35" t="s">
        <v>76</v>
      </c>
      <c r="H29" s="35" t="s">
        <v>130</v>
      </c>
      <c r="I29" s="35" t="s">
        <v>130</v>
      </c>
      <c r="J29" s="35" t="s">
        <v>76</v>
      </c>
      <c r="L29" t="s">
        <v>220</v>
      </c>
      <c r="M29" t="s">
        <v>73</v>
      </c>
      <c r="N29">
        <v>327680</v>
      </c>
      <c r="O29" t="s">
        <v>233</v>
      </c>
      <c r="P29" t="s">
        <v>234</v>
      </c>
      <c r="Q29" t="s">
        <v>107</v>
      </c>
      <c r="R29" t="str">
        <f t="shared" si="0"/>
        <v>1x</v>
      </c>
      <c r="W29">
        <v>1</v>
      </c>
      <c r="Z29">
        <v>1</v>
      </c>
      <c r="AB29" t="str">
        <f>IF(S29=1,$N29,"")</f>
        <v/>
      </c>
      <c r="AC29" t="str">
        <f>IF(T29=1,$N29,"")</f>
        <v/>
      </c>
      <c r="AE29" t="str">
        <f>IF(V29=1,$N29,"")</f>
        <v/>
      </c>
      <c r="AF29">
        <f>IF(W29=1,$N29,"")</f>
        <v>327680</v>
      </c>
      <c r="AH29" t="str">
        <f>IF(Y29=1,$N29,"")</f>
        <v/>
      </c>
      <c r="AI29">
        <f t="shared" si="9"/>
        <v>327680</v>
      </c>
      <c r="AJ29" t="str">
        <f t="shared" si="10"/>
        <v/>
      </c>
    </row>
    <row r="30" spans="2:36">
      <c r="E30" s="35" t="s">
        <v>133</v>
      </c>
      <c r="H30" s="35" t="s">
        <v>76</v>
      </c>
      <c r="I30" s="35" t="s">
        <v>76</v>
      </c>
      <c r="J30" s="35" t="s">
        <v>261</v>
      </c>
      <c r="L30" t="s">
        <v>220</v>
      </c>
      <c r="M30" t="s">
        <v>124</v>
      </c>
      <c r="N30">
        <v>15589376</v>
      </c>
      <c r="O30" t="s">
        <v>88</v>
      </c>
      <c r="P30" t="s">
        <v>176</v>
      </c>
      <c r="Q30" t="s">
        <v>223</v>
      </c>
      <c r="R30" t="str">
        <f t="shared" si="0"/>
        <v>1x</v>
      </c>
      <c r="W30">
        <v>1</v>
      </c>
      <c r="Z30">
        <v>1</v>
      </c>
      <c r="AB30" t="str">
        <f>IF(S30=1,$N30,"")</f>
        <v/>
      </c>
      <c r="AC30" t="str">
        <f>IF(T30=1,$N30,"")</f>
        <v/>
      </c>
      <c r="AE30" t="str">
        <f>IF(V30=1,$N30,"")</f>
        <v/>
      </c>
      <c r="AF30">
        <f>IF(W30=1,$N30,"")</f>
        <v>15589376</v>
      </c>
      <c r="AH30" t="str">
        <f>IF(Y30=1,$N30,"")</f>
        <v/>
      </c>
      <c r="AI30">
        <f t="shared" si="9"/>
        <v>15589376</v>
      </c>
      <c r="AJ30" t="str">
        <f t="shared" si="10"/>
        <v/>
      </c>
    </row>
    <row r="31" spans="2:36">
      <c r="H31" s="35" t="s">
        <v>133</v>
      </c>
      <c r="L31" t="s">
        <v>220</v>
      </c>
      <c r="M31" t="s">
        <v>126</v>
      </c>
      <c r="N31">
        <v>253952</v>
      </c>
      <c r="O31" t="s">
        <v>235</v>
      </c>
      <c r="P31" t="s">
        <v>236</v>
      </c>
      <c r="Q31" t="s">
        <v>111</v>
      </c>
      <c r="R31" t="str">
        <f t="shared" si="0"/>
        <v>1x</v>
      </c>
      <c r="AB31" t="str">
        <f>IF(S31=1,$N31,"")</f>
        <v/>
      </c>
      <c r="AC31" t="str">
        <f>IF(T31=1,$N31,"")</f>
        <v/>
      </c>
      <c r="AE31" t="str">
        <f>IF(V31=1,$N31,"")</f>
        <v/>
      </c>
      <c r="AF31" t="str">
        <f>IF(W31=1,$N31,"")</f>
        <v/>
      </c>
      <c r="AH31" t="str">
        <f>IF(Y31=1,$N31,"")</f>
        <v/>
      </c>
      <c r="AI31" t="str">
        <f t="shared" si="9"/>
        <v/>
      </c>
      <c r="AJ31" t="str">
        <f t="shared" si="10"/>
        <v/>
      </c>
    </row>
    <row r="32" spans="2:36">
      <c r="L32" t="s">
        <v>220</v>
      </c>
      <c r="M32" t="s">
        <v>198</v>
      </c>
      <c r="N32">
        <v>12836864</v>
      </c>
      <c r="O32" t="s">
        <v>188</v>
      </c>
      <c r="P32" t="s">
        <v>188</v>
      </c>
      <c r="Q32" t="s">
        <v>223</v>
      </c>
      <c r="R32" t="str">
        <f t="shared" si="0"/>
        <v>1x</v>
      </c>
      <c r="AB32" t="str">
        <f>IF(S32=1,$N32,"")</f>
        <v/>
      </c>
      <c r="AC32" t="str">
        <f>IF(T32=1,$N32,"")</f>
        <v/>
      </c>
      <c r="AE32" t="str">
        <f>IF(V32=1,$N32,"")</f>
        <v/>
      </c>
      <c r="AF32" t="str">
        <f>IF(W32=1,$N32,"")</f>
        <v/>
      </c>
      <c r="AH32" t="str">
        <f>IF(Y32=1,$N32,"")</f>
        <v/>
      </c>
      <c r="AI32" t="str">
        <f t="shared" si="9"/>
        <v/>
      </c>
      <c r="AJ32" t="str">
        <f t="shared" si="10"/>
        <v/>
      </c>
    </row>
    <row r="33" spans="12:36">
      <c r="L33" t="s">
        <v>220</v>
      </c>
      <c r="M33" t="s">
        <v>130</v>
      </c>
      <c r="N33">
        <v>745472</v>
      </c>
      <c r="O33" t="s">
        <v>131</v>
      </c>
      <c r="P33" t="s">
        <v>132</v>
      </c>
      <c r="Q33" t="s">
        <v>111</v>
      </c>
      <c r="R33" t="str">
        <f t="shared" si="0"/>
        <v>1x</v>
      </c>
      <c r="Z33">
        <v>1</v>
      </c>
      <c r="AB33" t="str">
        <f>IF(S33=1,$N33,"")</f>
        <v/>
      </c>
      <c r="AC33" t="str">
        <f>IF(T33=1,$N33,"")</f>
        <v/>
      </c>
      <c r="AE33" t="str">
        <f>IF(V33=1,$N33,"")</f>
        <v/>
      </c>
      <c r="AF33" t="str">
        <f>IF(W33=1,$N33,"")</f>
        <v/>
      </c>
      <c r="AH33" t="str">
        <f>IF(Y33=1,$N33,"")</f>
        <v/>
      </c>
      <c r="AI33">
        <f t="shared" si="9"/>
        <v>745472</v>
      </c>
      <c r="AJ33" t="str">
        <f t="shared" si="10"/>
        <v/>
      </c>
    </row>
    <row r="34" spans="12:36">
      <c r="L34" t="s">
        <v>220</v>
      </c>
      <c r="M34" t="s">
        <v>76</v>
      </c>
      <c r="N34">
        <v>73523200</v>
      </c>
      <c r="O34" t="s">
        <v>237</v>
      </c>
      <c r="P34" t="s">
        <v>78</v>
      </c>
      <c r="Q34" t="s">
        <v>238</v>
      </c>
      <c r="R34" t="str">
        <f t="shared" si="0"/>
        <v>1x</v>
      </c>
      <c r="W34">
        <v>1</v>
      </c>
      <c r="Z34">
        <v>1</v>
      </c>
      <c r="AB34" t="str">
        <f>IF(S34=1,$N34,"")</f>
        <v/>
      </c>
      <c r="AC34" t="str">
        <f>IF(T34=1,$N34,"")</f>
        <v/>
      </c>
      <c r="AE34" t="str">
        <f>IF(V34=1,$N34,"")</f>
        <v/>
      </c>
      <c r="AF34">
        <f>IF(W34=1,$N34,"")</f>
        <v>73523200</v>
      </c>
      <c r="AH34" t="str">
        <f>IF(Y34=1,$N34,"")</f>
        <v/>
      </c>
      <c r="AI34">
        <f t="shared" si="9"/>
        <v>73523200</v>
      </c>
      <c r="AJ34" t="str">
        <f t="shared" si="10"/>
        <v/>
      </c>
    </row>
    <row r="35" spans="12:36">
      <c r="L35" t="s">
        <v>278</v>
      </c>
      <c r="M35" t="s">
        <v>240</v>
      </c>
      <c r="N35">
        <v>16384</v>
      </c>
      <c r="O35" t="s">
        <v>111</v>
      </c>
      <c r="P35" t="s">
        <v>134</v>
      </c>
      <c r="Q35" t="s">
        <v>110</v>
      </c>
      <c r="R35" t="str">
        <f t="shared" si="0"/>
        <v>1x</v>
      </c>
      <c r="AA35">
        <v>1</v>
      </c>
      <c r="AB35" t="str">
        <f>IF(S35=1,$N35,"")</f>
        <v/>
      </c>
      <c r="AC35" t="str">
        <f>IF(T35=1,$N35,"")</f>
        <v/>
      </c>
      <c r="AE35" t="str">
        <f>IF(V35=1,$N35,"")</f>
        <v/>
      </c>
      <c r="AF35" t="str">
        <f>IF(W35=1,$N35,"")</f>
        <v/>
      </c>
      <c r="AH35" t="str">
        <f>IF(Y35=1,$N35,"")</f>
        <v/>
      </c>
      <c r="AI35" t="str">
        <f t="shared" si="9"/>
        <v/>
      </c>
      <c r="AJ35">
        <f t="shared" si="10"/>
        <v>16384</v>
      </c>
    </row>
    <row r="36" spans="12:36">
      <c r="L36" t="s">
        <v>278</v>
      </c>
      <c r="M36" t="s">
        <v>241</v>
      </c>
      <c r="N36">
        <v>70574080</v>
      </c>
      <c r="O36" t="s">
        <v>92</v>
      </c>
      <c r="P36" t="s">
        <v>242</v>
      </c>
      <c r="Q36" t="s">
        <v>243</v>
      </c>
      <c r="R36" t="str">
        <f t="shared" si="0"/>
        <v>1x</v>
      </c>
      <c r="AA36">
        <v>1</v>
      </c>
      <c r="AB36" t="str">
        <f>IF(S36=1,$N36,"")</f>
        <v/>
      </c>
      <c r="AC36" t="str">
        <f>IF(T36=1,$N36,"")</f>
        <v/>
      </c>
      <c r="AE36" t="str">
        <f>IF(V36=1,$N36,"")</f>
        <v/>
      </c>
      <c r="AF36" t="str">
        <f>IF(W36=1,$N36,"")</f>
        <v/>
      </c>
      <c r="AH36" t="str">
        <f>IF(Y36=1,$N36,"")</f>
        <v/>
      </c>
      <c r="AI36" t="str">
        <f t="shared" si="9"/>
        <v/>
      </c>
      <c r="AJ36">
        <f t="shared" si="10"/>
        <v>70574080</v>
      </c>
    </row>
    <row r="37" spans="12:36">
      <c r="L37" t="s">
        <v>278</v>
      </c>
      <c r="M37" t="s">
        <v>244</v>
      </c>
      <c r="N37">
        <v>23977984</v>
      </c>
      <c r="O37" t="s">
        <v>245</v>
      </c>
      <c r="P37" t="s">
        <v>122</v>
      </c>
      <c r="Q37" t="s">
        <v>246</v>
      </c>
      <c r="R37" t="str">
        <f t="shared" si="0"/>
        <v>1x</v>
      </c>
      <c r="AA37">
        <v>1</v>
      </c>
      <c r="AB37" t="str">
        <f>IF(S37=1,$N37,"")</f>
        <v/>
      </c>
      <c r="AC37" t="str">
        <f>IF(T37=1,$N37,"")</f>
        <v/>
      </c>
      <c r="AE37" t="str">
        <f>IF(V37=1,$N37,"")</f>
        <v/>
      </c>
      <c r="AF37" t="str">
        <f>IF(W37=1,$N37,"")</f>
        <v/>
      </c>
      <c r="AH37" t="str">
        <f>IF(Y37=1,$N37,"")</f>
        <v/>
      </c>
      <c r="AI37" t="str">
        <f t="shared" si="9"/>
        <v/>
      </c>
      <c r="AJ37">
        <f t="shared" si="10"/>
        <v>23977984</v>
      </c>
    </row>
    <row r="38" spans="12:36">
      <c r="L38" t="s">
        <v>278</v>
      </c>
      <c r="M38" t="s">
        <v>99</v>
      </c>
      <c r="N38">
        <v>30597120</v>
      </c>
      <c r="O38" t="s">
        <v>97</v>
      </c>
      <c r="P38" t="s">
        <v>97</v>
      </c>
      <c r="Q38" t="s">
        <v>166</v>
      </c>
      <c r="R38" t="str">
        <f t="shared" si="0"/>
        <v>1x</v>
      </c>
      <c r="AA38">
        <v>1</v>
      </c>
      <c r="AB38" t="str">
        <f>IF(S38=1,$N38,"")</f>
        <v/>
      </c>
      <c r="AC38" t="str">
        <f>IF(T38=1,$N38,"")</f>
        <v/>
      </c>
      <c r="AE38" t="str">
        <f>IF(V38=1,$N38,"")</f>
        <v/>
      </c>
      <c r="AF38" t="str">
        <f>IF(W38=1,$N38,"")</f>
        <v/>
      </c>
      <c r="AH38" t="str">
        <f>IF(Y38=1,$N38,"")</f>
        <v/>
      </c>
      <c r="AI38" t="str">
        <f t="shared" si="9"/>
        <v/>
      </c>
      <c r="AJ38">
        <f t="shared" si="10"/>
        <v>30597120</v>
      </c>
    </row>
    <row r="39" spans="12:36">
      <c r="L39" t="s">
        <v>278</v>
      </c>
      <c r="M39" t="s">
        <v>103</v>
      </c>
      <c r="N39">
        <v>62570496</v>
      </c>
      <c r="O39" t="s">
        <v>167</v>
      </c>
      <c r="P39" t="s">
        <v>168</v>
      </c>
      <c r="Q39" t="s">
        <v>166</v>
      </c>
      <c r="R39" t="str">
        <f t="shared" si="0"/>
        <v>1x</v>
      </c>
      <c r="AA39">
        <v>1</v>
      </c>
      <c r="AB39" t="str">
        <f>IF(S39=1,$N39,"")</f>
        <v/>
      </c>
      <c r="AC39" t="str">
        <f>IF(T39=1,$N39,"")</f>
        <v/>
      </c>
      <c r="AE39" t="str">
        <f>IF(V39=1,$N39,"")</f>
        <v/>
      </c>
      <c r="AF39" t="str">
        <f>IF(W39=1,$N39,"")</f>
        <v/>
      </c>
      <c r="AH39" t="str">
        <f>IF(Y39=1,$N39,"")</f>
        <v/>
      </c>
      <c r="AI39" t="str">
        <f t="shared" si="9"/>
        <v/>
      </c>
      <c r="AJ39">
        <f t="shared" si="10"/>
        <v>62570496</v>
      </c>
    </row>
    <row r="40" spans="12:36">
      <c r="L40" t="s">
        <v>278</v>
      </c>
      <c r="M40" t="s">
        <v>105</v>
      </c>
      <c r="N40">
        <v>19431424</v>
      </c>
      <c r="O40" t="s">
        <v>279</v>
      </c>
      <c r="P40" t="s">
        <v>89</v>
      </c>
      <c r="Q40" t="s">
        <v>280</v>
      </c>
      <c r="R40" t="str">
        <f t="shared" si="0"/>
        <v>1x</v>
      </c>
      <c r="AA40">
        <v>1</v>
      </c>
      <c r="AB40" t="str">
        <f>IF(S40=1,$N40,"")</f>
        <v/>
      </c>
      <c r="AC40" t="str">
        <f>IF(T40=1,$N40,"")</f>
        <v/>
      </c>
      <c r="AE40" t="str">
        <f>IF(V40=1,$N40,"")</f>
        <v/>
      </c>
      <c r="AF40" t="str">
        <f>IF(W40=1,$N40,"")</f>
        <v/>
      </c>
      <c r="AH40" t="str">
        <f>IF(Y40=1,$N40,"")</f>
        <v/>
      </c>
      <c r="AI40" t="str">
        <f t="shared" si="9"/>
        <v/>
      </c>
      <c r="AJ40">
        <f t="shared" si="10"/>
        <v>19431424</v>
      </c>
    </row>
    <row r="41" spans="12:36">
      <c r="L41" t="s">
        <v>278</v>
      </c>
      <c r="M41" t="s">
        <v>108</v>
      </c>
      <c r="N41">
        <v>255352832</v>
      </c>
      <c r="O41" t="s">
        <v>281</v>
      </c>
      <c r="P41" t="s">
        <v>282</v>
      </c>
      <c r="Q41" t="s">
        <v>280</v>
      </c>
      <c r="R41" t="str">
        <f t="shared" si="0"/>
        <v>1x</v>
      </c>
      <c r="AA41">
        <v>1</v>
      </c>
      <c r="AB41" t="str">
        <f>IF(S41=1,$N41,"")</f>
        <v/>
      </c>
      <c r="AC41" t="str">
        <f>IF(T41=1,$N41,"")</f>
        <v/>
      </c>
      <c r="AE41" t="str">
        <f>IF(V41=1,$N41,"")</f>
        <v/>
      </c>
      <c r="AF41" t="str">
        <f>IF(W41=1,$N41,"")</f>
        <v/>
      </c>
      <c r="AH41" t="str">
        <f>IF(Y41=1,$N41,"")</f>
        <v/>
      </c>
      <c r="AI41" t="str">
        <f t="shared" si="9"/>
        <v/>
      </c>
      <c r="AJ41">
        <f t="shared" si="10"/>
        <v>255352832</v>
      </c>
    </row>
    <row r="42" spans="12:36">
      <c r="L42" t="s">
        <v>278</v>
      </c>
      <c r="M42" t="s">
        <v>112</v>
      </c>
      <c r="N42">
        <v>234848256</v>
      </c>
      <c r="O42" t="s">
        <v>283</v>
      </c>
      <c r="P42" t="s">
        <v>284</v>
      </c>
      <c r="Q42" t="s">
        <v>285</v>
      </c>
      <c r="R42" t="str">
        <f t="shared" si="0"/>
        <v>1x</v>
      </c>
      <c r="AA42">
        <v>1</v>
      </c>
      <c r="AB42" t="str">
        <f>IF(S42=1,$N42,"")</f>
        <v/>
      </c>
      <c r="AC42" t="str">
        <f>IF(T42=1,$N42,"")</f>
        <v/>
      </c>
      <c r="AE42" t="str">
        <f>IF(V42=1,$N42,"")</f>
        <v/>
      </c>
      <c r="AF42" t="str">
        <f>IF(W42=1,$N42,"")</f>
        <v/>
      </c>
      <c r="AH42" t="str">
        <f>IF(Y42=1,$N42,"")</f>
        <v/>
      </c>
      <c r="AI42" t="str">
        <f t="shared" si="9"/>
        <v/>
      </c>
      <c r="AJ42">
        <f t="shared" si="10"/>
        <v>234848256</v>
      </c>
    </row>
    <row r="43" spans="12:36">
      <c r="L43" t="s">
        <v>278</v>
      </c>
      <c r="M43" t="s">
        <v>116</v>
      </c>
      <c r="N43">
        <v>9207808</v>
      </c>
      <c r="O43" t="s">
        <v>286</v>
      </c>
      <c r="P43" t="s">
        <v>287</v>
      </c>
      <c r="Q43" t="s">
        <v>288</v>
      </c>
      <c r="R43" t="str">
        <f t="shared" si="0"/>
        <v>1x</v>
      </c>
      <c r="AA43">
        <v>1</v>
      </c>
      <c r="AB43" t="str">
        <f>IF(S43=1,$N43,"")</f>
        <v/>
      </c>
      <c r="AC43" t="str">
        <f>IF(T43=1,$N43,"")</f>
        <v/>
      </c>
      <c r="AE43" t="str">
        <f>IF(V43=1,$N43,"")</f>
        <v/>
      </c>
      <c r="AF43" t="str">
        <f>IF(W43=1,$N43,"")</f>
        <v/>
      </c>
      <c r="AH43" t="str">
        <f>IF(Y43=1,$N43,"")</f>
        <v/>
      </c>
      <c r="AI43" t="str">
        <f t="shared" si="9"/>
        <v/>
      </c>
      <c r="AJ43">
        <f t="shared" si="10"/>
        <v>9207808</v>
      </c>
    </row>
    <row r="44" spans="12:36">
      <c r="L44" t="s">
        <v>278</v>
      </c>
      <c r="M44" t="s">
        <v>120</v>
      </c>
      <c r="N44">
        <v>133341184</v>
      </c>
      <c r="O44" t="s">
        <v>289</v>
      </c>
      <c r="P44" t="s">
        <v>290</v>
      </c>
      <c r="Q44" t="s">
        <v>288</v>
      </c>
      <c r="R44" t="str">
        <f t="shared" si="0"/>
        <v>1x</v>
      </c>
      <c r="AA44">
        <v>1</v>
      </c>
      <c r="AB44" t="str">
        <f>IF(S44=1,$N44,"")</f>
        <v/>
      </c>
      <c r="AC44" t="str">
        <f>IF(T44=1,$N44,"")</f>
        <v/>
      </c>
      <c r="AE44" t="str">
        <f>IF(V44=1,$N44,"")</f>
        <v/>
      </c>
      <c r="AF44" t="str">
        <f>IF(W44=1,$N44,"")</f>
        <v/>
      </c>
      <c r="AH44" t="str">
        <f>IF(Y44=1,$N44,"")</f>
        <v/>
      </c>
      <c r="AI44" t="str">
        <f t="shared" si="9"/>
        <v/>
      </c>
      <c r="AJ44">
        <f t="shared" si="10"/>
        <v>133341184</v>
      </c>
    </row>
    <row r="45" spans="12:36">
      <c r="L45" t="s">
        <v>278</v>
      </c>
      <c r="M45" t="s">
        <v>73</v>
      </c>
      <c r="N45">
        <v>49152</v>
      </c>
      <c r="O45" t="s">
        <v>125</v>
      </c>
      <c r="P45" t="s">
        <v>291</v>
      </c>
      <c r="Q45" t="s">
        <v>111</v>
      </c>
      <c r="R45" t="str">
        <f t="shared" si="0"/>
        <v>1x</v>
      </c>
      <c r="AA45">
        <v>1</v>
      </c>
      <c r="AB45" t="str">
        <f>IF(S45=1,$N45,"")</f>
        <v/>
      </c>
      <c r="AC45" t="str">
        <f>IF(T45=1,$N45,"")</f>
        <v/>
      </c>
      <c r="AE45" t="str">
        <f>IF(V45=1,$N45,"")</f>
        <v/>
      </c>
      <c r="AF45" t="str">
        <f>IF(W45=1,$N45,"")</f>
        <v/>
      </c>
      <c r="AH45" t="str">
        <f>IF(Y45=1,$N45,"")</f>
        <v/>
      </c>
      <c r="AI45" t="str">
        <f t="shared" si="9"/>
        <v/>
      </c>
      <c r="AJ45">
        <f t="shared" si="10"/>
        <v>49152</v>
      </c>
    </row>
    <row r="46" spans="12:36">
      <c r="L46" t="s">
        <v>278</v>
      </c>
      <c r="M46" t="s">
        <v>258</v>
      </c>
      <c r="N46">
        <v>278528</v>
      </c>
      <c r="O46" t="s">
        <v>292</v>
      </c>
      <c r="P46" t="s">
        <v>235</v>
      </c>
      <c r="Q46" t="s">
        <v>111</v>
      </c>
      <c r="R46" t="str">
        <f t="shared" si="0"/>
        <v>1x</v>
      </c>
      <c r="AA46">
        <v>1</v>
      </c>
      <c r="AB46" t="str">
        <f>IF(S46=1,$N46,"")</f>
        <v/>
      </c>
      <c r="AC46" t="str">
        <f>IF(T46=1,$N46,"")</f>
        <v/>
      </c>
      <c r="AE46" t="str">
        <f>IF(V46=1,$N46,"")</f>
        <v/>
      </c>
      <c r="AF46" t="str">
        <f>IF(W46=1,$N46,"")</f>
        <v/>
      </c>
      <c r="AH46" t="str">
        <f>IF(Y46=1,$N46,"")</f>
        <v/>
      </c>
      <c r="AI46" t="str">
        <f t="shared" si="9"/>
        <v/>
      </c>
      <c r="AJ46">
        <f t="shared" si="10"/>
        <v>278528</v>
      </c>
    </row>
    <row r="47" spans="12:36">
      <c r="L47" t="s">
        <v>278</v>
      </c>
      <c r="M47" t="s">
        <v>130</v>
      </c>
      <c r="N47">
        <v>745472</v>
      </c>
      <c r="O47" t="s">
        <v>131</v>
      </c>
      <c r="P47" t="s">
        <v>132</v>
      </c>
      <c r="Q47" t="s">
        <v>111</v>
      </c>
      <c r="R47" t="str">
        <f t="shared" si="0"/>
        <v>1x</v>
      </c>
      <c r="AA47">
        <v>1</v>
      </c>
      <c r="AB47" t="str">
        <f>IF(S47=1,$N47,"")</f>
        <v/>
      </c>
      <c r="AC47" t="str">
        <f>IF(T47=1,$N47,"")</f>
        <v/>
      </c>
      <c r="AE47" t="str">
        <f>IF(V47=1,$N47,"")</f>
        <v/>
      </c>
      <c r="AF47" t="str">
        <f>IF(W47=1,$N47,"")</f>
        <v/>
      </c>
      <c r="AH47" t="str">
        <f>IF(Y47=1,$N47,"")</f>
        <v/>
      </c>
      <c r="AI47" t="str">
        <f t="shared" si="9"/>
        <v/>
      </c>
      <c r="AJ47">
        <f t="shared" si="10"/>
        <v>745472</v>
      </c>
    </row>
    <row r="48" spans="12:36">
      <c r="L48" t="s">
        <v>278</v>
      </c>
      <c r="M48" t="s">
        <v>76</v>
      </c>
      <c r="N48">
        <v>9076736</v>
      </c>
      <c r="O48" t="s">
        <v>293</v>
      </c>
      <c r="P48" t="s">
        <v>294</v>
      </c>
      <c r="Q48" t="s">
        <v>295</v>
      </c>
      <c r="R48" t="str">
        <f t="shared" si="0"/>
        <v>1x</v>
      </c>
      <c r="AA48">
        <v>1</v>
      </c>
      <c r="AB48" t="str">
        <f>IF(S48=1,$N48,"")</f>
        <v/>
      </c>
      <c r="AC48" t="str">
        <f>IF(T48=1,$N48,"")</f>
        <v/>
      </c>
      <c r="AE48" t="str">
        <f>IF(V48=1,$N48,"")</f>
        <v/>
      </c>
      <c r="AF48" t="str">
        <f>IF(W48=1,$N48,"")</f>
        <v/>
      </c>
      <c r="AH48" t="str">
        <f>IF(Y48=1,$N48,"")</f>
        <v/>
      </c>
      <c r="AI48" t="str">
        <f t="shared" si="9"/>
        <v/>
      </c>
      <c r="AJ48">
        <f t="shared" si="10"/>
        <v>9076736</v>
      </c>
    </row>
    <row r="49" spans="1:36">
      <c r="L49" t="s">
        <v>278</v>
      </c>
      <c r="M49" t="s">
        <v>261</v>
      </c>
      <c r="N49">
        <v>70828032</v>
      </c>
      <c r="O49" t="s">
        <v>296</v>
      </c>
      <c r="P49" t="s">
        <v>78</v>
      </c>
      <c r="Q49" t="s">
        <v>213</v>
      </c>
      <c r="R49" t="str">
        <f t="shared" si="0"/>
        <v>1x</v>
      </c>
      <c r="AA49">
        <v>1</v>
      </c>
      <c r="AB49" t="str">
        <f>IF(S49=1,$N49,"")</f>
        <v/>
      </c>
      <c r="AC49" t="str">
        <f>IF(T49=1,$N49,"")</f>
        <v/>
      </c>
      <c r="AE49" t="str">
        <f>IF(V49=1,$N49,"")</f>
        <v/>
      </c>
      <c r="AF49" t="str">
        <f>IF(W49=1,$N49,"")</f>
        <v/>
      </c>
      <c r="AH49" t="str">
        <f>IF(Y49=1,$N49,"")</f>
        <v/>
      </c>
      <c r="AI49" t="str">
        <f t="shared" si="9"/>
        <v/>
      </c>
      <c r="AJ49">
        <f t="shared" si="10"/>
        <v>70828032</v>
      </c>
    </row>
    <row r="50" spans="1:36" ht="14" customHeight="1">
      <c r="A50"/>
      <c r="B50"/>
      <c r="C50"/>
      <c r="D50"/>
      <c r="E50"/>
      <c r="F50"/>
      <c r="G50"/>
      <c r="H50"/>
      <c r="I50"/>
      <c r="J50"/>
      <c r="L50" t="s">
        <v>135</v>
      </c>
      <c r="M50" t="s">
        <v>69</v>
      </c>
      <c r="N50">
        <v>1250803712</v>
      </c>
      <c r="O50" t="s">
        <v>136</v>
      </c>
      <c r="P50" t="s">
        <v>137</v>
      </c>
      <c r="Q50" t="s">
        <v>138</v>
      </c>
      <c r="R50" t="str">
        <f t="shared" si="0"/>
        <v>2x</v>
      </c>
      <c r="S50">
        <v>1</v>
      </c>
      <c r="AB50">
        <f>IF(S50=1,$N50,"")</f>
        <v>1250803712</v>
      </c>
      <c r="AC50" t="str">
        <f>IF(T50=1,$N50,"")</f>
        <v/>
      </c>
      <c r="AE50" t="str">
        <f>IF(V50=1,$N50,"")</f>
        <v/>
      </c>
      <c r="AF50" t="str">
        <f>IF(W50=1,$N50,"")</f>
        <v/>
      </c>
      <c r="AH50" t="str">
        <f>IF(Y50=1,$N50,"")</f>
        <v/>
      </c>
      <c r="AI50" t="str">
        <f t="shared" ref="AI50:AI113" si="21">IF(Z50=1,$N50,"")</f>
        <v/>
      </c>
      <c r="AJ50" t="str">
        <f t="shared" ref="AJ50:AJ113" si="22">IF(AA50=1,$N50,"")</f>
        <v/>
      </c>
    </row>
    <row r="51" spans="1:36" ht="14" customHeight="1">
      <c r="A51"/>
      <c r="B51"/>
      <c r="C51"/>
      <c r="D51"/>
      <c r="E51"/>
      <c r="F51"/>
      <c r="G51"/>
      <c r="H51"/>
      <c r="I51"/>
      <c r="J51"/>
      <c r="L51" t="s">
        <v>135</v>
      </c>
      <c r="M51" t="s">
        <v>73</v>
      </c>
      <c r="N51">
        <v>36274176</v>
      </c>
      <c r="O51" t="s">
        <v>139</v>
      </c>
      <c r="P51" t="s">
        <v>140</v>
      </c>
      <c r="Q51" t="s">
        <v>141</v>
      </c>
      <c r="R51" t="str">
        <f t="shared" si="0"/>
        <v>2x</v>
      </c>
      <c r="S51">
        <v>1</v>
      </c>
      <c r="T51">
        <v>1</v>
      </c>
      <c r="AB51">
        <f>IF(S51=1,$N51,"")</f>
        <v>36274176</v>
      </c>
      <c r="AC51">
        <f>IF(T51=1,$N51,"")</f>
        <v>36274176</v>
      </c>
      <c r="AE51" t="str">
        <f>IF(V51=1,$N51,"")</f>
        <v/>
      </c>
      <c r="AF51" t="str">
        <f>IF(W51=1,$N51,"")</f>
        <v/>
      </c>
      <c r="AH51" t="str">
        <f>IF(Y51=1,$N51,"")</f>
        <v/>
      </c>
      <c r="AI51" t="str">
        <f t="shared" si="21"/>
        <v/>
      </c>
      <c r="AJ51" t="str">
        <f t="shared" si="22"/>
        <v/>
      </c>
    </row>
    <row r="52" spans="1:36" ht="14" customHeight="1">
      <c r="A52"/>
      <c r="B52"/>
      <c r="C52"/>
      <c r="D52"/>
      <c r="E52"/>
      <c r="F52"/>
      <c r="G52"/>
      <c r="H52"/>
      <c r="I52"/>
      <c r="J52"/>
      <c r="L52" t="s">
        <v>135</v>
      </c>
      <c r="M52" t="s">
        <v>76</v>
      </c>
      <c r="N52">
        <v>144171008</v>
      </c>
      <c r="O52" t="s">
        <v>142</v>
      </c>
      <c r="P52" t="s">
        <v>143</v>
      </c>
      <c r="Q52" t="s">
        <v>144</v>
      </c>
      <c r="R52" t="str">
        <f t="shared" si="0"/>
        <v>2x</v>
      </c>
      <c r="S52">
        <v>1</v>
      </c>
      <c r="AB52">
        <f>IF(S52=1,$N52,"")</f>
        <v>144171008</v>
      </c>
      <c r="AC52" t="str">
        <f>IF(T52=1,$N52,"")</f>
        <v/>
      </c>
      <c r="AE52" t="str">
        <f>IF(V52=1,$N52,"")</f>
        <v/>
      </c>
      <c r="AF52" t="str">
        <f>IF(W52=1,$N52,"")</f>
        <v/>
      </c>
      <c r="AH52" t="str">
        <f>IF(Y52=1,$N52,"")</f>
        <v/>
      </c>
      <c r="AI52" t="str">
        <f t="shared" si="21"/>
        <v/>
      </c>
      <c r="AJ52" t="str">
        <f t="shared" si="22"/>
        <v/>
      </c>
    </row>
    <row r="53" spans="1:36" ht="14" customHeight="1">
      <c r="A53"/>
      <c r="B53"/>
      <c r="C53"/>
      <c r="D53"/>
      <c r="E53"/>
      <c r="F53"/>
      <c r="G53"/>
      <c r="H53"/>
      <c r="I53"/>
      <c r="J53"/>
      <c r="L53" t="s">
        <v>145</v>
      </c>
      <c r="M53" t="s">
        <v>91</v>
      </c>
      <c r="N53">
        <v>70385664</v>
      </c>
      <c r="O53" t="s">
        <v>92</v>
      </c>
      <c r="P53" t="s">
        <v>93</v>
      </c>
      <c r="Q53" t="s">
        <v>94</v>
      </c>
      <c r="R53" t="str">
        <f t="shared" si="0"/>
        <v>2x</v>
      </c>
      <c r="V53">
        <v>1</v>
      </c>
      <c r="Y53">
        <v>1</v>
      </c>
      <c r="AB53" t="str">
        <f>IF(S53=1,$N53,"")</f>
        <v/>
      </c>
      <c r="AC53" t="str">
        <f>IF(T53=1,$N53,"")</f>
        <v/>
      </c>
      <c r="AE53">
        <f>IF(V53=1,$N53,"")</f>
        <v>70385664</v>
      </c>
      <c r="AF53" t="str">
        <f>IF(W53=1,$N53,"")</f>
        <v/>
      </c>
      <c r="AH53">
        <f>IF(Y53=1,$N53,"")</f>
        <v>70385664</v>
      </c>
      <c r="AI53" t="str">
        <f t="shared" si="21"/>
        <v/>
      </c>
      <c r="AJ53" t="str">
        <f t="shared" si="22"/>
        <v/>
      </c>
    </row>
    <row r="54" spans="1:36" ht="14" customHeight="1">
      <c r="A54"/>
      <c r="B54"/>
      <c r="C54"/>
      <c r="D54"/>
      <c r="E54"/>
      <c r="F54"/>
      <c r="G54"/>
      <c r="H54"/>
      <c r="I54"/>
      <c r="J54"/>
      <c r="L54" t="s">
        <v>145</v>
      </c>
      <c r="M54" t="s">
        <v>95</v>
      </c>
      <c r="N54">
        <v>31948800</v>
      </c>
      <c r="O54" t="s">
        <v>96</v>
      </c>
      <c r="P54" t="s">
        <v>97</v>
      </c>
      <c r="Q54" t="s">
        <v>98</v>
      </c>
      <c r="R54" t="str">
        <f t="shared" si="0"/>
        <v>2x</v>
      </c>
      <c r="V54">
        <v>1</v>
      </c>
      <c r="Y54">
        <v>1</v>
      </c>
      <c r="AB54" t="str">
        <f>IF(S54=1,$N54,"")</f>
        <v/>
      </c>
      <c r="AC54" t="str">
        <f>IF(T54=1,$N54,"")</f>
        <v/>
      </c>
      <c r="AE54">
        <f>IF(V54=1,$N54,"")</f>
        <v>31948800</v>
      </c>
      <c r="AF54" t="str">
        <f>IF(W54=1,$N54,"")</f>
        <v/>
      </c>
      <c r="AH54">
        <f>IF(Y54=1,$N54,"")</f>
        <v>31948800</v>
      </c>
      <c r="AI54" t="str">
        <f t="shared" si="21"/>
        <v/>
      </c>
      <c r="AJ54" t="str">
        <f t="shared" si="22"/>
        <v/>
      </c>
    </row>
    <row r="55" spans="1:36" ht="14" customHeight="1">
      <c r="A55"/>
      <c r="B55"/>
      <c r="C55"/>
      <c r="D55"/>
      <c r="E55"/>
      <c r="F55"/>
      <c r="G55"/>
      <c r="H55"/>
      <c r="I55"/>
      <c r="J55"/>
      <c r="L55" t="s">
        <v>145</v>
      </c>
      <c r="M55" t="s">
        <v>99</v>
      </c>
      <c r="N55">
        <v>61726720</v>
      </c>
      <c r="O55" t="s">
        <v>146</v>
      </c>
      <c r="P55" t="s">
        <v>147</v>
      </c>
      <c r="Q55" t="s">
        <v>148</v>
      </c>
      <c r="R55" t="str">
        <f t="shared" si="0"/>
        <v>2x</v>
      </c>
      <c r="Y55">
        <v>1</v>
      </c>
      <c r="AB55" t="str">
        <f>IF(S55=1,$N55,"")</f>
        <v/>
      </c>
      <c r="AC55" t="str">
        <f>IF(T55=1,$N55,"")</f>
        <v/>
      </c>
      <c r="AE55" t="str">
        <f>IF(V55=1,$N55,"")</f>
        <v/>
      </c>
      <c r="AF55" t="str">
        <f>IF(W55=1,$N55,"")</f>
        <v/>
      </c>
      <c r="AH55">
        <f>IF(Y55=1,$N55,"")</f>
        <v>61726720</v>
      </c>
      <c r="AI55" t="str">
        <f t="shared" si="21"/>
        <v/>
      </c>
      <c r="AJ55" t="str">
        <f t="shared" si="22"/>
        <v/>
      </c>
    </row>
    <row r="56" spans="1:36" ht="14" customHeight="1">
      <c r="A56"/>
      <c r="B56"/>
      <c r="C56"/>
      <c r="D56"/>
      <c r="E56"/>
      <c r="F56"/>
      <c r="G56"/>
      <c r="H56"/>
      <c r="I56"/>
      <c r="J56"/>
      <c r="L56" t="s">
        <v>145</v>
      </c>
      <c r="M56" t="s">
        <v>103</v>
      </c>
      <c r="N56">
        <v>125034496</v>
      </c>
      <c r="O56" t="s">
        <v>149</v>
      </c>
      <c r="P56" t="s">
        <v>150</v>
      </c>
      <c r="Q56" t="s">
        <v>148</v>
      </c>
      <c r="R56" t="str">
        <f t="shared" si="0"/>
        <v>2x</v>
      </c>
      <c r="V56">
        <v>1</v>
      </c>
      <c r="Y56">
        <v>1</v>
      </c>
      <c r="AB56" t="str">
        <f>IF(S56=1,$N56,"")</f>
        <v/>
      </c>
      <c r="AC56" t="str">
        <f>IF(T56=1,$N56,"")</f>
        <v/>
      </c>
      <c r="AE56">
        <f>IF(V56=1,$N56,"")</f>
        <v>125034496</v>
      </c>
      <c r="AF56" t="str">
        <f>IF(W56=1,$N56,"")</f>
        <v/>
      </c>
      <c r="AH56">
        <f>IF(Y56=1,$N56,"")</f>
        <v>125034496</v>
      </c>
      <c r="AI56" t="str">
        <f t="shared" si="21"/>
        <v/>
      </c>
      <c r="AJ56" t="str">
        <f t="shared" si="22"/>
        <v/>
      </c>
    </row>
    <row r="57" spans="1:36" ht="14" customHeight="1">
      <c r="A57"/>
      <c r="B57"/>
      <c r="C57"/>
      <c r="D57"/>
      <c r="E57"/>
      <c r="F57"/>
      <c r="G57"/>
      <c r="H57"/>
      <c r="I57"/>
      <c r="J57"/>
      <c r="L57" t="s">
        <v>145</v>
      </c>
      <c r="M57" t="s">
        <v>105</v>
      </c>
      <c r="N57">
        <v>49152</v>
      </c>
      <c r="O57" t="s">
        <v>125</v>
      </c>
      <c r="P57" t="s">
        <v>110</v>
      </c>
      <c r="Q57" t="s">
        <v>107</v>
      </c>
      <c r="R57" t="str">
        <f t="shared" si="0"/>
        <v>2x</v>
      </c>
      <c r="T57">
        <v>1</v>
      </c>
      <c r="V57">
        <v>1</v>
      </c>
      <c r="Y57">
        <v>1</v>
      </c>
      <c r="AB57" t="str">
        <f>IF(S57=1,$N57,"")</f>
        <v/>
      </c>
      <c r="AC57">
        <f>IF(T57=1,$N57,"")</f>
        <v>49152</v>
      </c>
      <c r="AE57">
        <f>IF(V57=1,$N57,"")</f>
        <v>49152</v>
      </c>
      <c r="AF57" t="str">
        <f>IF(W57=1,$N57,"")</f>
        <v/>
      </c>
      <c r="AH57">
        <f>IF(Y57=1,$N57,"")</f>
        <v>49152</v>
      </c>
      <c r="AI57" t="str">
        <f t="shared" si="21"/>
        <v/>
      </c>
      <c r="AJ57" t="str">
        <f t="shared" si="22"/>
        <v/>
      </c>
    </row>
    <row r="58" spans="1:36" ht="14" customHeight="1">
      <c r="A58"/>
      <c r="B58"/>
      <c r="C58"/>
      <c r="D58"/>
      <c r="E58"/>
      <c r="F58"/>
      <c r="G58"/>
      <c r="H58"/>
      <c r="I58"/>
      <c r="J58"/>
      <c r="L58" t="s">
        <v>145</v>
      </c>
      <c r="M58" t="s">
        <v>108</v>
      </c>
      <c r="N58">
        <v>106496</v>
      </c>
      <c r="O58" t="s">
        <v>151</v>
      </c>
      <c r="P58" t="s">
        <v>110</v>
      </c>
      <c r="Q58" t="s">
        <v>111</v>
      </c>
      <c r="R58" t="str">
        <f t="shared" si="0"/>
        <v>2x</v>
      </c>
      <c r="T58">
        <v>1</v>
      </c>
      <c r="V58">
        <v>1</v>
      </c>
      <c r="Y58">
        <v>1</v>
      </c>
      <c r="AB58" t="str">
        <f>IF(S58=1,$N58,"")</f>
        <v/>
      </c>
      <c r="AC58">
        <f>IF(T58=1,$N58,"")</f>
        <v>106496</v>
      </c>
      <c r="AE58">
        <f>IF(V58=1,$N58,"")</f>
        <v>106496</v>
      </c>
      <c r="AF58" t="str">
        <f>IF(W58=1,$N58,"")</f>
        <v/>
      </c>
      <c r="AH58">
        <f>IF(Y58=1,$N58,"")</f>
        <v>106496</v>
      </c>
      <c r="AI58" t="str">
        <f t="shared" si="21"/>
        <v/>
      </c>
      <c r="AJ58" t="str">
        <f t="shared" si="22"/>
        <v/>
      </c>
    </row>
    <row r="59" spans="1:36" ht="14" customHeight="1">
      <c r="A59"/>
      <c r="B59"/>
      <c r="C59"/>
      <c r="D59"/>
      <c r="E59"/>
      <c r="F59"/>
      <c r="G59"/>
      <c r="H59"/>
      <c r="I59"/>
      <c r="J59"/>
      <c r="L59" t="s">
        <v>145</v>
      </c>
      <c r="M59" t="s">
        <v>112</v>
      </c>
      <c r="N59">
        <v>768819200</v>
      </c>
      <c r="O59" t="s">
        <v>152</v>
      </c>
      <c r="P59" t="s">
        <v>153</v>
      </c>
      <c r="Q59" t="s">
        <v>154</v>
      </c>
      <c r="R59" t="str">
        <f t="shared" si="0"/>
        <v>2x</v>
      </c>
      <c r="T59">
        <v>1</v>
      </c>
      <c r="V59">
        <v>1</v>
      </c>
      <c r="Y59">
        <v>1</v>
      </c>
      <c r="AB59" t="str">
        <f>IF(S59=1,$N59,"")</f>
        <v/>
      </c>
      <c r="AC59">
        <f>IF(T59=1,$N59,"")</f>
        <v>768819200</v>
      </c>
      <c r="AE59">
        <f>IF(V59=1,$N59,"")</f>
        <v>768819200</v>
      </c>
      <c r="AF59" t="str">
        <f>IF(W59=1,$N59,"")</f>
        <v/>
      </c>
      <c r="AH59">
        <f>IF(Y59=1,$N59,"")</f>
        <v>768819200</v>
      </c>
      <c r="AI59" t="str">
        <f t="shared" si="21"/>
        <v/>
      </c>
      <c r="AJ59" t="str">
        <f t="shared" si="22"/>
        <v/>
      </c>
    </row>
    <row r="60" spans="1:36" ht="14" customHeight="1">
      <c r="A60"/>
      <c r="B60"/>
      <c r="C60"/>
      <c r="D60"/>
      <c r="E60"/>
      <c r="F60"/>
      <c r="G60"/>
      <c r="H60"/>
      <c r="I60"/>
      <c r="J60"/>
      <c r="L60" t="s">
        <v>145</v>
      </c>
      <c r="M60" t="s">
        <v>116</v>
      </c>
      <c r="N60">
        <v>45801472</v>
      </c>
      <c r="O60" t="s">
        <v>155</v>
      </c>
      <c r="P60" t="s">
        <v>156</v>
      </c>
      <c r="Q60" t="s">
        <v>157</v>
      </c>
      <c r="R60" t="str">
        <f t="shared" si="0"/>
        <v>2x</v>
      </c>
      <c r="T60">
        <v>1</v>
      </c>
      <c r="V60">
        <v>1</v>
      </c>
      <c r="Y60">
        <v>1</v>
      </c>
      <c r="AB60" t="str">
        <f>IF(S60=1,$N60,"")</f>
        <v/>
      </c>
      <c r="AC60">
        <f>IF(T60=1,$N60,"")</f>
        <v>45801472</v>
      </c>
      <c r="AE60">
        <f>IF(V60=1,$N60,"")</f>
        <v>45801472</v>
      </c>
      <c r="AF60" t="str">
        <f>IF(W60=1,$N60,"")</f>
        <v/>
      </c>
      <c r="AH60">
        <f>IF(Y60=1,$N60,"")</f>
        <v>45801472</v>
      </c>
      <c r="AI60" t="str">
        <f t="shared" si="21"/>
        <v/>
      </c>
      <c r="AJ60" t="str">
        <f t="shared" si="22"/>
        <v/>
      </c>
    </row>
    <row r="61" spans="1:36" ht="14" customHeight="1">
      <c r="A61"/>
      <c r="B61"/>
      <c r="C61"/>
      <c r="D61"/>
      <c r="E61"/>
      <c r="F61"/>
      <c r="G61"/>
      <c r="H61"/>
      <c r="I61"/>
      <c r="J61"/>
      <c r="L61" t="s">
        <v>145</v>
      </c>
      <c r="M61" t="s">
        <v>120</v>
      </c>
      <c r="N61">
        <v>481386496</v>
      </c>
      <c r="O61" t="s">
        <v>158</v>
      </c>
      <c r="P61" t="s">
        <v>159</v>
      </c>
      <c r="Q61" t="s">
        <v>160</v>
      </c>
      <c r="R61" t="str">
        <f t="shared" si="0"/>
        <v>2x</v>
      </c>
      <c r="T61">
        <v>1</v>
      </c>
      <c r="V61">
        <v>1</v>
      </c>
      <c r="Y61">
        <v>1</v>
      </c>
      <c r="AB61" t="str">
        <f>IF(S61=1,$N61,"")</f>
        <v/>
      </c>
      <c r="AC61">
        <f>IF(T61=1,$N61,"")</f>
        <v>481386496</v>
      </c>
      <c r="AE61">
        <f>IF(V61=1,$N61,"")</f>
        <v>481386496</v>
      </c>
      <c r="AF61" t="str">
        <f>IF(W61=1,$N61,"")</f>
        <v/>
      </c>
      <c r="AH61">
        <f>IF(Y61=1,$N61,"")</f>
        <v>481386496</v>
      </c>
      <c r="AI61" t="str">
        <f t="shared" si="21"/>
        <v/>
      </c>
      <c r="AJ61" t="str">
        <f t="shared" si="22"/>
        <v/>
      </c>
    </row>
    <row r="62" spans="1:36" ht="14" customHeight="1">
      <c r="A62"/>
      <c r="B62"/>
      <c r="C62"/>
      <c r="D62"/>
      <c r="E62"/>
      <c r="F62"/>
      <c r="G62"/>
      <c r="H62"/>
      <c r="I62"/>
      <c r="J62"/>
      <c r="L62" t="s">
        <v>145</v>
      </c>
      <c r="M62" t="s">
        <v>73</v>
      </c>
      <c r="N62">
        <v>36257792</v>
      </c>
      <c r="O62" t="s">
        <v>139</v>
      </c>
      <c r="P62" t="s">
        <v>140</v>
      </c>
      <c r="Q62" t="s">
        <v>141</v>
      </c>
      <c r="R62" t="str">
        <f t="shared" si="0"/>
        <v>2x</v>
      </c>
      <c r="V62">
        <v>1</v>
      </c>
      <c r="Y62">
        <v>1</v>
      </c>
      <c r="AB62" t="str">
        <f>IF(S62=1,$N62,"")</f>
        <v/>
      </c>
      <c r="AC62" t="str">
        <f>IF(T62=1,$N62,"")</f>
        <v/>
      </c>
      <c r="AE62">
        <f>IF(V62=1,$N62,"")</f>
        <v>36257792</v>
      </c>
      <c r="AF62" t="str">
        <f>IF(W62=1,$N62,"")</f>
        <v/>
      </c>
      <c r="AH62">
        <f>IF(Y62=1,$N62,"")</f>
        <v>36257792</v>
      </c>
      <c r="AI62" t="str">
        <f t="shared" si="21"/>
        <v/>
      </c>
      <c r="AJ62" t="str">
        <f t="shared" si="22"/>
        <v/>
      </c>
    </row>
    <row r="63" spans="1:36" ht="14" customHeight="1">
      <c r="A63"/>
      <c r="B63"/>
      <c r="C63"/>
      <c r="D63"/>
      <c r="E63"/>
      <c r="F63"/>
      <c r="G63"/>
      <c r="H63"/>
      <c r="I63"/>
      <c r="J63"/>
      <c r="L63" t="s">
        <v>145</v>
      </c>
      <c r="M63" t="s">
        <v>124</v>
      </c>
      <c r="N63">
        <v>40960</v>
      </c>
      <c r="O63" t="s">
        <v>161</v>
      </c>
      <c r="P63" t="s">
        <v>111</v>
      </c>
      <c r="Q63" t="s">
        <v>111</v>
      </c>
      <c r="R63" t="str">
        <f t="shared" si="0"/>
        <v>2x</v>
      </c>
      <c r="V63">
        <v>1</v>
      </c>
      <c r="Y63">
        <v>1</v>
      </c>
      <c r="AB63" t="str">
        <f>IF(S63=1,$N63,"")</f>
        <v/>
      </c>
      <c r="AC63" t="str">
        <f>IF(T63=1,$N63,"")</f>
        <v/>
      </c>
      <c r="AE63">
        <f>IF(V63=1,$N63,"")</f>
        <v>40960</v>
      </c>
      <c r="AF63" t="str">
        <f>IF(W63=1,$N63,"")</f>
        <v/>
      </c>
      <c r="AH63">
        <f>IF(Y63=1,$N63,"")</f>
        <v>40960</v>
      </c>
      <c r="AI63" t="str">
        <f t="shared" si="21"/>
        <v/>
      </c>
      <c r="AJ63" t="str">
        <f t="shared" si="22"/>
        <v/>
      </c>
    </row>
    <row r="64" spans="1:36" ht="14" customHeight="1">
      <c r="A64"/>
      <c r="B64"/>
      <c r="C64"/>
      <c r="D64"/>
      <c r="E64"/>
      <c r="F64"/>
      <c r="G64"/>
      <c r="H64"/>
      <c r="I64"/>
      <c r="J64"/>
      <c r="L64" t="s">
        <v>145</v>
      </c>
      <c r="M64" t="s">
        <v>126</v>
      </c>
      <c r="N64">
        <v>28549120</v>
      </c>
      <c r="O64" t="s">
        <v>162</v>
      </c>
      <c r="P64" t="s">
        <v>163</v>
      </c>
      <c r="Q64" t="s">
        <v>164</v>
      </c>
      <c r="R64" t="str">
        <f t="shared" si="0"/>
        <v>2x</v>
      </c>
      <c r="V64">
        <v>1</v>
      </c>
      <c r="AB64" t="str">
        <f>IF(S64=1,$N64,"")</f>
        <v/>
      </c>
      <c r="AC64" t="str">
        <f>IF(T64=1,$N64,"")</f>
        <v/>
      </c>
      <c r="AE64">
        <f>IF(V64=1,$N64,"")</f>
        <v>28549120</v>
      </c>
      <c r="AF64" t="str">
        <f>IF(W64=1,$N64,"")</f>
        <v/>
      </c>
      <c r="AH64" t="str">
        <f>IF(Y64=1,$N64,"")</f>
        <v/>
      </c>
      <c r="AI64" t="str">
        <f t="shared" si="21"/>
        <v/>
      </c>
      <c r="AJ64" t="str">
        <f t="shared" si="22"/>
        <v/>
      </c>
    </row>
    <row r="65" spans="12:36" customFormat="1" ht="14" customHeight="1">
      <c r="L65" t="s">
        <v>145</v>
      </c>
      <c r="M65" t="s">
        <v>130</v>
      </c>
      <c r="N65">
        <v>745472</v>
      </c>
      <c r="O65" t="s">
        <v>131</v>
      </c>
      <c r="P65" t="s">
        <v>132</v>
      </c>
      <c r="Q65" t="s">
        <v>111</v>
      </c>
      <c r="R65" t="str">
        <f t="shared" si="0"/>
        <v>2x</v>
      </c>
      <c r="Y65">
        <v>1</v>
      </c>
      <c r="AB65" t="str">
        <f>IF(S65=1,$N65,"")</f>
        <v/>
      </c>
      <c r="AC65" t="str">
        <f>IF(T65=1,$N65,"")</f>
        <v/>
      </c>
      <c r="AE65" t="str">
        <f>IF(V65=1,$N65,"")</f>
        <v/>
      </c>
      <c r="AF65" t="str">
        <f>IF(W65=1,$N65,"")</f>
        <v/>
      </c>
      <c r="AH65">
        <f>IF(Y65=1,$N65,"")</f>
        <v>745472</v>
      </c>
      <c r="AI65" t="str">
        <f t="shared" si="21"/>
        <v/>
      </c>
      <c r="AJ65" t="str">
        <f t="shared" si="22"/>
        <v/>
      </c>
    </row>
    <row r="66" spans="12:36" customFormat="1" ht="14" customHeight="1">
      <c r="L66" t="s">
        <v>145</v>
      </c>
      <c r="M66" t="s">
        <v>76</v>
      </c>
      <c r="N66">
        <v>144171008</v>
      </c>
      <c r="O66" t="s">
        <v>142</v>
      </c>
      <c r="P66" t="s">
        <v>143</v>
      </c>
      <c r="Q66" t="s">
        <v>144</v>
      </c>
      <c r="R66" t="str">
        <f t="shared" ref="R66:R129" si="23">IF(ISNUMBER(SEARCH("_2x", L66)), "2x", IF(ISNUMBER(SEARCH("_5x", L66)), "5x", IF(ISNUMBER(SEARCH("_10x", L66)), "10x", "1x")))</f>
        <v>2x</v>
      </c>
      <c r="T66">
        <v>1</v>
      </c>
      <c r="V66">
        <v>1</v>
      </c>
      <c r="Y66">
        <v>1</v>
      </c>
      <c r="AB66" t="str">
        <f>IF(S66=1,$N66,"")</f>
        <v/>
      </c>
      <c r="AC66">
        <f>IF(T66=1,$N66,"")</f>
        <v>144171008</v>
      </c>
      <c r="AE66">
        <f>IF(V66=1,$N66,"")</f>
        <v>144171008</v>
      </c>
      <c r="AF66" t="str">
        <f>IF(W66=1,$N66,"")</f>
        <v/>
      </c>
      <c r="AH66">
        <f>IF(Y66=1,$N66,"")</f>
        <v>144171008</v>
      </c>
      <c r="AI66" t="str">
        <f t="shared" si="21"/>
        <v/>
      </c>
      <c r="AJ66" t="str">
        <f t="shared" si="22"/>
        <v/>
      </c>
    </row>
    <row r="67" spans="12:36" customFormat="1" ht="14" customHeight="1">
      <c r="L67" t="s">
        <v>145</v>
      </c>
      <c r="M67" t="s">
        <v>133</v>
      </c>
      <c r="N67">
        <v>16384</v>
      </c>
      <c r="O67" t="s">
        <v>111</v>
      </c>
      <c r="P67" t="s">
        <v>134</v>
      </c>
      <c r="Q67" t="s">
        <v>110</v>
      </c>
      <c r="R67" t="str">
        <f t="shared" si="23"/>
        <v>2x</v>
      </c>
      <c r="T67">
        <v>1</v>
      </c>
      <c r="V67">
        <v>1</v>
      </c>
      <c r="Y67">
        <v>1</v>
      </c>
      <c r="AB67" t="str">
        <f>IF(S67=1,$N67,"")</f>
        <v/>
      </c>
      <c r="AC67">
        <f>IF(T67=1,$N67,"")</f>
        <v>16384</v>
      </c>
      <c r="AE67">
        <f>IF(V67=1,$N67,"")</f>
        <v>16384</v>
      </c>
      <c r="AF67" t="str">
        <f>IF(W67=1,$N67,"")</f>
        <v/>
      </c>
      <c r="AH67">
        <f>IF(Y67=1,$N67,"")</f>
        <v>16384</v>
      </c>
      <c r="AI67" t="str">
        <f t="shared" si="21"/>
        <v/>
      </c>
      <c r="AJ67" t="str">
        <f t="shared" si="22"/>
        <v/>
      </c>
    </row>
    <row r="68" spans="12:36" customFormat="1" ht="14" customHeight="1">
      <c r="L68" t="s">
        <v>202</v>
      </c>
      <c r="M68" t="s">
        <v>91</v>
      </c>
      <c r="N68">
        <v>70385664</v>
      </c>
      <c r="O68" t="s">
        <v>92</v>
      </c>
      <c r="P68" t="s">
        <v>93</v>
      </c>
      <c r="Q68" t="s">
        <v>94</v>
      </c>
      <c r="R68" t="str">
        <f t="shared" si="23"/>
        <v>2x</v>
      </c>
      <c r="W68">
        <v>1</v>
      </c>
      <c r="Z68">
        <v>1</v>
      </c>
      <c r="AB68" t="str">
        <f>IF(S68=1,$N68,"")</f>
        <v/>
      </c>
      <c r="AC68" t="str">
        <f>IF(T68=1,$N68,"")</f>
        <v/>
      </c>
      <c r="AE68" t="str">
        <f>IF(V68=1,$N68,"")</f>
        <v/>
      </c>
      <c r="AF68">
        <f>IF(W68=1,$N68,"")</f>
        <v>70385664</v>
      </c>
      <c r="AH68" t="str">
        <f>IF(Y68=1,$N68,"")</f>
        <v/>
      </c>
      <c r="AI68">
        <f t="shared" si="21"/>
        <v>70385664</v>
      </c>
      <c r="AJ68" t="str">
        <f t="shared" si="22"/>
        <v/>
      </c>
    </row>
    <row r="69" spans="12:36" customFormat="1" ht="14" customHeight="1">
      <c r="L69" t="s">
        <v>202</v>
      </c>
      <c r="M69" t="s">
        <v>95</v>
      </c>
      <c r="N69">
        <v>31948800</v>
      </c>
      <c r="O69" t="s">
        <v>96</v>
      </c>
      <c r="P69" t="s">
        <v>97</v>
      </c>
      <c r="Q69" t="s">
        <v>98</v>
      </c>
      <c r="R69" t="str">
        <f t="shared" si="23"/>
        <v>2x</v>
      </c>
      <c r="W69">
        <v>1</v>
      </c>
      <c r="Z69">
        <v>1</v>
      </c>
      <c r="AB69" t="str">
        <f>IF(S69=1,$N69,"")</f>
        <v/>
      </c>
      <c r="AC69" t="str">
        <f>IF(T69=1,$N69,"")</f>
        <v/>
      </c>
      <c r="AE69" t="str">
        <f>IF(V69=1,$N69,"")</f>
        <v/>
      </c>
      <c r="AF69">
        <f>IF(W69=1,$N69,"")</f>
        <v>31948800</v>
      </c>
      <c r="AH69" t="str">
        <f>IF(Y69=1,$N69,"")</f>
        <v/>
      </c>
      <c r="AI69">
        <f t="shared" si="21"/>
        <v>31948800</v>
      </c>
      <c r="AJ69" t="str">
        <f t="shared" si="22"/>
        <v/>
      </c>
    </row>
    <row r="70" spans="12:36" customFormat="1" ht="14" customHeight="1">
      <c r="L70" t="s">
        <v>202</v>
      </c>
      <c r="M70" t="s">
        <v>99</v>
      </c>
      <c r="N70">
        <v>61726720</v>
      </c>
      <c r="O70" t="s">
        <v>146</v>
      </c>
      <c r="P70" t="s">
        <v>147</v>
      </c>
      <c r="Q70" t="s">
        <v>148</v>
      </c>
      <c r="R70" t="str">
        <f t="shared" si="23"/>
        <v>2x</v>
      </c>
      <c r="Z70">
        <v>1</v>
      </c>
      <c r="AB70" t="str">
        <f>IF(S70=1,$N70,"")</f>
        <v/>
      </c>
      <c r="AC70" t="str">
        <f>IF(T70=1,$N70,"")</f>
        <v/>
      </c>
      <c r="AE70" t="str">
        <f>IF(V70=1,$N70,"")</f>
        <v/>
      </c>
      <c r="AF70" t="str">
        <f>IF(W70=1,$N70,"")</f>
        <v/>
      </c>
      <c r="AH70" t="str">
        <f>IF(Y70=1,$N70,"")</f>
        <v/>
      </c>
      <c r="AI70">
        <f t="shared" si="21"/>
        <v>61726720</v>
      </c>
      <c r="AJ70" t="str">
        <f t="shared" si="22"/>
        <v/>
      </c>
    </row>
    <row r="71" spans="12:36" customFormat="1" ht="14" customHeight="1">
      <c r="L71" t="s">
        <v>202</v>
      </c>
      <c r="M71" t="s">
        <v>103</v>
      </c>
      <c r="N71">
        <v>125034496</v>
      </c>
      <c r="O71" t="s">
        <v>149</v>
      </c>
      <c r="P71" t="s">
        <v>150</v>
      </c>
      <c r="Q71" t="s">
        <v>148</v>
      </c>
      <c r="R71" t="str">
        <f t="shared" si="23"/>
        <v>2x</v>
      </c>
      <c r="W71">
        <v>1</v>
      </c>
      <c r="Z71">
        <v>1</v>
      </c>
      <c r="AB71" t="str">
        <f>IF(S71=1,$N71,"")</f>
        <v/>
      </c>
      <c r="AC71" t="str">
        <f>IF(T71=1,$N71,"")</f>
        <v/>
      </c>
      <c r="AE71" t="str">
        <f>IF(V71=1,$N71,"")</f>
        <v/>
      </c>
      <c r="AF71">
        <f>IF(W71=1,$N71,"")</f>
        <v>125034496</v>
      </c>
      <c r="AH71" t="str">
        <f>IF(Y71=1,$N71,"")</f>
        <v/>
      </c>
      <c r="AI71">
        <f t="shared" si="21"/>
        <v>125034496</v>
      </c>
      <c r="AJ71" t="str">
        <f t="shared" si="22"/>
        <v/>
      </c>
    </row>
    <row r="72" spans="12:36" customFormat="1" ht="14" customHeight="1">
      <c r="L72" t="s">
        <v>202</v>
      </c>
      <c r="M72" t="s">
        <v>105</v>
      </c>
      <c r="N72">
        <v>14442496</v>
      </c>
      <c r="O72" t="s">
        <v>176</v>
      </c>
      <c r="P72" t="s">
        <v>104</v>
      </c>
      <c r="Q72" t="s">
        <v>203</v>
      </c>
      <c r="R72" t="str">
        <f t="shared" si="23"/>
        <v>2x</v>
      </c>
      <c r="W72">
        <v>1</v>
      </c>
      <c r="Z72">
        <v>1</v>
      </c>
      <c r="AB72" t="str">
        <f>IF(S72=1,$N72,"")</f>
        <v/>
      </c>
      <c r="AC72" t="str">
        <f>IF(T72=1,$N72,"")</f>
        <v/>
      </c>
      <c r="AE72" t="str">
        <f>IF(V72=1,$N72,"")</f>
        <v/>
      </c>
      <c r="AF72">
        <f>IF(W72=1,$N72,"")</f>
        <v>14442496</v>
      </c>
      <c r="AH72" t="str">
        <f>IF(Y72=1,$N72,"")</f>
        <v/>
      </c>
      <c r="AI72">
        <f t="shared" si="21"/>
        <v>14442496</v>
      </c>
      <c r="AJ72" t="str">
        <f t="shared" si="22"/>
        <v/>
      </c>
    </row>
    <row r="73" spans="12:36" customFormat="1" ht="14" customHeight="1">
      <c r="L73" t="s">
        <v>202</v>
      </c>
      <c r="M73" t="s">
        <v>108</v>
      </c>
      <c r="N73">
        <v>210460672</v>
      </c>
      <c r="O73" t="s">
        <v>204</v>
      </c>
      <c r="P73" t="s">
        <v>205</v>
      </c>
      <c r="Q73" t="s">
        <v>78</v>
      </c>
      <c r="R73" t="str">
        <f t="shared" si="23"/>
        <v>2x</v>
      </c>
      <c r="W73">
        <v>1</v>
      </c>
      <c r="Z73">
        <v>1</v>
      </c>
      <c r="AB73" t="str">
        <f>IF(S73=1,$N73,"")</f>
        <v/>
      </c>
      <c r="AC73" t="str">
        <f>IF(T73=1,$N73,"")</f>
        <v/>
      </c>
      <c r="AE73" t="str">
        <f>IF(V73=1,$N73,"")</f>
        <v/>
      </c>
      <c r="AF73">
        <f>IF(W73=1,$N73,"")</f>
        <v>210460672</v>
      </c>
      <c r="AH73" t="str">
        <f>IF(Y73=1,$N73,"")</f>
        <v/>
      </c>
      <c r="AI73">
        <f t="shared" si="21"/>
        <v>210460672</v>
      </c>
      <c r="AJ73" t="str">
        <f t="shared" si="22"/>
        <v/>
      </c>
    </row>
    <row r="74" spans="12:36" customFormat="1" ht="14" customHeight="1">
      <c r="L74" t="s">
        <v>202</v>
      </c>
      <c r="M74" t="s">
        <v>112</v>
      </c>
      <c r="N74">
        <v>764952576</v>
      </c>
      <c r="O74" t="s">
        <v>206</v>
      </c>
      <c r="P74" t="s">
        <v>153</v>
      </c>
      <c r="Q74" t="s">
        <v>207</v>
      </c>
      <c r="R74" t="str">
        <f t="shared" si="23"/>
        <v>2x</v>
      </c>
      <c r="W74">
        <v>1</v>
      </c>
      <c r="Z74">
        <v>1</v>
      </c>
      <c r="AB74" t="str">
        <f>IF(S74=1,$N74,"")</f>
        <v/>
      </c>
      <c r="AC74" t="str">
        <f>IF(T74=1,$N74,"")</f>
        <v/>
      </c>
      <c r="AE74" t="str">
        <f>IF(V74=1,$N74,"")</f>
        <v/>
      </c>
      <c r="AF74">
        <f>IF(W74=1,$N74,"")</f>
        <v>764952576</v>
      </c>
      <c r="AH74" t="str">
        <f>IF(Y74=1,$N74,"")</f>
        <v/>
      </c>
      <c r="AI74">
        <f t="shared" si="21"/>
        <v>764952576</v>
      </c>
      <c r="AJ74" t="str">
        <f t="shared" si="22"/>
        <v/>
      </c>
    </row>
    <row r="75" spans="12:36" customFormat="1" ht="14" customHeight="1">
      <c r="L75" t="s">
        <v>202</v>
      </c>
      <c r="M75" t="s">
        <v>116</v>
      </c>
      <c r="N75">
        <v>17776640</v>
      </c>
      <c r="O75" t="s">
        <v>74</v>
      </c>
      <c r="P75" t="s">
        <v>123</v>
      </c>
      <c r="Q75" t="s">
        <v>208</v>
      </c>
      <c r="R75" t="str">
        <f t="shared" si="23"/>
        <v>2x</v>
      </c>
      <c r="W75">
        <v>1</v>
      </c>
      <c r="Z75">
        <v>1</v>
      </c>
      <c r="AB75" t="str">
        <f>IF(S75=1,$N75,"")</f>
        <v/>
      </c>
      <c r="AC75" t="str">
        <f>IF(T75=1,$N75,"")</f>
        <v/>
      </c>
      <c r="AE75" t="str">
        <f>IF(V75=1,$N75,"")</f>
        <v/>
      </c>
      <c r="AF75">
        <f>IF(W75=1,$N75,"")</f>
        <v>17776640</v>
      </c>
      <c r="AH75" t="str">
        <f>IF(Y75=1,$N75,"")</f>
        <v/>
      </c>
      <c r="AI75">
        <f t="shared" si="21"/>
        <v>17776640</v>
      </c>
      <c r="AJ75" t="str">
        <f t="shared" si="22"/>
        <v/>
      </c>
    </row>
    <row r="76" spans="12:36" customFormat="1" ht="14" customHeight="1">
      <c r="L76" t="s">
        <v>202</v>
      </c>
      <c r="M76" t="s">
        <v>120</v>
      </c>
      <c r="N76">
        <v>271007744</v>
      </c>
      <c r="O76" t="s">
        <v>209</v>
      </c>
      <c r="P76" t="s">
        <v>210</v>
      </c>
      <c r="Q76" t="s">
        <v>211</v>
      </c>
      <c r="R76" t="str">
        <f t="shared" si="23"/>
        <v>2x</v>
      </c>
      <c r="W76">
        <v>1</v>
      </c>
      <c r="Z76">
        <v>1</v>
      </c>
      <c r="AB76" t="str">
        <f>IF(S76=1,$N76,"")</f>
        <v/>
      </c>
      <c r="AC76" t="str">
        <f>IF(T76=1,$N76,"")</f>
        <v/>
      </c>
      <c r="AE76" t="str">
        <f>IF(V76=1,$N76,"")</f>
        <v/>
      </c>
      <c r="AF76">
        <f>IF(W76=1,$N76,"")</f>
        <v>271007744</v>
      </c>
      <c r="AH76" t="str">
        <f>IF(Y76=1,$N76,"")</f>
        <v/>
      </c>
      <c r="AI76">
        <f t="shared" si="21"/>
        <v>271007744</v>
      </c>
      <c r="AJ76" t="str">
        <f t="shared" si="22"/>
        <v/>
      </c>
    </row>
    <row r="77" spans="12:36" customFormat="1" ht="14" customHeight="1">
      <c r="L77" t="s">
        <v>202</v>
      </c>
      <c r="M77" t="s">
        <v>73</v>
      </c>
      <c r="N77">
        <v>647168</v>
      </c>
      <c r="O77" t="s">
        <v>212</v>
      </c>
      <c r="P77" t="s">
        <v>213</v>
      </c>
      <c r="Q77" t="s">
        <v>214</v>
      </c>
      <c r="R77" t="str">
        <f t="shared" si="23"/>
        <v>2x</v>
      </c>
      <c r="W77">
        <v>1</v>
      </c>
      <c r="Z77">
        <v>1</v>
      </c>
      <c r="AB77" t="str">
        <f>IF(S77=1,$N77,"")</f>
        <v/>
      </c>
      <c r="AC77" t="str">
        <f>IF(T77=1,$N77,"")</f>
        <v/>
      </c>
      <c r="AE77" t="str">
        <f>IF(V77=1,$N77,"")</f>
        <v/>
      </c>
      <c r="AF77">
        <f>IF(W77=1,$N77,"")</f>
        <v>647168</v>
      </c>
      <c r="AH77" t="str">
        <f>IF(Y77=1,$N77,"")</f>
        <v/>
      </c>
      <c r="AI77">
        <f t="shared" si="21"/>
        <v>647168</v>
      </c>
      <c r="AJ77" t="str">
        <f t="shared" si="22"/>
        <v/>
      </c>
    </row>
    <row r="78" spans="12:36" customFormat="1" ht="14" customHeight="1">
      <c r="L78" t="s">
        <v>202</v>
      </c>
      <c r="M78" t="s">
        <v>124</v>
      </c>
      <c r="N78">
        <v>31113216</v>
      </c>
      <c r="O78" t="s">
        <v>96</v>
      </c>
      <c r="P78" t="s">
        <v>97</v>
      </c>
      <c r="Q78" t="s">
        <v>203</v>
      </c>
      <c r="R78" t="str">
        <f t="shared" si="23"/>
        <v>2x</v>
      </c>
      <c r="W78">
        <v>1</v>
      </c>
      <c r="Z78">
        <v>1</v>
      </c>
      <c r="AB78" t="str">
        <f>IF(S78=1,$N78,"")</f>
        <v/>
      </c>
      <c r="AC78" t="str">
        <f>IF(T78=1,$N78,"")</f>
        <v/>
      </c>
      <c r="AE78" t="str">
        <f>IF(V78=1,$N78,"")</f>
        <v/>
      </c>
      <c r="AF78">
        <f>IF(W78=1,$N78,"")</f>
        <v>31113216</v>
      </c>
      <c r="AH78" t="str">
        <f>IF(Y78=1,$N78,"")</f>
        <v/>
      </c>
      <c r="AI78">
        <f t="shared" si="21"/>
        <v>31113216</v>
      </c>
      <c r="AJ78" t="str">
        <f t="shared" si="22"/>
        <v/>
      </c>
    </row>
    <row r="79" spans="12:36" customFormat="1" ht="14" customHeight="1">
      <c r="L79" t="s">
        <v>202</v>
      </c>
      <c r="M79" t="s">
        <v>126</v>
      </c>
      <c r="N79">
        <v>499712</v>
      </c>
      <c r="O79" t="s">
        <v>215</v>
      </c>
      <c r="P79" t="s">
        <v>216</v>
      </c>
      <c r="Q79" t="s">
        <v>107</v>
      </c>
      <c r="R79" t="str">
        <f t="shared" si="23"/>
        <v>2x</v>
      </c>
      <c r="AB79" t="str">
        <f>IF(S79=1,$N79,"")</f>
        <v/>
      </c>
      <c r="AC79" t="str">
        <f>IF(T79=1,$N79,"")</f>
        <v/>
      </c>
      <c r="AE79" t="str">
        <f>IF(V79=1,$N79,"")</f>
        <v/>
      </c>
      <c r="AF79" t="str">
        <f>IF(W79=1,$N79,"")</f>
        <v/>
      </c>
      <c r="AH79" t="str">
        <f>IF(Y79=1,$N79,"")</f>
        <v/>
      </c>
      <c r="AI79" t="str">
        <f t="shared" si="21"/>
        <v/>
      </c>
      <c r="AJ79" t="str">
        <f t="shared" si="22"/>
        <v/>
      </c>
    </row>
    <row r="80" spans="12:36" customFormat="1" ht="14" customHeight="1">
      <c r="L80" t="s">
        <v>202</v>
      </c>
      <c r="M80" t="s">
        <v>198</v>
      </c>
      <c r="N80">
        <v>25600000</v>
      </c>
      <c r="O80" t="s">
        <v>217</v>
      </c>
      <c r="P80" t="s">
        <v>217</v>
      </c>
      <c r="Q80" t="s">
        <v>203</v>
      </c>
      <c r="R80" t="str">
        <f t="shared" si="23"/>
        <v>2x</v>
      </c>
      <c r="AB80" t="str">
        <f>IF(S80=1,$N80,"")</f>
        <v/>
      </c>
      <c r="AC80" t="str">
        <f>IF(T80=1,$N80,"")</f>
        <v/>
      </c>
      <c r="AE80" t="str">
        <f>IF(V80=1,$N80,"")</f>
        <v/>
      </c>
      <c r="AF80" t="str">
        <f>IF(W80=1,$N80,"")</f>
        <v/>
      </c>
      <c r="AH80" t="str">
        <f>IF(Y80=1,$N80,"")</f>
        <v/>
      </c>
      <c r="AI80" t="str">
        <f t="shared" si="21"/>
        <v/>
      </c>
      <c r="AJ80" t="str">
        <f t="shared" si="22"/>
        <v/>
      </c>
    </row>
    <row r="81" spans="1:36" ht="14" customHeight="1">
      <c r="A81"/>
      <c r="B81"/>
      <c r="C81"/>
      <c r="D81"/>
      <c r="E81"/>
      <c r="F81"/>
      <c r="G81"/>
      <c r="H81"/>
      <c r="I81"/>
      <c r="J81"/>
      <c r="L81" t="s">
        <v>202</v>
      </c>
      <c r="M81" t="s">
        <v>130</v>
      </c>
      <c r="N81">
        <v>745472</v>
      </c>
      <c r="O81" t="s">
        <v>131</v>
      </c>
      <c r="P81" t="s">
        <v>132</v>
      </c>
      <c r="Q81" t="s">
        <v>111</v>
      </c>
      <c r="R81" t="str">
        <f t="shared" si="23"/>
        <v>2x</v>
      </c>
      <c r="Z81">
        <v>1</v>
      </c>
      <c r="AB81" t="str">
        <f>IF(S81=1,$N81,"")</f>
        <v/>
      </c>
      <c r="AC81" t="str">
        <f>IF(T81=1,$N81,"")</f>
        <v/>
      </c>
      <c r="AE81" t="str">
        <f>IF(V81=1,$N81,"")</f>
        <v/>
      </c>
      <c r="AF81" t="str">
        <f>IF(W81=1,$N81,"")</f>
        <v/>
      </c>
      <c r="AH81" t="str">
        <f>IF(Y81=1,$N81,"")</f>
        <v/>
      </c>
      <c r="AI81">
        <f t="shared" si="21"/>
        <v>745472</v>
      </c>
      <c r="AJ81" t="str">
        <f t="shared" si="22"/>
        <v/>
      </c>
    </row>
    <row r="82" spans="1:36" ht="14" customHeight="1">
      <c r="A82"/>
      <c r="B82"/>
      <c r="C82"/>
      <c r="D82"/>
      <c r="E82"/>
      <c r="F82"/>
      <c r="G82"/>
      <c r="H82"/>
      <c r="I82"/>
      <c r="J82"/>
      <c r="L82" t="s">
        <v>202</v>
      </c>
      <c r="M82" t="s">
        <v>76</v>
      </c>
      <c r="N82">
        <v>146890752</v>
      </c>
      <c r="O82" t="s">
        <v>218</v>
      </c>
      <c r="P82" t="s">
        <v>143</v>
      </c>
      <c r="Q82" t="s">
        <v>219</v>
      </c>
      <c r="R82" t="str">
        <f t="shared" si="23"/>
        <v>2x</v>
      </c>
      <c r="W82">
        <v>1</v>
      </c>
      <c r="Z82">
        <v>1</v>
      </c>
      <c r="AB82" t="str">
        <f>IF(S82=1,$N82,"")</f>
        <v/>
      </c>
      <c r="AC82" t="str">
        <f>IF(T82=1,$N82,"")</f>
        <v/>
      </c>
      <c r="AE82" t="str">
        <f>IF(V82=1,$N82,"")</f>
        <v/>
      </c>
      <c r="AF82">
        <f>IF(W82=1,$N82,"")</f>
        <v>146890752</v>
      </c>
      <c r="AH82" t="str">
        <f>IF(Y82=1,$N82,"")</f>
        <v/>
      </c>
      <c r="AI82">
        <f t="shared" si="21"/>
        <v>146890752</v>
      </c>
      <c r="AJ82" t="str">
        <f t="shared" si="22"/>
        <v/>
      </c>
    </row>
    <row r="83" spans="1:36" ht="14" customHeight="1">
      <c r="A83"/>
      <c r="B83"/>
      <c r="C83"/>
      <c r="D83"/>
      <c r="E83"/>
      <c r="F83"/>
      <c r="G83"/>
      <c r="H83"/>
      <c r="I83"/>
      <c r="J83"/>
      <c r="L83" t="s">
        <v>264</v>
      </c>
      <c r="M83" t="s">
        <v>240</v>
      </c>
      <c r="N83">
        <v>16384</v>
      </c>
      <c r="O83" t="s">
        <v>111</v>
      </c>
      <c r="P83" t="s">
        <v>134</v>
      </c>
      <c r="Q83" t="s">
        <v>110</v>
      </c>
      <c r="R83" t="str">
        <f t="shared" si="23"/>
        <v>2x</v>
      </c>
      <c r="AA83">
        <v>1</v>
      </c>
      <c r="AB83" t="str">
        <f>IF(S83=1,$N83,"")</f>
        <v/>
      </c>
      <c r="AC83" t="str">
        <f>IF(T83=1,$N83,"")</f>
        <v/>
      </c>
      <c r="AE83" t="str">
        <f>IF(V83=1,$N83,"")</f>
        <v/>
      </c>
      <c r="AF83" t="str">
        <f>IF(W83=1,$N83,"")</f>
        <v/>
      </c>
      <c r="AH83" t="str">
        <f>IF(Y83=1,$N83,"")</f>
        <v/>
      </c>
      <c r="AI83" t="str">
        <f t="shared" si="21"/>
        <v/>
      </c>
      <c r="AJ83">
        <f t="shared" si="22"/>
        <v>16384</v>
      </c>
    </row>
    <row r="84" spans="1:36" ht="14" customHeight="1">
      <c r="A84"/>
      <c r="B84"/>
      <c r="C84"/>
      <c r="D84"/>
      <c r="E84"/>
      <c r="F84"/>
      <c r="G84"/>
      <c r="H84"/>
      <c r="I84"/>
      <c r="J84"/>
      <c r="L84" t="s">
        <v>264</v>
      </c>
      <c r="M84" t="s">
        <v>241</v>
      </c>
      <c r="N84">
        <v>70574080</v>
      </c>
      <c r="O84" t="s">
        <v>92</v>
      </c>
      <c r="P84" t="s">
        <v>242</v>
      </c>
      <c r="Q84" t="s">
        <v>243</v>
      </c>
      <c r="R84" t="str">
        <f t="shared" si="23"/>
        <v>2x</v>
      </c>
      <c r="AA84">
        <v>1</v>
      </c>
      <c r="AB84" t="str">
        <f>IF(S84=1,$N84,"")</f>
        <v/>
      </c>
      <c r="AC84" t="str">
        <f>IF(T84=1,$N84,"")</f>
        <v/>
      </c>
      <c r="AE84" t="str">
        <f>IF(V84=1,$N84,"")</f>
        <v/>
      </c>
      <c r="AF84" t="str">
        <f>IF(W84=1,$N84,"")</f>
        <v/>
      </c>
      <c r="AH84" t="str">
        <f>IF(Y84=1,$N84,"")</f>
        <v/>
      </c>
      <c r="AI84" t="str">
        <f t="shared" si="21"/>
        <v/>
      </c>
      <c r="AJ84">
        <f t="shared" si="22"/>
        <v>70574080</v>
      </c>
    </row>
    <row r="85" spans="1:36" ht="14" customHeight="1">
      <c r="A85"/>
      <c r="B85"/>
      <c r="C85"/>
      <c r="D85"/>
      <c r="E85"/>
      <c r="F85"/>
      <c r="G85"/>
      <c r="H85"/>
      <c r="I85"/>
      <c r="J85"/>
      <c r="L85" t="s">
        <v>264</v>
      </c>
      <c r="M85" t="s">
        <v>244</v>
      </c>
      <c r="N85">
        <v>23977984</v>
      </c>
      <c r="O85" t="s">
        <v>245</v>
      </c>
      <c r="P85" t="s">
        <v>122</v>
      </c>
      <c r="Q85" t="s">
        <v>246</v>
      </c>
      <c r="R85" t="str">
        <f t="shared" si="23"/>
        <v>2x</v>
      </c>
      <c r="AA85">
        <v>1</v>
      </c>
      <c r="AB85" t="str">
        <f>IF(S85=1,$N85,"")</f>
        <v/>
      </c>
      <c r="AC85" t="str">
        <f>IF(T85=1,$N85,"")</f>
        <v/>
      </c>
      <c r="AE85" t="str">
        <f>IF(V85=1,$N85,"")</f>
        <v/>
      </c>
      <c r="AF85" t="str">
        <f>IF(W85=1,$N85,"")</f>
        <v/>
      </c>
      <c r="AH85" t="str">
        <f>IF(Y85=1,$N85,"")</f>
        <v/>
      </c>
      <c r="AI85" t="str">
        <f t="shared" si="21"/>
        <v/>
      </c>
      <c r="AJ85">
        <f t="shared" si="22"/>
        <v>23977984</v>
      </c>
    </row>
    <row r="86" spans="1:36" ht="14" customHeight="1">
      <c r="A86"/>
      <c r="B86"/>
      <c r="C86"/>
      <c r="D86"/>
      <c r="E86"/>
      <c r="F86"/>
      <c r="G86"/>
      <c r="H86"/>
      <c r="I86"/>
      <c r="J86"/>
      <c r="L86" t="s">
        <v>264</v>
      </c>
      <c r="M86" t="s">
        <v>99</v>
      </c>
      <c r="N86">
        <v>61726720</v>
      </c>
      <c r="O86" t="s">
        <v>146</v>
      </c>
      <c r="P86" t="s">
        <v>147</v>
      </c>
      <c r="Q86" t="s">
        <v>148</v>
      </c>
      <c r="R86" t="str">
        <f t="shared" si="23"/>
        <v>2x</v>
      </c>
      <c r="AA86">
        <v>1</v>
      </c>
      <c r="AB86" t="str">
        <f>IF(S86=1,$N86,"")</f>
        <v/>
      </c>
      <c r="AC86" t="str">
        <f>IF(T86=1,$N86,"")</f>
        <v/>
      </c>
      <c r="AE86" t="str">
        <f>IF(V86=1,$N86,"")</f>
        <v/>
      </c>
      <c r="AF86" t="str">
        <f>IF(W86=1,$N86,"")</f>
        <v/>
      </c>
      <c r="AH86" t="str">
        <f>IF(Y86=1,$N86,"")</f>
        <v/>
      </c>
      <c r="AI86" t="str">
        <f t="shared" si="21"/>
        <v/>
      </c>
      <c r="AJ86">
        <f t="shared" si="22"/>
        <v>61726720</v>
      </c>
    </row>
    <row r="87" spans="1:36" ht="14" customHeight="1">
      <c r="A87"/>
      <c r="B87"/>
      <c r="C87"/>
      <c r="D87"/>
      <c r="E87"/>
      <c r="F87"/>
      <c r="G87"/>
      <c r="H87"/>
      <c r="I87"/>
      <c r="J87"/>
      <c r="L87" t="s">
        <v>264</v>
      </c>
      <c r="M87" t="s">
        <v>103</v>
      </c>
      <c r="N87">
        <v>125034496</v>
      </c>
      <c r="O87" t="s">
        <v>149</v>
      </c>
      <c r="P87" t="s">
        <v>150</v>
      </c>
      <c r="Q87" t="s">
        <v>148</v>
      </c>
      <c r="R87" t="str">
        <f t="shared" si="23"/>
        <v>2x</v>
      </c>
      <c r="AA87">
        <v>1</v>
      </c>
      <c r="AB87" t="str">
        <f>IF(S87=1,$N87,"")</f>
        <v/>
      </c>
      <c r="AC87" t="str">
        <f>IF(T87=1,$N87,"")</f>
        <v/>
      </c>
      <c r="AE87" t="str">
        <f>IF(V87=1,$N87,"")</f>
        <v/>
      </c>
      <c r="AF87" t="str">
        <f>IF(W87=1,$N87,"")</f>
        <v/>
      </c>
      <c r="AH87" t="str">
        <f>IF(Y87=1,$N87,"")</f>
        <v/>
      </c>
      <c r="AI87" t="str">
        <f t="shared" si="21"/>
        <v/>
      </c>
      <c r="AJ87">
        <f t="shared" si="22"/>
        <v>125034496</v>
      </c>
    </row>
    <row r="88" spans="1:36" ht="14" customHeight="1">
      <c r="A88"/>
      <c r="B88"/>
      <c r="C88"/>
      <c r="D88"/>
      <c r="E88"/>
      <c r="F88"/>
      <c r="G88"/>
      <c r="H88"/>
      <c r="I88"/>
      <c r="J88"/>
      <c r="L88" t="s">
        <v>264</v>
      </c>
      <c r="M88" t="s">
        <v>105</v>
      </c>
      <c r="N88">
        <v>38813696</v>
      </c>
      <c r="O88" t="s">
        <v>265</v>
      </c>
      <c r="P88" t="s">
        <v>139</v>
      </c>
      <c r="Q88" t="s">
        <v>266</v>
      </c>
      <c r="R88" t="str">
        <f t="shared" si="23"/>
        <v>2x</v>
      </c>
      <c r="AA88">
        <v>1</v>
      </c>
      <c r="AB88" t="str">
        <f>IF(S88=1,$N88,"")</f>
        <v/>
      </c>
      <c r="AC88" t="str">
        <f>IF(T88=1,$N88,"")</f>
        <v/>
      </c>
      <c r="AE88" t="str">
        <f>IF(V88=1,$N88,"")</f>
        <v/>
      </c>
      <c r="AF88" t="str">
        <f>IF(W88=1,$N88,"")</f>
        <v/>
      </c>
      <c r="AH88" t="str">
        <f>IF(Y88=1,$N88,"")</f>
        <v/>
      </c>
      <c r="AI88" t="str">
        <f t="shared" si="21"/>
        <v/>
      </c>
      <c r="AJ88">
        <f t="shared" si="22"/>
        <v>38813696</v>
      </c>
    </row>
    <row r="89" spans="1:36">
      <c r="L89" t="s">
        <v>264</v>
      </c>
      <c r="M89" t="s">
        <v>108</v>
      </c>
      <c r="N89">
        <v>510656512</v>
      </c>
      <c r="O89" t="s">
        <v>267</v>
      </c>
      <c r="P89" t="s">
        <v>268</v>
      </c>
      <c r="Q89" t="s">
        <v>266</v>
      </c>
      <c r="R89" t="str">
        <f t="shared" si="23"/>
        <v>2x</v>
      </c>
      <c r="AA89">
        <v>1</v>
      </c>
      <c r="AB89" t="str">
        <f>IF(S89=1,$N89,"")</f>
        <v/>
      </c>
      <c r="AC89" t="str">
        <f>IF(T89=1,$N89,"")</f>
        <v/>
      </c>
      <c r="AE89" t="str">
        <f>IF(V89=1,$N89,"")</f>
        <v/>
      </c>
      <c r="AF89" t="str">
        <f>IF(W89=1,$N89,"")</f>
        <v/>
      </c>
      <c r="AH89" t="str">
        <f>IF(Y89=1,$N89,"")</f>
        <v/>
      </c>
      <c r="AI89" t="str">
        <f t="shared" si="21"/>
        <v/>
      </c>
      <c r="AJ89">
        <f t="shared" si="22"/>
        <v>510656512</v>
      </c>
    </row>
    <row r="90" spans="1:36">
      <c r="L90" t="s">
        <v>264</v>
      </c>
      <c r="M90" t="s">
        <v>112</v>
      </c>
      <c r="N90">
        <v>469647360</v>
      </c>
      <c r="O90" t="s">
        <v>269</v>
      </c>
      <c r="P90" t="s">
        <v>270</v>
      </c>
      <c r="Q90" t="s">
        <v>271</v>
      </c>
      <c r="R90" t="str">
        <f t="shared" si="23"/>
        <v>2x</v>
      </c>
      <c r="AA90">
        <v>1</v>
      </c>
      <c r="AB90" t="str">
        <f>IF(S90=1,$N90,"")</f>
        <v/>
      </c>
      <c r="AC90" t="str">
        <f>IF(T90=1,$N90,"")</f>
        <v/>
      </c>
      <c r="AE90" t="str">
        <f>IF(V90=1,$N90,"")</f>
        <v/>
      </c>
      <c r="AF90" t="str">
        <f>IF(W90=1,$N90,"")</f>
        <v/>
      </c>
      <c r="AH90" t="str">
        <f>IF(Y90=1,$N90,"")</f>
        <v/>
      </c>
      <c r="AI90" t="str">
        <f t="shared" si="21"/>
        <v/>
      </c>
      <c r="AJ90">
        <f t="shared" si="22"/>
        <v>469647360</v>
      </c>
    </row>
    <row r="91" spans="1:36">
      <c r="L91" t="s">
        <v>264</v>
      </c>
      <c r="M91" t="s">
        <v>116</v>
      </c>
      <c r="N91">
        <v>18350080</v>
      </c>
      <c r="O91" t="s">
        <v>89</v>
      </c>
      <c r="P91" t="s">
        <v>74</v>
      </c>
      <c r="Q91" t="s">
        <v>272</v>
      </c>
      <c r="R91" t="str">
        <f t="shared" si="23"/>
        <v>2x</v>
      </c>
      <c r="AA91">
        <v>1</v>
      </c>
      <c r="AB91" t="str">
        <f>IF(S91=1,$N91,"")</f>
        <v/>
      </c>
      <c r="AC91" t="str">
        <f>IF(T91=1,$N91,"")</f>
        <v/>
      </c>
      <c r="AE91" t="str">
        <f>IF(V91=1,$N91,"")</f>
        <v/>
      </c>
      <c r="AF91" t="str">
        <f>IF(W91=1,$N91,"")</f>
        <v/>
      </c>
      <c r="AH91" t="str">
        <f>IF(Y91=1,$N91,"")</f>
        <v/>
      </c>
      <c r="AI91" t="str">
        <f t="shared" si="21"/>
        <v/>
      </c>
      <c r="AJ91">
        <f t="shared" si="22"/>
        <v>18350080</v>
      </c>
    </row>
    <row r="92" spans="1:36">
      <c r="L92" t="s">
        <v>264</v>
      </c>
      <c r="M92" t="s">
        <v>120</v>
      </c>
      <c r="N92">
        <v>266584064</v>
      </c>
      <c r="O92" t="s">
        <v>273</v>
      </c>
      <c r="P92" t="s">
        <v>274</v>
      </c>
      <c r="Q92" t="s">
        <v>272</v>
      </c>
      <c r="R92" t="str">
        <f t="shared" si="23"/>
        <v>2x</v>
      </c>
      <c r="AA92">
        <v>1</v>
      </c>
      <c r="AB92" t="str">
        <f>IF(S92=1,$N92,"")</f>
        <v/>
      </c>
      <c r="AC92" t="str">
        <f>IF(T92=1,$N92,"")</f>
        <v/>
      </c>
      <c r="AE92" t="str">
        <f>IF(V92=1,$N92,"")</f>
        <v/>
      </c>
      <c r="AF92" t="str">
        <f>IF(W92=1,$N92,"")</f>
        <v/>
      </c>
      <c r="AH92" t="str">
        <f>IF(Y92=1,$N92,"")</f>
        <v/>
      </c>
      <c r="AI92" t="str">
        <f t="shared" si="21"/>
        <v/>
      </c>
      <c r="AJ92">
        <f t="shared" si="22"/>
        <v>266584064</v>
      </c>
    </row>
    <row r="93" spans="1:36">
      <c r="L93" t="s">
        <v>264</v>
      </c>
      <c r="M93" t="s">
        <v>73</v>
      </c>
      <c r="N93">
        <v>81920</v>
      </c>
      <c r="O93" t="s">
        <v>197</v>
      </c>
      <c r="P93" t="s">
        <v>161</v>
      </c>
      <c r="Q93" t="s">
        <v>107</v>
      </c>
      <c r="R93" t="str">
        <f t="shared" si="23"/>
        <v>2x</v>
      </c>
      <c r="AA93">
        <v>1</v>
      </c>
      <c r="AB93" t="str">
        <f>IF(S93=1,$N93,"")</f>
        <v/>
      </c>
      <c r="AC93" t="str">
        <f>IF(T93=1,$N93,"")</f>
        <v/>
      </c>
      <c r="AE93" t="str">
        <f>IF(V93=1,$N93,"")</f>
        <v/>
      </c>
      <c r="AF93" t="str">
        <f>IF(W93=1,$N93,"")</f>
        <v/>
      </c>
      <c r="AH93" t="str">
        <f>IF(Y93=1,$N93,"")</f>
        <v/>
      </c>
      <c r="AI93" t="str">
        <f t="shared" si="21"/>
        <v/>
      </c>
      <c r="AJ93">
        <f t="shared" si="22"/>
        <v>81920</v>
      </c>
    </row>
    <row r="94" spans="1:36">
      <c r="L94" t="s">
        <v>264</v>
      </c>
      <c r="M94" t="s">
        <v>258</v>
      </c>
      <c r="N94">
        <v>548864</v>
      </c>
      <c r="O94" t="s">
        <v>275</v>
      </c>
      <c r="P94" t="s">
        <v>166</v>
      </c>
      <c r="Q94" t="s">
        <v>107</v>
      </c>
      <c r="R94" t="str">
        <f t="shared" si="23"/>
        <v>2x</v>
      </c>
      <c r="AA94">
        <v>1</v>
      </c>
      <c r="AB94" t="str">
        <f>IF(S94=1,$N94,"")</f>
        <v/>
      </c>
      <c r="AC94" t="str">
        <f>IF(T94=1,$N94,"")</f>
        <v/>
      </c>
      <c r="AE94" t="str">
        <f>IF(V94=1,$N94,"")</f>
        <v/>
      </c>
      <c r="AF94" t="str">
        <f>IF(W94=1,$N94,"")</f>
        <v/>
      </c>
      <c r="AH94" t="str">
        <f>IF(Y94=1,$N94,"")</f>
        <v/>
      </c>
      <c r="AI94" t="str">
        <f t="shared" si="21"/>
        <v/>
      </c>
      <c r="AJ94">
        <f t="shared" si="22"/>
        <v>548864</v>
      </c>
    </row>
    <row r="95" spans="1:36">
      <c r="L95" t="s">
        <v>264</v>
      </c>
      <c r="M95" t="s">
        <v>130</v>
      </c>
      <c r="N95">
        <v>745472</v>
      </c>
      <c r="O95" t="s">
        <v>131</v>
      </c>
      <c r="P95" t="s">
        <v>132</v>
      </c>
      <c r="Q95" t="s">
        <v>111</v>
      </c>
      <c r="R95" t="str">
        <f t="shared" si="23"/>
        <v>2x</v>
      </c>
      <c r="AA95">
        <v>1</v>
      </c>
      <c r="AB95" t="str">
        <f>IF(S95=1,$N95,"")</f>
        <v/>
      </c>
      <c r="AC95" t="str">
        <f>IF(T95=1,$N95,"")</f>
        <v/>
      </c>
      <c r="AE95" t="str">
        <f>IF(V95=1,$N95,"")</f>
        <v/>
      </c>
      <c r="AF95" t="str">
        <f>IF(W95=1,$N95,"")</f>
        <v/>
      </c>
      <c r="AH95" t="str">
        <f>IF(Y95=1,$N95,"")</f>
        <v/>
      </c>
      <c r="AI95" t="str">
        <f t="shared" si="21"/>
        <v/>
      </c>
      <c r="AJ95">
        <f t="shared" si="22"/>
        <v>745472</v>
      </c>
    </row>
    <row r="96" spans="1:36">
      <c r="L96" t="s">
        <v>264</v>
      </c>
      <c r="M96" t="s">
        <v>76</v>
      </c>
      <c r="N96">
        <v>17760256</v>
      </c>
      <c r="O96" t="s">
        <v>74</v>
      </c>
      <c r="P96" t="s">
        <v>188</v>
      </c>
      <c r="Q96" t="s">
        <v>268</v>
      </c>
      <c r="R96" t="str">
        <f t="shared" si="23"/>
        <v>2x</v>
      </c>
      <c r="AA96">
        <v>1</v>
      </c>
      <c r="AB96" t="str">
        <f>IF(S96=1,$N96,"")</f>
        <v/>
      </c>
      <c r="AC96" t="str">
        <f>IF(T96=1,$N96,"")</f>
        <v/>
      </c>
      <c r="AE96" t="str">
        <f>IF(V96=1,$N96,"")</f>
        <v/>
      </c>
      <c r="AF96" t="str">
        <f>IF(W96=1,$N96,"")</f>
        <v/>
      </c>
      <c r="AH96" t="str">
        <f>IF(Y96=1,$N96,"")</f>
        <v/>
      </c>
      <c r="AI96" t="str">
        <f t="shared" si="21"/>
        <v/>
      </c>
      <c r="AJ96">
        <f t="shared" si="22"/>
        <v>17760256</v>
      </c>
    </row>
    <row r="97" spans="12:36">
      <c r="L97" t="s">
        <v>264</v>
      </c>
      <c r="M97" t="s">
        <v>261</v>
      </c>
      <c r="N97">
        <v>141541376</v>
      </c>
      <c r="O97" t="s">
        <v>276</v>
      </c>
      <c r="P97" t="s">
        <v>143</v>
      </c>
      <c r="Q97" t="s">
        <v>277</v>
      </c>
      <c r="R97" t="str">
        <f t="shared" si="23"/>
        <v>2x</v>
      </c>
      <c r="AA97">
        <v>1</v>
      </c>
      <c r="AB97" t="str">
        <f>IF(S97=1,$N97,"")</f>
        <v/>
      </c>
      <c r="AC97" t="str">
        <f>IF(T97=1,$N97,"")</f>
        <v/>
      </c>
      <c r="AE97" t="str">
        <f>IF(V97=1,$N97,"")</f>
        <v/>
      </c>
      <c r="AF97" t="str">
        <f>IF(W97=1,$N97,"")</f>
        <v/>
      </c>
      <c r="AH97" t="str">
        <f>IF(Y97=1,$N97,"")</f>
        <v/>
      </c>
      <c r="AI97" t="str">
        <f t="shared" si="21"/>
        <v/>
      </c>
      <c r="AJ97">
        <f t="shared" si="22"/>
        <v>141541376</v>
      </c>
    </row>
    <row r="98" spans="12:36">
      <c r="L98" t="s">
        <v>373</v>
      </c>
      <c r="M98" t="s">
        <v>69</v>
      </c>
      <c r="N98">
        <v>3126829056</v>
      </c>
      <c r="O98" t="s">
        <v>374</v>
      </c>
      <c r="P98" t="s">
        <v>97</v>
      </c>
      <c r="Q98" t="s">
        <v>163</v>
      </c>
      <c r="R98" t="str">
        <f t="shared" si="23"/>
        <v>5x</v>
      </c>
      <c r="S98">
        <v>1</v>
      </c>
      <c r="AB98">
        <f>IF(S98=1,$N98,"")</f>
        <v>3126829056</v>
      </c>
      <c r="AC98" t="str">
        <f>IF(T98=1,$N98,"")</f>
        <v/>
      </c>
      <c r="AE98" t="str">
        <f>IF(V98=1,$N98,"")</f>
        <v/>
      </c>
      <c r="AF98" t="str">
        <f>IF(W98=1,$N98,"")</f>
        <v/>
      </c>
      <c r="AH98" t="str">
        <f>IF(Y98=1,$N98,"")</f>
        <v/>
      </c>
      <c r="AI98" t="str">
        <f t="shared" si="21"/>
        <v/>
      </c>
      <c r="AJ98" t="str">
        <f t="shared" si="22"/>
        <v/>
      </c>
    </row>
    <row r="99" spans="12:36">
      <c r="L99" t="s">
        <v>373</v>
      </c>
      <c r="M99" t="s">
        <v>73</v>
      </c>
      <c r="N99">
        <v>90570752</v>
      </c>
      <c r="O99" t="s">
        <v>375</v>
      </c>
      <c r="P99" t="s">
        <v>253</v>
      </c>
      <c r="Q99" t="s">
        <v>376</v>
      </c>
      <c r="R99" t="str">
        <f t="shared" si="23"/>
        <v>5x</v>
      </c>
      <c r="S99">
        <v>1</v>
      </c>
      <c r="T99">
        <v>1</v>
      </c>
      <c r="AB99">
        <f>IF(S99=1,$N99,"")</f>
        <v>90570752</v>
      </c>
      <c r="AC99">
        <f>IF(T99=1,$N99,"")</f>
        <v>90570752</v>
      </c>
      <c r="AE99" t="str">
        <f>IF(V99=1,$N99,"")</f>
        <v/>
      </c>
      <c r="AF99" t="str">
        <f>IF(W99=1,$N99,"")</f>
        <v/>
      </c>
      <c r="AH99" t="str">
        <f>IF(Y99=1,$N99,"")</f>
        <v/>
      </c>
      <c r="AI99" t="str">
        <f t="shared" si="21"/>
        <v/>
      </c>
      <c r="AJ99" t="str">
        <f t="shared" si="22"/>
        <v/>
      </c>
    </row>
    <row r="100" spans="12:36">
      <c r="L100" t="s">
        <v>373</v>
      </c>
      <c r="M100" t="s">
        <v>76</v>
      </c>
      <c r="N100">
        <v>360235008</v>
      </c>
      <c r="O100" t="s">
        <v>377</v>
      </c>
      <c r="P100" t="s">
        <v>378</v>
      </c>
      <c r="Q100" t="s">
        <v>379</v>
      </c>
      <c r="R100" t="str">
        <f t="shared" si="23"/>
        <v>5x</v>
      </c>
      <c r="S100">
        <v>1</v>
      </c>
      <c r="AB100">
        <f>IF(S100=1,$N100,"")</f>
        <v>360235008</v>
      </c>
      <c r="AC100" t="str">
        <f>IF(T100=1,$N100,"")</f>
        <v/>
      </c>
      <c r="AE100" t="str">
        <f>IF(V100=1,$N100,"")</f>
        <v/>
      </c>
      <c r="AF100" t="str">
        <f>IF(W100=1,$N100,"")</f>
        <v/>
      </c>
      <c r="AH100" t="str">
        <f>IF(Y100=1,$N100,"")</f>
        <v/>
      </c>
      <c r="AI100" t="str">
        <f t="shared" si="21"/>
        <v/>
      </c>
      <c r="AJ100" t="str">
        <f t="shared" si="22"/>
        <v/>
      </c>
    </row>
    <row r="101" spans="12:36">
      <c r="L101" t="s">
        <v>380</v>
      </c>
      <c r="M101" t="s">
        <v>91</v>
      </c>
      <c r="N101">
        <v>70385664</v>
      </c>
      <c r="O101" t="s">
        <v>92</v>
      </c>
      <c r="P101" t="s">
        <v>93</v>
      </c>
      <c r="Q101" t="s">
        <v>94</v>
      </c>
      <c r="R101" t="str">
        <f t="shared" si="23"/>
        <v>5x</v>
      </c>
      <c r="V101">
        <v>1</v>
      </c>
      <c r="Y101">
        <v>1</v>
      </c>
      <c r="AB101" t="str">
        <f>IF(S101=1,$N101,"")</f>
        <v/>
      </c>
      <c r="AC101" t="str">
        <f>IF(T101=1,$N101,"")</f>
        <v/>
      </c>
      <c r="AE101">
        <f>IF(V101=1,$N101,"")</f>
        <v>70385664</v>
      </c>
      <c r="AF101" t="str">
        <f>IF(W101=1,$N101,"")</f>
        <v/>
      </c>
      <c r="AH101">
        <f>IF(Y101=1,$N101,"")</f>
        <v>70385664</v>
      </c>
      <c r="AI101" t="str">
        <f t="shared" si="21"/>
        <v/>
      </c>
      <c r="AJ101" t="str">
        <f t="shared" si="22"/>
        <v/>
      </c>
    </row>
    <row r="102" spans="12:36">
      <c r="L102" t="s">
        <v>380</v>
      </c>
      <c r="M102" t="s">
        <v>95</v>
      </c>
      <c r="N102">
        <v>31948800</v>
      </c>
      <c r="O102" t="s">
        <v>96</v>
      </c>
      <c r="P102" t="s">
        <v>97</v>
      </c>
      <c r="Q102" t="s">
        <v>98</v>
      </c>
      <c r="R102" t="str">
        <f t="shared" si="23"/>
        <v>5x</v>
      </c>
      <c r="V102">
        <v>1</v>
      </c>
      <c r="Y102">
        <v>1</v>
      </c>
      <c r="AB102" t="str">
        <f>IF(S102=1,$N102,"")</f>
        <v/>
      </c>
      <c r="AC102" t="str">
        <f>IF(T102=1,$N102,"")</f>
        <v/>
      </c>
      <c r="AE102">
        <f>IF(V102=1,$N102,"")</f>
        <v>31948800</v>
      </c>
      <c r="AF102" t="str">
        <f>IF(W102=1,$N102,"")</f>
        <v/>
      </c>
      <c r="AH102">
        <f>IF(Y102=1,$N102,"")</f>
        <v>31948800</v>
      </c>
      <c r="AI102" t="str">
        <f t="shared" si="21"/>
        <v/>
      </c>
      <c r="AJ102" t="str">
        <f t="shared" si="22"/>
        <v/>
      </c>
    </row>
    <row r="103" spans="12:36">
      <c r="L103" t="s">
        <v>380</v>
      </c>
      <c r="M103" t="s">
        <v>99</v>
      </c>
      <c r="N103">
        <v>156729344</v>
      </c>
      <c r="O103" t="s">
        <v>381</v>
      </c>
      <c r="P103" t="s">
        <v>382</v>
      </c>
      <c r="Q103" t="s">
        <v>383</v>
      </c>
      <c r="R103" t="str">
        <f t="shared" si="23"/>
        <v>5x</v>
      </c>
      <c r="Y103">
        <v>1</v>
      </c>
      <c r="AB103" t="str">
        <f>IF(S103=1,$N103,"")</f>
        <v/>
      </c>
      <c r="AC103" t="str">
        <f>IF(T103=1,$N103,"")</f>
        <v/>
      </c>
      <c r="AE103" t="str">
        <f>IF(V103=1,$N103,"")</f>
        <v/>
      </c>
      <c r="AF103" t="str">
        <f>IF(W103=1,$N103,"")</f>
        <v/>
      </c>
      <c r="AH103">
        <f>IF(Y103=1,$N103,"")</f>
        <v>156729344</v>
      </c>
      <c r="AI103" t="str">
        <f t="shared" si="21"/>
        <v/>
      </c>
      <c r="AJ103" t="str">
        <f t="shared" si="22"/>
        <v/>
      </c>
    </row>
    <row r="104" spans="12:36">
      <c r="L104" t="s">
        <v>380</v>
      </c>
      <c r="M104" t="s">
        <v>103</v>
      </c>
      <c r="N104">
        <v>312451072</v>
      </c>
      <c r="O104" t="s">
        <v>384</v>
      </c>
      <c r="P104" t="s">
        <v>385</v>
      </c>
      <c r="Q104" t="s">
        <v>383</v>
      </c>
      <c r="R104" t="str">
        <f t="shared" si="23"/>
        <v>5x</v>
      </c>
      <c r="V104">
        <v>1</v>
      </c>
      <c r="Y104">
        <v>1</v>
      </c>
      <c r="AB104" t="str">
        <f>IF(S104=1,$N104,"")</f>
        <v/>
      </c>
      <c r="AC104" t="str">
        <f>IF(T104=1,$N104,"")</f>
        <v/>
      </c>
      <c r="AE104">
        <f>IF(V104=1,$N104,"")</f>
        <v>312451072</v>
      </c>
      <c r="AF104" t="str">
        <f>IF(W104=1,$N104,"")</f>
        <v/>
      </c>
      <c r="AH104">
        <f>IF(Y104=1,$N104,"")</f>
        <v>312451072</v>
      </c>
      <c r="AI104" t="str">
        <f t="shared" si="21"/>
        <v/>
      </c>
      <c r="AJ104" t="str">
        <f t="shared" si="22"/>
        <v/>
      </c>
    </row>
    <row r="105" spans="12:36">
      <c r="L105" t="s">
        <v>380</v>
      </c>
      <c r="M105" t="s">
        <v>105</v>
      </c>
      <c r="N105">
        <v>57344</v>
      </c>
      <c r="O105" t="s">
        <v>386</v>
      </c>
      <c r="P105" t="s">
        <v>111</v>
      </c>
      <c r="Q105" t="s">
        <v>107</v>
      </c>
      <c r="R105" t="str">
        <f t="shared" si="23"/>
        <v>5x</v>
      </c>
      <c r="T105">
        <v>1</v>
      </c>
      <c r="V105">
        <v>1</v>
      </c>
      <c r="Y105">
        <v>1</v>
      </c>
      <c r="AB105" t="str">
        <f>IF(S105=1,$N105,"")</f>
        <v/>
      </c>
      <c r="AC105">
        <f>IF(T105=1,$N105,"")</f>
        <v>57344</v>
      </c>
      <c r="AE105">
        <f>IF(V105=1,$N105,"")</f>
        <v>57344</v>
      </c>
      <c r="AF105" t="str">
        <f>IF(W105=1,$N105,"")</f>
        <v/>
      </c>
      <c r="AH105">
        <f>IF(Y105=1,$N105,"")</f>
        <v>57344</v>
      </c>
      <c r="AI105" t="str">
        <f t="shared" si="21"/>
        <v/>
      </c>
      <c r="AJ105" t="str">
        <f t="shared" si="22"/>
        <v/>
      </c>
    </row>
    <row r="106" spans="12:36">
      <c r="L106" t="s">
        <v>380</v>
      </c>
      <c r="M106" t="s">
        <v>108</v>
      </c>
      <c r="N106">
        <v>196608</v>
      </c>
      <c r="O106" t="s">
        <v>387</v>
      </c>
      <c r="P106" t="s">
        <v>110</v>
      </c>
      <c r="Q106" t="s">
        <v>111</v>
      </c>
      <c r="R106" t="str">
        <f t="shared" si="23"/>
        <v>5x</v>
      </c>
      <c r="T106">
        <v>1</v>
      </c>
      <c r="V106">
        <v>1</v>
      </c>
      <c r="Y106">
        <v>1</v>
      </c>
      <c r="AB106" t="str">
        <f>IF(S106=1,$N106,"")</f>
        <v/>
      </c>
      <c r="AC106">
        <f>IF(T106=1,$N106,"")</f>
        <v>196608</v>
      </c>
      <c r="AE106">
        <f>IF(V106=1,$N106,"")</f>
        <v>196608</v>
      </c>
      <c r="AF106" t="str">
        <f>IF(W106=1,$N106,"")</f>
        <v/>
      </c>
      <c r="AH106">
        <f>IF(Y106=1,$N106,"")</f>
        <v>196608</v>
      </c>
      <c r="AI106" t="str">
        <f t="shared" si="21"/>
        <v/>
      </c>
      <c r="AJ106" t="str">
        <f t="shared" si="22"/>
        <v/>
      </c>
    </row>
    <row r="107" spans="12:36">
      <c r="L107" t="s">
        <v>380</v>
      </c>
      <c r="M107" t="s">
        <v>112</v>
      </c>
      <c r="N107">
        <v>1921777664</v>
      </c>
      <c r="O107" t="s">
        <v>388</v>
      </c>
      <c r="P107" t="s">
        <v>89</v>
      </c>
      <c r="Q107" t="s">
        <v>123</v>
      </c>
      <c r="R107" t="str">
        <f t="shared" si="23"/>
        <v>5x</v>
      </c>
      <c r="T107">
        <v>1</v>
      </c>
      <c r="V107">
        <v>1</v>
      </c>
      <c r="Y107">
        <v>1</v>
      </c>
      <c r="AB107" t="str">
        <f>IF(S107=1,$N107,"")</f>
        <v/>
      </c>
      <c r="AC107">
        <f>IF(T107=1,$N107,"")</f>
        <v>1921777664</v>
      </c>
      <c r="AE107">
        <f>IF(V107=1,$N107,"")</f>
        <v>1921777664</v>
      </c>
      <c r="AF107" t="str">
        <f>IF(W107=1,$N107,"")</f>
        <v/>
      </c>
      <c r="AH107">
        <f>IF(Y107=1,$N107,"")</f>
        <v>1921777664</v>
      </c>
      <c r="AI107" t="str">
        <f t="shared" si="21"/>
        <v/>
      </c>
      <c r="AJ107" t="str">
        <f t="shared" si="22"/>
        <v/>
      </c>
    </row>
    <row r="108" spans="12:36">
      <c r="L108" t="s">
        <v>380</v>
      </c>
      <c r="M108" t="s">
        <v>116</v>
      </c>
      <c r="N108">
        <v>114401280</v>
      </c>
      <c r="O108" t="s">
        <v>389</v>
      </c>
      <c r="P108" t="s">
        <v>390</v>
      </c>
      <c r="Q108" t="s">
        <v>391</v>
      </c>
      <c r="R108" t="str">
        <f t="shared" si="23"/>
        <v>5x</v>
      </c>
      <c r="T108">
        <v>1</v>
      </c>
      <c r="V108">
        <v>1</v>
      </c>
      <c r="Y108">
        <v>1</v>
      </c>
      <c r="AB108" t="str">
        <f>IF(S108=1,$N108,"")</f>
        <v/>
      </c>
      <c r="AC108">
        <f>IF(T108=1,$N108,"")</f>
        <v>114401280</v>
      </c>
      <c r="AE108">
        <f>IF(V108=1,$N108,"")</f>
        <v>114401280</v>
      </c>
      <c r="AF108" t="str">
        <f>IF(W108=1,$N108,"")</f>
        <v/>
      </c>
      <c r="AH108">
        <f>IF(Y108=1,$N108,"")</f>
        <v>114401280</v>
      </c>
      <c r="AI108" t="str">
        <f t="shared" si="21"/>
        <v/>
      </c>
      <c r="AJ108" t="str">
        <f t="shared" si="22"/>
        <v/>
      </c>
    </row>
    <row r="109" spans="12:36">
      <c r="L109" t="s">
        <v>380</v>
      </c>
      <c r="M109" t="s">
        <v>120</v>
      </c>
      <c r="N109">
        <v>1203298304</v>
      </c>
      <c r="O109" t="s">
        <v>392</v>
      </c>
      <c r="P109" t="s">
        <v>137</v>
      </c>
      <c r="Q109" t="s">
        <v>393</v>
      </c>
      <c r="R109" t="str">
        <f t="shared" si="23"/>
        <v>5x</v>
      </c>
      <c r="T109">
        <v>1</v>
      </c>
      <c r="V109">
        <v>1</v>
      </c>
      <c r="Y109">
        <v>1</v>
      </c>
      <c r="AB109" t="str">
        <f>IF(S109=1,$N109,"")</f>
        <v/>
      </c>
      <c r="AC109">
        <f>IF(T109=1,$N109,"")</f>
        <v>1203298304</v>
      </c>
      <c r="AE109">
        <f>IF(V109=1,$N109,"")</f>
        <v>1203298304</v>
      </c>
      <c r="AF109" t="str">
        <f>IF(W109=1,$N109,"")</f>
        <v/>
      </c>
      <c r="AH109">
        <f>IF(Y109=1,$N109,"")</f>
        <v>1203298304</v>
      </c>
      <c r="AI109" t="str">
        <f t="shared" si="21"/>
        <v/>
      </c>
      <c r="AJ109" t="str">
        <f t="shared" si="22"/>
        <v/>
      </c>
    </row>
    <row r="110" spans="12:36">
      <c r="L110" t="s">
        <v>380</v>
      </c>
      <c r="M110" t="s">
        <v>73</v>
      </c>
      <c r="N110">
        <v>90537984</v>
      </c>
      <c r="O110" t="s">
        <v>375</v>
      </c>
      <c r="P110" t="s">
        <v>253</v>
      </c>
      <c r="Q110" t="s">
        <v>376</v>
      </c>
      <c r="R110" t="str">
        <f t="shared" si="23"/>
        <v>5x</v>
      </c>
      <c r="V110">
        <v>1</v>
      </c>
      <c r="Y110">
        <v>1</v>
      </c>
      <c r="AB110" t="str">
        <f>IF(S110=1,$N110,"")</f>
        <v/>
      </c>
      <c r="AC110" t="str">
        <f>IF(T110=1,$N110,"")</f>
        <v/>
      </c>
      <c r="AE110">
        <f>IF(V110=1,$N110,"")</f>
        <v>90537984</v>
      </c>
      <c r="AF110" t="str">
        <f>IF(W110=1,$N110,"")</f>
        <v/>
      </c>
      <c r="AH110">
        <f>IF(Y110=1,$N110,"")</f>
        <v>90537984</v>
      </c>
      <c r="AI110" t="str">
        <f t="shared" si="21"/>
        <v/>
      </c>
      <c r="AJ110" t="str">
        <f t="shared" si="22"/>
        <v/>
      </c>
    </row>
    <row r="111" spans="12:36">
      <c r="L111" t="s">
        <v>380</v>
      </c>
      <c r="M111" t="s">
        <v>124</v>
      </c>
      <c r="N111">
        <v>49152</v>
      </c>
      <c r="O111" t="s">
        <v>125</v>
      </c>
      <c r="P111" t="s">
        <v>291</v>
      </c>
      <c r="Q111" t="s">
        <v>111</v>
      </c>
      <c r="R111" t="str">
        <f t="shared" si="23"/>
        <v>5x</v>
      </c>
      <c r="V111">
        <v>1</v>
      </c>
      <c r="Y111">
        <v>1</v>
      </c>
      <c r="AB111" t="str">
        <f>IF(S111=1,$N111,"")</f>
        <v/>
      </c>
      <c r="AC111" t="str">
        <f>IF(T111=1,$N111,"")</f>
        <v/>
      </c>
      <c r="AE111">
        <f>IF(V111=1,$N111,"")</f>
        <v>49152</v>
      </c>
      <c r="AF111" t="str">
        <f>IF(W111=1,$N111,"")</f>
        <v/>
      </c>
      <c r="AH111">
        <f>IF(Y111=1,$N111,"")</f>
        <v>49152</v>
      </c>
      <c r="AI111" t="str">
        <f t="shared" si="21"/>
        <v/>
      </c>
      <c r="AJ111" t="str">
        <f t="shared" si="22"/>
        <v/>
      </c>
    </row>
    <row r="112" spans="12:36">
      <c r="L112" t="s">
        <v>380</v>
      </c>
      <c r="M112" t="s">
        <v>126</v>
      </c>
      <c r="N112">
        <v>71303168</v>
      </c>
      <c r="O112" t="s">
        <v>296</v>
      </c>
      <c r="P112" t="s">
        <v>394</v>
      </c>
      <c r="Q112" t="s">
        <v>395</v>
      </c>
      <c r="R112" t="str">
        <f t="shared" si="23"/>
        <v>5x</v>
      </c>
      <c r="V112">
        <v>1</v>
      </c>
      <c r="AB112" t="str">
        <f>IF(S112=1,$N112,"")</f>
        <v/>
      </c>
      <c r="AC112" t="str">
        <f>IF(T112=1,$N112,"")</f>
        <v/>
      </c>
      <c r="AE112">
        <f>IF(V112=1,$N112,"")</f>
        <v>71303168</v>
      </c>
      <c r="AF112" t="str">
        <f>IF(W112=1,$N112,"")</f>
        <v/>
      </c>
      <c r="AH112" t="str">
        <f>IF(Y112=1,$N112,"")</f>
        <v/>
      </c>
      <c r="AI112" t="str">
        <f t="shared" si="21"/>
        <v/>
      </c>
      <c r="AJ112" t="str">
        <f t="shared" si="22"/>
        <v/>
      </c>
    </row>
    <row r="113" spans="12:36">
      <c r="L113" t="s">
        <v>380</v>
      </c>
      <c r="M113" t="s">
        <v>130</v>
      </c>
      <c r="N113">
        <v>745472</v>
      </c>
      <c r="O113" t="s">
        <v>131</v>
      </c>
      <c r="P113" t="s">
        <v>132</v>
      </c>
      <c r="Q113" t="s">
        <v>111</v>
      </c>
      <c r="R113" t="str">
        <f t="shared" si="23"/>
        <v>5x</v>
      </c>
      <c r="Y113">
        <v>1</v>
      </c>
      <c r="AB113" t="str">
        <f>IF(S113=1,$N113,"")</f>
        <v/>
      </c>
      <c r="AC113" t="str">
        <f>IF(T113=1,$N113,"")</f>
        <v/>
      </c>
      <c r="AE113" t="str">
        <f>IF(V113=1,$N113,"")</f>
        <v/>
      </c>
      <c r="AF113" t="str">
        <f>IF(W113=1,$N113,"")</f>
        <v/>
      </c>
      <c r="AH113">
        <f>IF(Y113=1,$N113,"")</f>
        <v>745472</v>
      </c>
      <c r="AI113" t="str">
        <f t="shared" si="21"/>
        <v/>
      </c>
      <c r="AJ113" t="str">
        <f t="shared" si="22"/>
        <v/>
      </c>
    </row>
    <row r="114" spans="12:36">
      <c r="L114" t="s">
        <v>380</v>
      </c>
      <c r="M114" t="s">
        <v>76</v>
      </c>
      <c r="N114">
        <v>360235008</v>
      </c>
      <c r="O114" t="s">
        <v>377</v>
      </c>
      <c r="P114" t="s">
        <v>378</v>
      </c>
      <c r="Q114" t="s">
        <v>379</v>
      </c>
      <c r="R114" t="str">
        <f t="shared" si="23"/>
        <v>5x</v>
      </c>
      <c r="T114">
        <v>1</v>
      </c>
      <c r="V114">
        <v>1</v>
      </c>
      <c r="Y114">
        <v>1</v>
      </c>
      <c r="AB114" t="str">
        <f>IF(S114=1,$N114,"")</f>
        <v/>
      </c>
      <c r="AC114">
        <f>IF(T114=1,$N114,"")</f>
        <v>360235008</v>
      </c>
      <c r="AE114">
        <f>IF(V114=1,$N114,"")</f>
        <v>360235008</v>
      </c>
      <c r="AF114" t="str">
        <f>IF(W114=1,$N114,"")</f>
        <v/>
      </c>
      <c r="AH114">
        <f>IF(Y114=1,$N114,"")</f>
        <v>360235008</v>
      </c>
      <c r="AI114" t="str">
        <f t="shared" ref="AI114:AI177" si="24">IF(Z114=1,$N114,"")</f>
        <v/>
      </c>
      <c r="AJ114" t="str">
        <f t="shared" ref="AJ114:AJ177" si="25">IF(AA114=1,$N114,"")</f>
        <v/>
      </c>
    </row>
    <row r="115" spans="12:36">
      <c r="L115" t="s">
        <v>380</v>
      </c>
      <c r="M115" t="s">
        <v>133</v>
      </c>
      <c r="N115">
        <v>16384</v>
      </c>
      <c r="O115" t="s">
        <v>111</v>
      </c>
      <c r="P115" t="s">
        <v>134</v>
      </c>
      <c r="Q115" t="s">
        <v>110</v>
      </c>
      <c r="R115" t="str">
        <f t="shared" si="23"/>
        <v>5x</v>
      </c>
      <c r="T115">
        <v>1</v>
      </c>
      <c r="V115">
        <v>1</v>
      </c>
      <c r="Y115">
        <v>1</v>
      </c>
      <c r="AB115" t="str">
        <f>IF(S115=1,$N115,"")</f>
        <v/>
      </c>
      <c r="AC115">
        <f>IF(T115=1,$N115,"")</f>
        <v>16384</v>
      </c>
      <c r="AE115">
        <f>IF(V115=1,$N115,"")</f>
        <v>16384</v>
      </c>
      <c r="AF115" t="str">
        <f>IF(W115=1,$N115,"")</f>
        <v/>
      </c>
      <c r="AH115">
        <f>IF(Y115=1,$N115,"")</f>
        <v>16384</v>
      </c>
      <c r="AI115" t="str">
        <f t="shared" si="24"/>
        <v/>
      </c>
      <c r="AJ115" t="str">
        <f t="shared" si="25"/>
        <v/>
      </c>
    </row>
    <row r="116" spans="12:36">
      <c r="L116" t="s">
        <v>396</v>
      </c>
      <c r="M116" t="s">
        <v>91</v>
      </c>
      <c r="N116">
        <v>70385664</v>
      </c>
      <c r="O116" t="s">
        <v>92</v>
      </c>
      <c r="P116" t="s">
        <v>93</v>
      </c>
      <c r="Q116" t="s">
        <v>94</v>
      </c>
      <c r="R116" t="str">
        <f t="shared" si="23"/>
        <v>5x</v>
      </c>
      <c r="W116">
        <v>1</v>
      </c>
      <c r="Z116">
        <v>1</v>
      </c>
      <c r="AB116" t="str">
        <f>IF(S116=1,$N116,"")</f>
        <v/>
      </c>
      <c r="AC116" t="str">
        <f>IF(T116=1,$N116,"")</f>
        <v/>
      </c>
      <c r="AE116" t="str">
        <f>IF(V116=1,$N116,"")</f>
        <v/>
      </c>
      <c r="AF116">
        <f>IF(W116=1,$N116,"")</f>
        <v>70385664</v>
      </c>
      <c r="AH116" t="str">
        <f>IF(Y116=1,$N116,"")</f>
        <v/>
      </c>
      <c r="AI116">
        <f t="shared" si="24"/>
        <v>70385664</v>
      </c>
      <c r="AJ116" t="str">
        <f t="shared" si="25"/>
        <v/>
      </c>
    </row>
    <row r="117" spans="12:36">
      <c r="L117" t="s">
        <v>396</v>
      </c>
      <c r="M117" t="s">
        <v>95</v>
      </c>
      <c r="N117">
        <v>31948800</v>
      </c>
      <c r="O117" t="s">
        <v>96</v>
      </c>
      <c r="P117" t="s">
        <v>97</v>
      </c>
      <c r="Q117" t="s">
        <v>98</v>
      </c>
      <c r="R117" t="str">
        <f t="shared" si="23"/>
        <v>5x</v>
      </c>
      <c r="W117">
        <v>1</v>
      </c>
      <c r="Z117">
        <v>1</v>
      </c>
      <c r="AB117" t="str">
        <f>IF(S117=1,$N117,"")</f>
        <v/>
      </c>
      <c r="AC117" t="str">
        <f>IF(T117=1,$N117,"")</f>
        <v/>
      </c>
      <c r="AE117" t="str">
        <f>IF(V117=1,$N117,"")</f>
        <v/>
      </c>
      <c r="AF117">
        <f>IF(W117=1,$N117,"")</f>
        <v>31948800</v>
      </c>
      <c r="AH117" t="str">
        <f>IF(Y117=1,$N117,"")</f>
        <v/>
      </c>
      <c r="AI117">
        <f t="shared" si="24"/>
        <v>31948800</v>
      </c>
      <c r="AJ117" t="str">
        <f t="shared" si="25"/>
        <v/>
      </c>
    </row>
    <row r="118" spans="12:36">
      <c r="L118" t="s">
        <v>396</v>
      </c>
      <c r="M118" t="s">
        <v>99</v>
      </c>
      <c r="N118">
        <v>156729344</v>
      </c>
      <c r="O118" t="s">
        <v>381</v>
      </c>
      <c r="P118" t="s">
        <v>382</v>
      </c>
      <c r="Q118" t="s">
        <v>383</v>
      </c>
      <c r="R118" t="str">
        <f t="shared" si="23"/>
        <v>5x</v>
      </c>
      <c r="Z118">
        <v>1</v>
      </c>
      <c r="AB118" t="str">
        <f>IF(S118=1,$N118,"")</f>
        <v/>
      </c>
      <c r="AC118" t="str">
        <f>IF(T118=1,$N118,"")</f>
        <v/>
      </c>
      <c r="AE118" t="str">
        <f>IF(V118=1,$N118,"")</f>
        <v/>
      </c>
      <c r="AF118" t="str">
        <f>IF(W118=1,$N118,"")</f>
        <v/>
      </c>
      <c r="AH118" t="str">
        <f>IF(Y118=1,$N118,"")</f>
        <v/>
      </c>
      <c r="AI118">
        <f t="shared" si="24"/>
        <v>156729344</v>
      </c>
      <c r="AJ118" t="str">
        <f t="shared" si="25"/>
        <v/>
      </c>
    </row>
    <row r="119" spans="12:36">
      <c r="L119" t="s">
        <v>396</v>
      </c>
      <c r="M119" t="s">
        <v>103</v>
      </c>
      <c r="N119">
        <v>312451072</v>
      </c>
      <c r="O119" t="s">
        <v>384</v>
      </c>
      <c r="P119" t="s">
        <v>385</v>
      </c>
      <c r="Q119" t="s">
        <v>383</v>
      </c>
      <c r="R119" t="str">
        <f t="shared" si="23"/>
        <v>5x</v>
      </c>
      <c r="W119">
        <v>1</v>
      </c>
      <c r="Z119">
        <v>1</v>
      </c>
      <c r="AB119" t="str">
        <f>IF(S119=1,$N119,"")</f>
        <v/>
      </c>
      <c r="AC119" t="str">
        <f>IF(T119=1,$N119,"")</f>
        <v/>
      </c>
      <c r="AE119" t="str">
        <f>IF(V119=1,$N119,"")</f>
        <v/>
      </c>
      <c r="AF119">
        <f>IF(W119=1,$N119,"")</f>
        <v>312451072</v>
      </c>
      <c r="AH119" t="str">
        <f>IF(Y119=1,$N119,"")</f>
        <v/>
      </c>
      <c r="AI119">
        <f t="shared" si="24"/>
        <v>312451072</v>
      </c>
      <c r="AJ119" t="str">
        <f t="shared" si="25"/>
        <v/>
      </c>
    </row>
    <row r="120" spans="12:36">
      <c r="L120" t="s">
        <v>396</v>
      </c>
      <c r="M120" t="s">
        <v>105</v>
      </c>
      <c r="N120">
        <v>36028416</v>
      </c>
      <c r="O120" t="s">
        <v>397</v>
      </c>
      <c r="P120" t="s">
        <v>140</v>
      </c>
      <c r="Q120" t="s">
        <v>398</v>
      </c>
      <c r="R120" t="str">
        <f t="shared" si="23"/>
        <v>5x</v>
      </c>
      <c r="W120">
        <v>1</v>
      </c>
      <c r="Z120">
        <v>1</v>
      </c>
      <c r="AB120" t="str">
        <f>IF(S120=1,$N120,"")</f>
        <v/>
      </c>
      <c r="AC120" t="str">
        <f>IF(T120=1,$N120,"")</f>
        <v/>
      </c>
      <c r="AE120" t="str">
        <f>IF(V120=1,$N120,"")</f>
        <v/>
      </c>
      <c r="AF120">
        <f>IF(W120=1,$N120,"")</f>
        <v>36028416</v>
      </c>
      <c r="AH120" t="str">
        <f>IF(Y120=1,$N120,"")</f>
        <v/>
      </c>
      <c r="AI120">
        <f t="shared" si="24"/>
        <v>36028416</v>
      </c>
      <c r="AJ120" t="str">
        <f t="shared" si="25"/>
        <v/>
      </c>
    </row>
    <row r="121" spans="12:36">
      <c r="L121" t="s">
        <v>396</v>
      </c>
      <c r="M121" t="s">
        <v>108</v>
      </c>
      <c r="N121">
        <v>526032896</v>
      </c>
      <c r="O121" t="s">
        <v>399</v>
      </c>
      <c r="P121" t="s">
        <v>400</v>
      </c>
      <c r="Q121" t="s">
        <v>401</v>
      </c>
      <c r="R121" t="str">
        <f t="shared" si="23"/>
        <v>5x</v>
      </c>
      <c r="W121">
        <v>1</v>
      </c>
      <c r="Z121">
        <v>1</v>
      </c>
      <c r="AB121" t="str">
        <f>IF(S121=1,$N121,"")</f>
        <v/>
      </c>
      <c r="AC121" t="str">
        <f>IF(T121=1,$N121,"")</f>
        <v/>
      </c>
      <c r="AE121" t="str">
        <f>IF(V121=1,$N121,"")</f>
        <v/>
      </c>
      <c r="AF121">
        <f>IF(W121=1,$N121,"")</f>
        <v>526032896</v>
      </c>
      <c r="AH121" t="str">
        <f>IF(Y121=1,$N121,"")</f>
        <v/>
      </c>
      <c r="AI121">
        <f t="shared" si="24"/>
        <v>526032896</v>
      </c>
      <c r="AJ121" t="str">
        <f t="shared" si="25"/>
        <v/>
      </c>
    </row>
    <row r="122" spans="12:36">
      <c r="L122" t="s">
        <v>396</v>
      </c>
      <c r="M122" t="s">
        <v>112</v>
      </c>
      <c r="N122">
        <v>1912143872</v>
      </c>
      <c r="O122" t="s">
        <v>402</v>
      </c>
      <c r="P122" t="s">
        <v>89</v>
      </c>
      <c r="Q122" t="s">
        <v>403</v>
      </c>
      <c r="R122" t="str">
        <f t="shared" si="23"/>
        <v>5x</v>
      </c>
      <c r="W122">
        <v>1</v>
      </c>
      <c r="Z122">
        <v>1</v>
      </c>
      <c r="AB122" t="str">
        <f>IF(S122=1,$N122,"")</f>
        <v/>
      </c>
      <c r="AC122" t="str">
        <f>IF(T122=1,$N122,"")</f>
        <v/>
      </c>
      <c r="AE122" t="str">
        <f>IF(V122=1,$N122,"")</f>
        <v/>
      </c>
      <c r="AF122">
        <f>IF(W122=1,$N122,"")</f>
        <v>1912143872</v>
      </c>
      <c r="AH122" t="str">
        <f>IF(Y122=1,$N122,"")</f>
        <v/>
      </c>
      <c r="AI122">
        <f t="shared" si="24"/>
        <v>1912143872</v>
      </c>
      <c r="AJ122" t="str">
        <f t="shared" si="25"/>
        <v/>
      </c>
    </row>
    <row r="123" spans="12:36">
      <c r="L123" t="s">
        <v>396</v>
      </c>
      <c r="M123" t="s">
        <v>116</v>
      </c>
      <c r="N123">
        <v>44326912</v>
      </c>
      <c r="O123" t="s">
        <v>335</v>
      </c>
      <c r="P123" t="s">
        <v>156</v>
      </c>
      <c r="Q123" t="s">
        <v>404</v>
      </c>
      <c r="R123" t="str">
        <f t="shared" si="23"/>
        <v>5x</v>
      </c>
      <c r="W123">
        <v>1</v>
      </c>
      <c r="Z123">
        <v>1</v>
      </c>
      <c r="AB123" t="str">
        <f>IF(S123=1,$N123,"")</f>
        <v/>
      </c>
      <c r="AC123" t="str">
        <f>IF(T123=1,$N123,"")</f>
        <v/>
      </c>
      <c r="AE123" t="str">
        <f>IF(V123=1,$N123,"")</f>
        <v/>
      </c>
      <c r="AF123">
        <f>IF(W123=1,$N123,"")</f>
        <v>44326912</v>
      </c>
      <c r="AH123" t="str">
        <f>IF(Y123=1,$N123,"")</f>
        <v/>
      </c>
      <c r="AI123">
        <f t="shared" si="24"/>
        <v>44326912</v>
      </c>
      <c r="AJ123" t="str">
        <f t="shared" si="25"/>
        <v/>
      </c>
    </row>
    <row r="124" spans="12:36">
      <c r="L124" t="s">
        <v>396</v>
      </c>
      <c r="M124" t="s">
        <v>120</v>
      </c>
      <c r="N124">
        <v>677388288</v>
      </c>
      <c r="O124" t="s">
        <v>405</v>
      </c>
      <c r="P124" t="s">
        <v>406</v>
      </c>
      <c r="Q124" t="s">
        <v>407</v>
      </c>
      <c r="R124" t="str">
        <f t="shared" si="23"/>
        <v>5x</v>
      </c>
      <c r="W124">
        <v>1</v>
      </c>
      <c r="Z124">
        <v>1</v>
      </c>
      <c r="AB124" t="str">
        <f>IF(S124=1,$N124,"")</f>
        <v/>
      </c>
      <c r="AC124" t="str">
        <f>IF(T124=1,$N124,"")</f>
        <v/>
      </c>
      <c r="AE124" t="str">
        <f>IF(V124=1,$N124,"")</f>
        <v/>
      </c>
      <c r="AF124">
        <f>IF(W124=1,$N124,"")</f>
        <v>677388288</v>
      </c>
      <c r="AH124" t="str">
        <f>IF(Y124=1,$N124,"")</f>
        <v/>
      </c>
      <c r="AI124">
        <f t="shared" si="24"/>
        <v>677388288</v>
      </c>
      <c r="AJ124" t="str">
        <f t="shared" si="25"/>
        <v/>
      </c>
    </row>
    <row r="125" spans="12:36">
      <c r="L125" t="s">
        <v>396</v>
      </c>
      <c r="M125" t="s">
        <v>73</v>
      </c>
      <c r="N125">
        <v>1564672</v>
      </c>
      <c r="O125" t="s">
        <v>408</v>
      </c>
      <c r="P125" t="s">
        <v>98</v>
      </c>
      <c r="Q125" t="s">
        <v>409</v>
      </c>
      <c r="R125" t="str">
        <f t="shared" si="23"/>
        <v>5x</v>
      </c>
      <c r="W125">
        <v>1</v>
      </c>
      <c r="Z125">
        <v>1</v>
      </c>
      <c r="AB125" t="str">
        <f>IF(S125=1,$N125,"")</f>
        <v/>
      </c>
      <c r="AC125" t="str">
        <f>IF(T125=1,$N125,"")</f>
        <v/>
      </c>
      <c r="AE125" t="str">
        <f>IF(V125=1,$N125,"")</f>
        <v/>
      </c>
      <c r="AF125">
        <f>IF(W125=1,$N125,"")</f>
        <v>1564672</v>
      </c>
      <c r="AH125" t="str">
        <f>IF(Y125=1,$N125,"")</f>
        <v/>
      </c>
      <c r="AI125">
        <f t="shared" si="24"/>
        <v>1564672</v>
      </c>
      <c r="AJ125" t="str">
        <f t="shared" si="25"/>
        <v/>
      </c>
    </row>
    <row r="126" spans="12:36">
      <c r="L126" t="s">
        <v>396</v>
      </c>
      <c r="M126" t="s">
        <v>124</v>
      </c>
      <c r="N126">
        <v>77709312</v>
      </c>
      <c r="O126" t="s">
        <v>410</v>
      </c>
      <c r="P126" t="s">
        <v>411</v>
      </c>
      <c r="Q126" t="s">
        <v>398</v>
      </c>
      <c r="R126" t="str">
        <f t="shared" si="23"/>
        <v>5x</v>
      </c>
      <c r="W126">
        <v>1</v>
      </c>
      <c r="Z126">
        <v>1</v>
      </c>
      <c r="AB126" t="str">
        <f>IF(S126=1,$N126,"")</f>
        <v/>
      </c>
      <c r="AC126" t="str">
        <f>IF(T126=1,$N126,"")</f>
        <v/>
      </c>
      <c r="AE126" t="str">
        <f>IF(V126=1,$N126,"")</f>
        <v/>
      </c>
      <c r="AF126">
        <f>IF(W126=1,$N126,"")</f>
        <v>77709312</v>
      </c>
      <c r="AH126" t="str">
        <f>IF(Y126=1,$N126,"")</f>
        <v/>
      </c>
      <c r="AI126">
        <f t="shared" si="24"/>
        <v>77709312</v>
      </c>
      <c r="AJ126" t="str">
        <f t="shared" si="25"/>
        <v/>
      </c>
    </row>
    <row r="127" spans="12:36">
      <c r="L127" t="s">
        <v>396</v>
      </c>
      <c r="M127" t="s">
        <v>126</v>
      </c>
      <c r="N127">
        <v>1228800</v>
      </c>
      <c r="O127" t="s">
        <v>412</v>
      </c>
      <c r="P127" t="s">
        <v>413</v>
      </c>
      <c r="Q127" t="s">
        <v>125</v>
      </c>
      <c r="R127" t="str">
        <f t="shared" si="23"/>
        <v>5x</v>
      </c>
      <c r="AB127" t="str">
        <f>IF(S127=1,$N127,"")</f>
        <v/>
      </c>
      <c r="AC127" t="str">
        <f>IF(T127=1,$N127,"")</f>
        <v/>
      </c>
      <c r="AE127" t="str">
        <f>IF(V127=1,$N127,"")</f>
        <v/>
      </c>
      <c r="AF127" t="str">
        <f>IF(W127=1,$N127,"")</f>
        <v/>
      </c>
      <c r="AH127" t="str">
        <f>IF(Y127=1,$N127,"")</f>
        <v/>
      </c>
      <c r="AI127" t="str">
        <f t="shared" si="24"/>
        <v/>
      </c>
      <c r="AJ127" t="str">
        <f t="shared" si="25"/>
        <v/>
      </c>
    </row>
    <row r="128" spans="12:36">
      <c r="L128" t="s">
        <v>396</v>
      </c>
      <c r="M128" t="s">
        <v>198</v>
      </c>
      <c r="N128">
        <v>63922176</v>
      </c>
      <c r="O128" t="s">
        <v>260</v>
      </c>
      <c r="P128" t="s">
        <v>146</v>
      </c>
      <c r="Q128" t="s">
        <v>398</v>
      </c>
      <c r="R128" t="str">
        <f t="shared" si="23"/>
        <v>5x</v>
      </c>
      <c r="AB128" t="str">
        <f>IF(S128=1,$N128,"")</f>
        <v/>
      </c>
      <c r="AC128" t="str">
        <f>IF(T128=1,$N128,"")</f>
        <v/>
      </c>
      <c r="AE128" t="str">
        <f>IF(V128=1,$N128,"")</f>
        <v/>
      </c>
      <c r="AF128" t="str">
        <f>IF(W128=1,$N128,"")</f>
        <v/>
      </c>
      <c r="AH128" t="str">
        <f>IF(Y128=1,$N128,"")</f>
        <v/>
      </c>
      <c r="AI128" t="str">
        <f t="shared" si="24"/>
        <v/>
      </c>
      <c r="AJ128" t="str">
        <f t="shared" si="25"/>
        <v/>
      </c>
    </row>
    <row r="129" spans="1:36">
      <c r="L129" t="s">
        <v>396</v>
      </c>
      <c r="M129" t="s">
        <v>130</v>
      </c>
      <c r="N129">
        <v>745472</v>
      </c>
      <c r="O129" t="s">
        <v>131</v>
      </c>
      <c r="P129" t="s">
        <v>132</v>
      </c>
      <c r="Q129" t="s">
        <v>111</v>
      </c>
      <c r="R129" t="str">
        <f t="shared" si="23"/>
        <v>5x</v>
      </c>
      <c r="Z129">
        <v>1</v>
      </c>
      <c r="AB129" t="str">
        <f>IF(S129=1,$N129,"")</f>
        <v/>
      </c>
      <c r="AC129" t="str">
        <f>IF(T129=1,$N129,"")</f>
        <v/>
      </c>
      <c r="AE129" t="str">
        <f>IF(V129=1,$N129,"")</f>
        <v/>
      </c>
      <c r="AF129" t="str">
        <f>IF(W129=1,$N129,"")</f>
        <v/>
      </c>
      <c r="AH129" t="str">
        <f>IF(Y129=1,$N129,"")</f>
        <v/>
      </c>
      <c r="AI129">
        <f t="shared" si="24"/>
        <v>745472</v>
      </c>
      <c r="AJ129" t="str">
        <f t="shared" si="25"/>
        <v/>
      </c>
    </row>
    <row r="130" spans="1:36">
      <c r="L130" t="s">
        <v>396</v>
      </c>
      <c r="M130" t="s">
        <v>76</v>
      </c>
      <c r="N130">
        <v>366960640</v>
      </c>
      <c r="O130" t="s">
        <v>414</v>
      </c>
      <c r="P130" t="s">
        <v>378</v>
      </c>
      <c r="Q130" t="s">
        <v>88</v>
      </c>
      <c r="R130" t="str">
        <f t="shared" ref="R130:R193" si="26">IF(ISNUMBER(SEARCH("_2x", L130)), "2x", IF(ISNUMBER(SEARCH("_5x", L130)), "5x", IF(ISNUMBER(SEARCH("_10x", L130)), "10x", "1x")))</f>
        <v>5x</v>
      </c>
      <c r="W130">
        <v>1</v>
      </c>
      <c r="Z130">
        <v>1</v>
      </c>
      <c r="AB130" t="str">
        <f>IF(S130=1,$N130,"")</f>
        <v/>
      </c>
      <c r="AC130" t="str">
        <f>IF(T130=1,$N130,"")</f>
        <v/>
      </c>
      <c r="AE130" t="str">
        <f>IF(V130=1,$N130,"")</f>
        <v/>
      </c>
      <c r="AF130">
        <f>IF(W130=1,$N130,"")</f>
        <v>366960640</v>
      </c>
      <c r="AH130" t="str">
        <f>IF(Y130=1,$N130,"")</f>
        <v/>
      </c>
      <c r="AI130">
        <f t="shared" si="24"/>
        <v>366960640</v>
      </c>
      <c r="AJ130" t="str">
        <f t="shared" si="25"/>
        <v/>
      </c>
    </row>
    <row r="131" spans="1:36">
      <c r="L131" t="s">
        <v>415</v>
      </c>
      <c r="M131" t="s">
        <v>240</v>
      </c>
      <c r="N131">
        <v>16384</v>
      </c>
      <c r="O131" t="s">
        <v>111</v>
      </c>
      <c r="P131" t="s">
        <v>134</v>
      </c>
      <c r="Q131" t="s">
        <v>110</v>
      </c>
      <c r="R131" t="str">
        <f t="shared" si="26"/>
        <v>5x</v>
      </c>
      <c r="AA131">
        <v>1</v>
      </c>
      <c r="AB131" t="str">
        <f>IF(S131=1,$N131,"")</f>
        <v/>
      </c>
      <c r="AC131" t="str">
        <f>IF(T131=1,$N131,"")</f>
        <v/>
      </c>
      <c r="AE131" t="str">
        <f>IF(V131=1,$N131,"")</f>
        <v/>
      </c>
      <c r="AF131" t="str">
        <f>IF(W131=1,$N131,"")</f>
        <v/>
      </c>
      <c r="AH131" t="str">
        <f>IF(Y131=1,$N131,"")</f>
        <v/>
      </c>
      <c r="AI131" t="str">
        <f t="shared" si="24"/>
        <v/>
      </c>
      <c r="AJ131">
        <f t="shared" si="25"/>
        <v>16384</v>
      </c>
    </row>
    <row r="132" spans="1:36">
      <c r="L132" t="s">
        <v>415</v>
      </c>
      <c r="M132" t="s">
        <v>241</v>
      </c>
      <c r="N132">
        <v>70574080</v>
      </c>
      <c r="O132" t="s">
        <v>92</v>
      </c>
      <c r="P132" t="s">
        <v>242</v>
      </c>
      <c r="Q132" t="s">
        <v>243</v>
      </c>
      <c r="R132" t="str">
        <f t="shared" si="26"/>
        <v>5x</v>
      </c>
      <c r="AA132">
        <v>1</v>
      </c>
      <c r="AB132" t="str">
        <f>IF(S132=1,$N132,"")</f>
        <v/>
      </c>
      <c r="AC132" t="str">
        <f>IF(T132=1,$N132,"")</f>
        <v/>
      </c>
      <c r="AE132" t="str">
        <f>IF(V132=1,$N132,"")</f>
        <v/>
      </c>
      <c r="AF132" t="str">
        <f>IF(W132=1,$N132,"")</f>
        <v/>
      </c>
      <c r="AH132" t="str">
        <f>IF(Y132=1,$N132,"")</f>
        <v/>
      </c>
      <c r="AI132" t="str">
        <f t="shared" si="24"/>
        <v/>
      </c>
      <c r="AJ132">
        <f t="shared" si="25"/>
        <v>70574080</v>
      </c>
    </row>
    <row r="133" spans="1:36">
      <c r="L133" t="s">
        <v>415</v>
      </c>
      <c r="M133" t="s">
        <v>244</v>
      </c>
      <c r="N133">
        <v>23977984</v>
      </c>
      <c r="O133" t="s">
        <v>245</v>
      </c>
      <c r="P133" t="s">
        <v>122</v>
      </c>
      <c r="Q133" t="s">
        <v>246</v>
      </c>
      <c r="R133" t="str">
        <f t="shared" si="26"/>
        <v>5x</v>
      </c>
      <c r="AA133">
        <v>1</v>
      </c>
      <c r="AB133" t="str">
        <f>IF(S133=1,$N133,"")</f>
        <v/>
      </c>
      <c r="AC133" t="str">
        <f>IF(T133=1,$N133,"")</f>
        <v/>
      </c>
      <c r="AE133" t="str">
        <f>IF(V133=1,$N133,"")</f>
        <v/>
      </c>
      <c r="AF133" t="str">
        <f>IF(W133=1,$N133,"")</f>
        <v/>
      </c>
      <c r="AH133" t="str">
        <f>IF(Y133=1,$N133,"")</f>
        <v/>
      </c>
      <c r="AI133" t="str">
        <f t="shared" si="24"/>
        <v/>
      </c>
      <c r="AJ133">
        <f t="shared" si="25"/>
        <v>23977984</v>
      </c>
    </row>
    <row r="134" spans="1:36">
      <c r="L134" t="s">
        <v>415</v>
      </c>
      <c r="M134" t="s">
        <v>99</v>
      </c>
      <c r="N134">
        <v>156729344</v>
      </c>
      <c r="O134" t="s">
        <v>381</v>
      </c>
      <c r="P134" t="s">
        <v>382</v>
      </c>
      <c r="Q134" t="s">
        <v>383</v>
      </c>
      <c r="R134" t="str">
        <f t="shared" si="26"/>
        <v>5x</v>
      </c>
      <c r="AA134">
        <v>1</v>
      </c>
      <c r="AB134" t="str">
        <f>IF(S134=1,$N134,"")</f>
        <v/>
      </c>
      <c r="AC134" t="str">
        <f>IF(T134=1,$N134,"")</f>
        <v/>
      </c>
      <c r="AE134" t="str">
        <f>IF(V134=1,$N134,"")</f>
        <v/>
      </c>
      <c r="AF134" t="str">
        <f>IF(W134=1,$N134,"")</f>
        <v/>
      </c>
      <c r="AH134" t="str">
        <f>IF(Y134=1,$N134,"")</f>
        <v/>
      </c>
      <c r="AI134" t="str">
        <f t="shared" si="24"/>
        <v/>
      </c>
      <c r="AJ134">
        <f t="shared" si="25"/>
        <v>156729344</v>
      </c>
    </row>
    <row r="135" spans="1:36">
      <c r="L135" t="s">
        <v>415</v>
      </c>
      <c r="M135" t="s">
        <v>103</v>
      </c>
      <c r="N135">
        <v>312451072</v>
      </c>
      <c r="O135" t="s">
        <v>384</v>
      </c>
      <c r="P135" t="s">
        <v>385</v>
      </c>
      <c r="Q135" t="s">
        <v>383</v>
      </c>
      <c r="R135" t="str">
        <f t="shared" si="26"/>
        <v>5x</v>
      </c>
      <c r="AA135">
        <v>1</v>
      </c>
      <c r="AB135" t="str">
        <f>IF(S135=1,$N135,"")</f>
        <v/>
      </c>
      <c r="AC135" t="str">
        <f>IF(T135=1,$N135,"")</f>
        <v/>
      </c>
      <c r="AE135" t="str">
        <f>IF(V135=1,$N135,"")</f>
        <v/>
      </c>
      <c r="AF135" t="str">
        <f>IF(W135=1,$N135,"")</f>
        <v/>
      </c>
      <c r="AH135" t="str">
        <f>IF(Y135=1,$N135,"")</f>
        <v/>
      </c>
      <c r="AI135" t="str">
        <f t="shared" si="24"/>
        <v/>
      </c>
      <c r="AJ135">
        <f t="shared" si="25"/>
        <v>312451072</v>
      </c>
    </row>
    <row r="136" spans="1:36">
      <c r="L136" t="s">
        <v>415</v>
      </c>
      <c r="M136" t="s">
        <v>105</v>
      </c>
      <c r="N136">
        <v>96960512</v>
      </c>
      <c r="O136" t="s">
        <v>416</v>
      </c>
      <c r="P136" t="s">
        <v>417</v>
      </c>
      <c r="Q136" t="s">
        <v>418</v>
      </c>
      <c r="R136" t="str">
        <f t="shared" si="26"/>
        <v>5x</v>
      </c>
      <c r="AA136">
        <v>1</v>
      </c>
      <c r="AB136" t="str">
        <f>IF(S136=1,$N136,"")</f>
        <v/>
      </c>
      <c r="AC136" t="str">
        <f>IF(T136=1,$N136,"")</f>
        <v/>
      </c>
      <c r="AE136" t="str">
        <f>IF(V136=1,$N136,"")</f>
        <v/>
      </c>
      <c r="AF136" t="str">
        <f>IF(W136=1,$N136,"")</f>
        <v/>
      </c>
      <c r="AH136" t="str">
        <f>IF(Y136=1,$N136,"")</f>
        <v/>
      </c>
      <c r="AI136" t="str">
        <f t="shared" si="24"/>
        <v/>
      </c>
      <c r="AJ136">
        <f t="shared" si="25"/>
        <v>96960512</v>
      </c>
    </row>
    <row r="137" spans="1:36" ht="14" customHeight="1">
      <c r="A137"/>
      <c r="B137"/>
      <c r="C137"/>
      <c r="D137"/>
      <c r="E137"/>
      <c r="F137"/>
      <c r="G137"/>
      <c r="H137"/>
      <c r="I137"/>
      <c r="J137"/>
      <c r="L137" t="s">
        <v>415</v>
      </c>
      <c r="M137" t="s">
        <v>108</v>
      </c>
      <c r="N137">
        <v>1276510208</v>
      </c>
      <c r="O137" t="s">
        <v>419</v>
      </c>
      <c r="P137" t="s">
        <v>188</v>
      </c>
      <c r="Q137" t="s">
        <v>418</v>
      </c>
      <c r="R137" t="str">
        <f t="shared" si="26"/>
        <v>5x</v>
      </c>
      <c r="AA137">
        <v>1</v>
      </c>
      <c r="AB137" t="str">
        <f>IF(S137=1,$N137,"")</f>
        <v/>
      </c>
      <c r="AC137" t="str">
        <f>IF(T137=1,$N137,"")</f>
        <v/>
      </c>
      <c r="AE137" t="str">
        <f>IF(V137=1,$N137,"")</f>
        <v/>
      </c>
      <c r="AF137" t="str">
        <f>IF(W137=1,$N137,"")</f>
        <v/>
      </c>
      <c r="AH137" t="str">
        <f>IF(Y137=1,$N137,"")</f>
        <v/>
      </c>
      <c r="AI137" t="str">
        <f t="shared" si="24"/>
        <v/>
      </c>
      <c r="AJ137">
        <f t="shared" si="25"/>
        <v>1276510208</v>
      </c>
    </row>
    <row r="138" spans="1:36" ht="14" customHeight="1">
      <c r="A138"/>
      <c r="B138"/>
      <c r="C138"/>
      <c r="D138"/>
      <c r="E138"/>
      <c r="F138"/>
      <c r="G138"/>
      <c r="H138"/>
      <c r="I138"/>
      <c r="J138"/>
      <c r="L138" t="s">
        <v>415</v>
      </c>
      <c r="M138" t="s">
        <v>112</v>
      </c>
      <c r="N138">
        <v>1174028288</v>
      </c>
      <c r="O138" t="s">
        <v>420</v>
      </c>
      <c r="P138" t="s">
        <v>137</v>
      </c>
      <c r="Q138" t="s">
        <v>421</v>
      </c>
      <c r="R138" t="str">
        <f t="shared" si="26"/>
        <v>5x</v>
      </c>
      <c r="AA138">
        <v>1</v>
      </c>
      <c r="AB138" t="str">
        <f>IF(S138=1,$N138,"")</f>
        <v/>
      </c>
      <c r="AC138" t="str">
        <f>IF(T138=1,$N138,"")</f>
        <v/>
      </c>
      <c r="AE138" t="str">
        <f>IF(V138=1,$N138,"")</f>
        <v/>
      </c>
      <c r="AF138" t="str">
        <f>IF(W138=1,$N138,"")</f>
        <v/>
      </c>
      <c r="AH138" t="str">
        <f>IF(Y138=1,$N138,"")</f>
        <v/>
      </c>
      <c r="AI138" t="str">
        <f t="shared" si="24"/>
        <v/>
      </c>
      <c r="AJ138">
        <f t="shared" si="25"/>
        <v>1174028288</v>
      </c>
    </row>
    <row r="139" spans="1:36" ht="14" customHeight="1">
      <c r="A139"/>
      <c r="B139"/>
      <c r="C139"/>
      <c r="D139"/>
      <c r="E139"/>
      <c r="F139"/>
      <c r="G139"/>
      <c r="H139"/>
      <c r="I139"/>
      <c r="J139"/>
      <c r="L139" t="s">
        <v>415</v>
      </c>
      <c r="M139" t="s">
        <v>116</v>
      </c>
      <c r="N139">
        <v>45809664</v>
      </c>
      <c r="O139" t="s">
        <v>155</v>
      </c>
      <c r="P139" t="s">
        <v>339</v>
      </c>
      <c r="Q139" t="s">
        <v>422</v>
      </c>
      <c r="R139" t="str">
        <f t="shared" si="26"/>
        <v>5x</v>
      </c>
      <c r="AA139">
        <v>1</v>
      </c>
      <c r="AB139" t="str">
        <f>IF(S139=1,$N139,"")</f>
        <v/>
      </c>
      <c r="AC139" t="str">
        <f>IF(T139=1,$N139,"")</f>
        <v/>
      </c>
      <c r="AE139" t="str">
        <f>IF(V139=1,$N139,"")</f>
        <v/>
      </c>
      <c r="AF139" t="str">
        <f>IF(W139=1,$N139,"")</f>
        <v/>
      </c>
      <c r="AH139" t="str">
        <f>IF(Y139=1,$N139,"")</f>
        <v/>
      </c>
      <c r="AI139" t="str">
        <f t="shared" si="24"/>
        <v/>
      </c>
      <c r="AJ139">
        <f t="shared" si="25"/>
        <v>45809664</v>
      </c>
    </row>
    <row r="140" spans="1:36" ht="14" customHeight="1">
      <c r="A140"/>
      <c r="B140"/>
      <c r="C140"/>
      <c r="D140"/>
      <c r="E140"/>
      <c r="F140"/>
      <c r="G140"/>
      <c r="H140"/>
      <c r="I140"/>
      <c r="J140"/>
      <c r="L140" t="s">
        <v>415</v>
      </c>
      <c r="M140" t="s">
        <v>120</v>
      </c>
      <c r="N140">
        <v>666370048</v>
      </c>
      <c r="O140" t="s">
        <v>423</v>
      </c>
      <c r="P140" t="s">
        <v>424</v>
      </c>
      <c r="Q140" t="s">
        <v>422</v>
      </c>
      <c r="R140" t="str">
        <f t="shared" si="26"/>
        <v>5x</v>
      </c>
      <c r="AA140">
        <v>1</v>
      </c>
      <c r="AB140" t="str">
        <f>IF(S140=1,$N140,"")</f>
        <v/>
      </c>
      <c r="AC140" t="str">
        <f>IF(T140=1,$N140,"")</f>
        <v/>
      </c>
      <c r="AE140" t="str">
        <f>IF(V140=1,$N140,"")</f>
        <v/>
      </c>
      <c r="AF140" t="str">
        <f>IF(W140=1,$N140,"")</f>
        <v/>
      </c>
      <c r="AH140" t="str">
        <f>IF(Y140=1,$N140,"")</f>
        <v/>
      </c>
      <c r="AI140" t="str">
        <f t="shared" si="24"/>
        <v/>
      </c>
      <c r="AJ140">
        <f t="shared" si="25"/>
        <v>666370048</v>
      </c>
    </row>
    <row r="141" spans="1:36" ht="14" customHeight="1">
      <c r="A141"/>
      <c r="B141"/>
      <c r="C141"/>
      <c r="D141"/>
      <c r="E141"/>
      <c r="F141"/>
      <c r="G141"/>
      <c r="H141"/>
      <c r="I141"/>
      <c r="J141"/>
      <c r="L141" t="s">
        <v>415</v>
      </c>
      <c r="M141" t="s">
        <v>73</v>
      </c>
      <c r="N141">
        <v>180224</v>
      </c>
      <c r="O141" t="s">
        <v>425</v>
      </c>
      <c r="P141" t="s">
        <v>426</v>
      </c>
      <c r="Q141" t="s">
        <v>125</v>
      </c>
      <c r="R141" t="str">
        <f t="shared" si="26"/>
        <v>5x</v>
      </c>
      <c r="AA141">
        <v>1</v>
      </c>
      <c r="AB141" t="str">
        <f>IF(S141=1,$N141,"")</f>
        <v/>
      </c>
      <c r="AC141" t="str">
        <f>IF(T141=1,$N141,"")</f>
        <v/>
      </c>
      <c r="AE141" t="str">
        <f>IF(V141=1,$N141,"")</f>
        <v/>
      </c>
      <c r="AF141" t="str">
        <f>IF(W141=1,$N141,"")</f>
        <v/>
      </c>
      <c r="AH141" t="str">
        <f>IF(Y141=1,$N141,"")</f>
        <v/>
      </c>
      <c r="AI141" t="str">
        <f t="shared" si="24"/>
        <v/>
      </c>
      <c r="AJ141">
        <f t="shared" si="25"/>
        <v>180224</v>
      </c>
    </row>
    <row r="142" spans="1:36" ht="14" customHeight="1">
      <c r="A142"/>
      <c r="B142"/>
      <c r="C142"/>
      <c r="D142"/>
      <c r="E142"/>
      <c r="F142"/>
      <c r="G142"/>
      <c r="H142"/>
      <c r="I142"/>
      <c r="J142"/>
      <c r="L142" t="s">
        <v>415</v>
      </c>
      <c r="M142" t="s">
        <v>258</v>
      </c>
      <c r="N142">
        <v>1359872</v>
      </c>
      <c r="O142" t="s">
        <v>427</v>
      </c>
      <c r="P142" t="s">
        <v>428</v>
      </c>
      <c r="Q142" t="s">
        <v>125</v>
      </c>
      <c r="R142" t="str">
        <f t="shared" si="26"/>
        <v>5x</v>
      </c>
      <c r="AA142">
        <v>1</v>
      </c>
      <c r="AB142" t="str">
        <f>IF(S142=1,$N142,"")</f>
        <v/>
      </c>
      <c r="AC142" t="str">
        <f>IF(T142=1,$N142,"")</f>
        <v/>
      </c>
      <c r="AE142" t="str">
        <f>IF(V142=1,$N142,"")</f>
        <v/>
      </c>
      <c r="AF142" t="str">
        <f>IF(W142=1,$N142,"")</f>
        <v/>
      </c>
      <c r="AH142" t="str">
        <f>IF(Y142=1,$N142,"")</f>
        <v/>
      </c>
      <c r="AI142" t="str">
        <f t="shared" si="24"/>
        <v/>
      </c>
      <c r="AJ142">
        <f t="shared" si="25"/>
        <v>1359872</v>
      </c>
    </row>
    <row r="143" spans="1:36" ht="14" customHeight="1">
      <c r="A143"/>
      <c r="B143"/>
      <c r="C143"/>
      <c r="D143"/>
      <c r="E143"/>
      <c r="F143"/>
      <c r="G143"/>
      <c r="H143"/>
      <c r="I143"/>
      <c r="J143"/>
      <c r="L143" t="s">
        <v>415</v>
      </c>
      <c r="M143" t="s">
        <v>130</v>
      </c>
      <c r="N143">
        <v>745472</v>
      </c>
      <c r="O143" t="s">
        <v>131</v>
      </c>
      <c r="P143" t="s">
        <v>132</v>
      </c>
      <c r="Q143" t="s">
        <v>111</v>
      </c>
      <c r="R143" t="str">
        <f t="shared" si="26"/>
        <v>5x</v>
      </c>
      <c r="AA143">
        <v>1</v>
      </c>
      <c r="AB143" t="str">
        <f>IF(S143=1,$N143,"")</f>
        <v/>
      </c>
      <c r="AC143" t="str">
        <f>IF(T143=1,$N143,"")</f>
        <v/>
      </c>
      <c r="AE143" t="str">
        <f>IF(V143=1,$N143,"")</f>
        <v/>
      </c>
      <c r="AF143" t="str">
        <f>IF(W143=1,$N143,"")</f>
        <v/>
      </c>
      <c r="AH143" t="str">
        <f>IF(Y143=1,$N143,"")</f>
        <v/>
      </c>
      <c r="AI143" t="str">
        <f t="shared" si="24"/>
        <v/>
      </c>
      <c r="AJ143">
        <f t="shared" si="25"/>
        <v>745472</v>
      </c>
    </row>
    <row r="144" spans="1:36" ht="14" customHeight="1">
      <c r="A144"/>
      <c r="B144"/>
      <c r="C144"/>
      <c r="D144"/>
      <c r="E144"/>
      <c r="F144"/>
      <c r="G144"/>
      <c r="H144"/>
      <c r="I144"/>
      <c r="J144"/>
      <c r="L144" t="s">
        <v>415</v>
      </c>
      <c r="M144" t="s">
        <v>76</v>
      </c>
      <c r="N144">
        <v>44023808</v>
      </c>
      <c r="O144" t="s">
        <v>335</v>
      </c>
      <c r="P144" t="s">
        <v>96</v>
      </c>
      <c r="Q144" t="s">
        <v>188</v>
      </c>
      <c r="R144" t="str">
        <f t="shared" si="26"/>
        <v>5x</v>
      </c>
      <c r="AA144">
        <v>1</v>
      </c>
      <c r="AB144" t="str">
        <f>IF(S144=1,$N144,"")</f>
        <v/>
      </c>
      <c r="AC144" t="str">
        <f>IF(T144=1,$N144,"")</f>
        <v/>
      </c>
      <c r="AE144" t="str">
        <f>IF(V144=1,$N144,"")</f>
        <v/>
      </c>
      <c r="AF144" t="str">
        <f>IF(W144=1,$N144,"")</f>
        <v/>
      </c>
      <c r="AH144" t="str">
        <f>IF(Y144=1,$N144,"")</f>
        <v/>
      </c>
      <c r="AI144" t="str">
        <f t="shared" si="24"/>
        <v/>
      </c>
      <c r="AJ144">
        <f t="shared" si="25"/>
        <v>44023808</v>
      </c>
    </row>
    <row r="145" spans="1:36" ht="14" customHeight="1">
      <c r="A145"/>
      <c r="B145"/>
      <c r="C145"/>
      <c r="D145"/>
      <c r="E145"/>
      <c r="F145"/>
      <c r="G145"/>
      <c r="H145"/>
      <c r="I145"/>
      <c r="J145"/>
      <c r="L145" t="s">
        <v>415</v>
      </c>
      <c r="M145" t="s">
        <v>261</v>
      </c>
      <c r="N145">
        <v>353714176</v>
      </c>
      <c r="O145" t="s">
        <v>429</v>
      </c>
      <c r="P145" t="s">
        <v>430</v>
      </c>
      <c r="Q145" t="s">
        <v>431</v>
      </c>
      <c r="R145" t="str">
        <f t="shared" si="26"/>
        <v>5x</v>
      </c>
      <c r="AA145">
        <v>1</v>
      </c>
      <c r="AB145" t="str">
        <f>IF(S145=1,$N145,"")</f>
        <v/>
      </c>
      <c r="AC145" t="str">
        <f>IF(T145=1,$N145,"")</f>
        <v/>
      </c>
      <c r="AE145" t="str">
        <f>IF(V145=1,$N145,"")</f>
        <v/>
      </c>
      <c r="AF145" t="str">
        <f>IF(W145=1,$N145,"")</f>
        <v/>
      </c>
      <c r="AH145" t="str">
        <f>IF(Y145=1,$N145,"")</f>
        <v/>
      </c>
      <c r="AI145" t="str">
        <f t="shared" si="24"/>
        <v/>
      </c>
      <c r="AJ145">
        <f t="shared" si="25"/>
        <v>353714176</v>
      </c>
    </row>
    <row r="146" spans="1:36" ht="14" customHeight="1">
      <c r="A146"/>
      <c r="B146"/>
      <c r="C146"/>
      <c r="D146"/>
      <c r="E146"/>
      <c r="F146"/>
      <c r="G146"/>
      <c r="H146"/>
      <c r="I146"/>
      <c r="J146"/>
      <c r="L146" t="s">
        <v>80</v>
      </c>
      <c r="M146" t="s">
        <v>69</v>
      </c>
      <c r="N146">
        <v>6253584384</v>
      </c>
      <c r="O146" t="s">
        <v>81</v>
      </c>
      <c r="P146" t="s">
        <v>82</v>
      </c>
      <c r="Q146" t="s">
        <v>83</v>
      </c>
      <c r="R146" t="str">
        <f t="shared" si="26"/>
        <v>10x</v>
      </c>
      <c r="S146">
        <v>1</v>
      </c>
      <c r="AB146">
        <f>IF(S146=1,$N146,"")</f>
        <v>6253584384</v>
      </c>
      <c r="AC146" t="str">
        <f>IF(T146=1,$N146,"")</f>
        <v/>
      </c>
      <c r="AE146" t="str">
        <f>IF(V146=1,$N146,"")</f>
        <v/>
      </c>
      <c r="AF146" t="str">
        <f>IF(W146=1,$N146,"")</f>
        <v/>
      </c>
      <c r="AH146" t="str">
        <f>IF(Y146=1,$N146,"")</f>
        <v/>
      </c>
      <c r="AI146" t="str">
        <f t="shared" si="24"/>
        <v/>
      </c>
      <c r="AJ146" t="str">
        <f t="shared" si="25"/>
        <v/>
      </c>
    </row>
    <row r="147" spans="1:36" ht="14" customHeight="1">
      <c r="A147"/>
      <c r="B147"/>
      <c r="C147"/>
      <c r="D147"/>
      <c r="E147"/>
      <c r="F147"/>
      <c r="G147"/>
      <c r="H147"/>
      <c r="I147"/>
      <c r="J147"/>
      <c r="L147" t="s">
        <v>80</v>
      </c>
      <c r="M147" t="s">
        <v>73</v>
      </c>
      <c r="N147">
        <v>181059584</v>
      </c>
      <c r="O147" t="s">
        <v>84</v>
      </c>
      <c r="P147" t="s">
        <v>85</v>
      </c>
      <c r="Q147" t="s">
        <v>86</v>
      </c>
      <c r="R147" t="str">
        <f t="shared" si="26"/>
        <v>10x</v>
      </c>
      <c r="S147">
        <v>1</v>
      </c>
      <c r="T147">
        <v>1</v>
      </c>
      <c r="AB147">
        <f>IF(S147=1,$N147,"")</f>
        <v>181059584</v>
      </c>
      <c r="AC147">
        <f>IF(T147=1,$N147,"")</f>
        <v>181059584</v>
      </c>
      <c r="AE147" t="str">
        <f>IF(V147=1,$N147,"")</f>
        <v/>
      </c>
      <c r="AF147" t="str">
        <f>IF(W147=1,$N147,"")</f>
        <v/>
      </c>
      <c r="AH147" t="str">
        <f>IF(Y147=1,$N147,"")</f>
        <v/>
      </c>
      <c r="AI147" t="str">
        <f t="shared" si="24"/>
        <v/>
      </c>
      <c r="AJ147" t="str">
        <f t="shared" si="25"/>
        <v/>
      </c>
    </row>
    <row r="148" spans="1:36">
      <c r="L148" t="s">
        <v>80</v>
      </c>
      <c r="M148" t="s">
        <v>76</v>
      </c>
      <c r="N148">
        <v>720314368</v>
      </c>
      <c r="O148" t="s">
        <v>87</v>
      </c>
      <c r="P148" t="s">
        <v>88</v>
      </c>
      <c r="Q148" t="s">
        <v>89</v>
      </c>
      <c r="R148" t="str">
        <f t="shared" si="26"/>
        <v>10x</v>
      </c>
      <c r="S148">
        <v>1</v>
      </c>
      <c r="AB148">
        <f>IF(S148=1,$N148,"")</f>
        <v>720314368</v>
      </c>
      <c r="AC148" t="str">
        <f>IF(T148=1,$N148,"")</f>
        <v/>
      </c>
      <c r="AE148" t="str">
        <f>IF(V148=1,$N148,"")</f>
        <v/>
      </c>
      <c r="AF148" t="str">
        <f>IF(W148=1,$N148,"")</f>
        <v/>
      </c>
      <c r="AH148" t="str">
        <f>IF(Y148=1,$N148,"")</f>
        <v/>
      </c>
      <c r="AI148" t="str">
        <f t="shared" si="24"/>
        <v/>
      </c>
      <c r="AJ148" t="str">
        <f t="shared" si="25"/>
        <v/>
      </c>
    </row>
    <row r="149" spans="1:36">
      <c r="L149" t="s">
        <v>90</v>
      </c>
      <c r="M149" t="s">
        <v>91</v>
      </c>
      <c r="N149">
        <v>70385664</v>
      </c>
      <c r="O149" t="s">
        <v>92</v>
      </c>
      <c r="P149" t="s">
        <v>93</v>
      </c>
      <c r="Q149" t="s">
        <v>94</v>
      </c>
      <c r="R149" t="str">
        <f t="shared" si="26"/>
        <v>10x</v>
      </c>
      <c r="V149">
        <v>1</v>
      </c>
      <c r="Y149">
        <v>1</v>
      </c>
      <c r="AB149" t="str">
        <f>IF(S149=1,$N149,"")</f>
        <v/>
      </c>
      <c r="AC149" t="str">
        <f>IF(T149=1,$N149,"")</f>
        <v/>
      </c>
      <c r="AE149">
        <f>IF(V149=1,$N149,"")</f>
        <v>70385664</v>
      </c>
      <c r="AF149" t="str">
        <f>IF(W149=1,$N149,"")</f>
        <v/>
      </c>
      <c r="AH149">
        <f>IF(Y149=1,$N149,"")</f>
        <v>70385664</v>
      </c>
      <c r="AI149" t="str">
        <f t="shared" si="24"/>
        <v/>
      </c>
      <c r="AJ149" t="str">
        <f t="shared" si="25"/>
        <v/>
      </c>
    </row>
    <row r="150" spans="1:36">
      <c r="L150" t="s">
        <v>90</v>
      </c>
      <c r="M150" t="s">
        <v>95</v>
      </c>
      <c r="N150">
        <v>31948800</v>
      </c>
      <c r="O150" t="s">
        <v>96</v>
      </c>
      <c r="P150" t="s">
        <v>97</v>
      </c>
      <c r="Q150" t="s">
        <v>98</v>
      </c>
      <c r="R150" t="str">
        <f t="shared" si="26"/>
        <v>10x</v>
      </c>
      <c r="V150">
        <v>1</v>
      </c>
      <c r="Y150">
        <v>1</v>
      </c>
      <c r="AB150" t="str">
        <f>IF(S150=1,$N150,"")</f>
        <v/>
      </c>
      <c r="AC150" t="str">
        <f>IF(T150=1,$N150,"")</f>
        <v/>
      </c>
      <c r="AE150">
        <f>IF(V150=1,$N150,"")</f>
        <v>31948800</v>
      </c>
      <c r="AF150" t="str">
        <f>IF(W150=1,$N150,"")</f>
        <v/>
      </c>
      <c r="AH150">
        <f>IF(Y150=1,$N150,"")</f>
        <v>31948800</v>
      </c>
      <c r="AI150" t="str">
        <f t="shared" si="24"/>
        <v/>
      </c>
      <c r="AJ150" t="str">
        <f t="shared" si="25"/>
        <v/>
      </c>
    </row>
    <row r="151" spans="1:36">
      <c r="L151" t="s">
        <v>90</v>
      </c>
      <c r="M151" t="s">
        <v>99</v>
      </c>
      <c r="N151">
        <v>315015168</v>
      </c>
      <c r="O151" t="s">
        <v>100</v>
      </c>
      <c r="P151" t="s">
        <v>101</v>
      </c>
      <c r="Q151" t="s">
        <v>102</v>
      </c>
      <c r="R151" t="str">
        <f t="shared" si="26"/>
        <v>10x</v>
      </c>
      <c r="Y151">
        <v>1</v>
      </c>
      <c r="AB151" t="str">
        <f>IF(S151=1,$N151,"")</f>
        <v/>
      </c>
      <c r="AC151" t="str">
        <f>IF(T151=1,$N151,"")</f>
        <v/>
      </c>
      <c r="AE151" t="str">
        <f>IF(V151=1,$N151,"")</f>
        <v/>
      </c>
      <c r="AF151" t="str">
        <f>IF(W151=1,$N151,"")</f>
        <v/>
      </c>
      <c r="AH151">
        <f>IF(Y151=1,$N151,"")</f>
        <v>315015168</v>
      </c>
      <c r="AI151" t="str">
        <f t="shared" si="24"/>
        <v/>
      </c>
      <c r="AJ151" t="str">
        <f t="shared" si="25"/>
        <v/>
      </c>
    </row>
    <row r="152" spans="1:36">
      <c r="L152" t="s">
        <v>90</v>
      </c>
      <c r="M152" t="s">
        <v>103</v>
      </c>
      <c r="N152">
        <v>624787456</v>
      </c>
      <c r="O152" t="s">
        <v>70</v>
      </c>
      <c r="P152" t="s">
        <v>104</v>
      </c>
      <c r="Q152" t="s">
        <v>102</v>
      </c>
      <c r="R152" t="str">
        <f t="shared" si="26"/>
        <v>10x</v>
      </c>
      <c r="V152">
        <v>1</v>
      </c>
      <c r="Y152">
        <v>1</v>
      </c>
      <c r="AB152" t="str">
        <f>IF(S152=1,$N152,"")</f>
        <v/>
      </c>
      <c r="AC152" t="str">
        <f>IF(T152=1,$N152,"")</f>
        <v/>
      </c>
      <c r="AE152">
        <f>IF(V152=1,$N152,"")</f>
        <v>624787456</v>
      </c>
      <c r="AF152" t="str">
        <f>IF(W152=1,$N152,"")</f>
        <v/>
      </c>
      <c r="AH152">
        <f>IF(Y152=1,$N152,"")</f>
        <v>624787456</v>
      </c>
      <c r="AI152" t="str">
        <f t="shared" si="24"/>
        <v/>
      </c>
      <c r="AJ152" t="str">
        <f t="shared" si="25"/>
        <v/>
      </c>
    </row>
    <row r="153" spans="1:36">
      <c r="L153" t="s">
        <v>90</v>
      </c>
      <c r="M153" t="s">
        <v>105</v>
      </c>
      <c r="N153">
        <v>73728</v>
      </c>
      <c r="O153" t="s">
        <v>106</v>
      </c>
      <c r="P153" t="s">
        <v>107</v>
      </c>
      <c r="Q153" t="s">
        <v>107</v>
      </c>
      <c r="R153" t="str">
        <f t="shared" si="26"/>
        <v>10x</v>
      </c>
      <c r="T153">
        <v>1</v>
      </c>
      <c r="V153">
        <v>1</v>
      </c>
      <c r="Y153">
        <v>1</v>
      </c>
      <c r="AB153" t="str">
        <f>IF(S153=1,$N153,"")</f>
        <v/>
      </c>
      <c r="AC153">
        <f>IF(T153=1,$N153,"")</f>
        <v>73728</v>
      </c>
      <c r="AE153">
        <f>IF(V153=1,$N153,"")</f>
        <v>73728</v>
      </c>
      <c r="AF153" t="str">
        <f>IF(W153=1,$N153,"")</f>
        <v/>
      </c>
      <c r="AH153">
        <f>IF(Y153=1,$N153,"")</f>
        <v>73728</v>
      </c>
      <c r="AI153" t="str">
        <f t="shared" si="24"/>
        <v/>
      </c>
      <c r="AJ153" t="str">
        <f t="shared" si="25"/>
        <v/>
      </c>
    </row>
    <row r="154" spans="1:36">
      <c r="L154" t="s">
        <v>90</v>
      </c>
      <c r="M154" t="s">
        <v>108</v>
      </c>
      <c r="N154">
        <v>352256</v>
      </c>
      <c r="O154" t="s">
        <v>109</v>
      </c>
      <c r="P154" t="s">
        <v>110</v>
      </c>
      <c r="Q154" t="s">
        <v>111</v>
      </c>
      <c r="R154" t="str">
        <f t="shared" si="26"/>
        <v>10x</v>
      </c>
      <c r="T154">
        <v>1</v>
      </c>
      <c r="V154">
        <v>1</v>
      </c>
      <c r="Y154">
        <v>1</v>
      </c>
      <c r="AB154" t="str">
        <f>IF(S154=1,$N154,"")</f>
        <v/>
      </c>
      <c r="AC154">
        <f>IF(T154=1,$N154,"")</f>
        <v>352256</v>
      </c>
      <c r="AE154">
        <f>IF(V154=1,$N154,"")</f>
        <v>352256</v>
      </c>
      <c r="AF154" t="str">
        <f>IF(W154=1,$N154,"")</f>
        <v/>
      </c>
      <c r="AH154">
        <f>IF(Y154=1,$N154,"")</f>
        <v>352256</v>
      </c>
      <c r="AI154" t="str">
        <f t="shared" si="24"/>
        <v/>
      </c>
      <c r="AJ154" t="str">
        <f t="shared" si="25"/>
        <v/>
      </c>
    </row>
    <row r="155" spans="1:36">
      <c r="L155" t="s">
        <v>90</v>
      </c>
      <c r="M155" t="s">
        <v>112</v>
      </c>
      <c r="N155">
        <v>3843497984</v>
      </c>
      <c r="O155" t="s">
        <v>113</v>
      </c>
      <c r="P155" t="s">
        <v>114</v>
      </c>
      <c r="Q155" t="s">
        <v>115</v>
      </c>
      <c r="R155" t="str">
        <f t="shared" si="26"/>
        <v>10x</v>
      </c>
      <c r="T155">
        <v>1</v>
      </c>
      <c r="V155">
        <v>1</v>
      </c>
      <c r="Y155">
        <v>1</v>
      </c>
      <c r="AB155" t="str">
        <f>IF(S155=1,$N155,"")</f>
        <v/>
      </c>
      <c r="AC155">
        <f>IF(T155=1,$N155,"")</f>
        <v>3843497984</v>
      </c>
      <c r="AE155">
        <f>IF(V155=1,$N155,"")</f>
        <v>3843497984</v>
      </c>
      <c r="AF155" t="str">
        <f>IF(W155=1,$N155,"")</f>
        <v/>
      </c>
      <c r="AH155">
        <f>IF(Y155=1,$N155,"")</f>
        <v>3843497984</v>
      </c>
      <c r="AI155" t="str">
        <f t="shared" si="24"/>
        <v/>
      </c>
      <c r="AJ155" t="str">
        <f t="shared" si="25"/>
        <v/>
      </c>
    </row>
    <row r="156" spans="1:36">
      <c r="L156" t="s">
        <v>90</v>
      </c>
      <c r="M156" t="s">
        <v>116</v>
      </c>
      <c r="N156">
        <v>228712448</v>
      </c>
      <c r="O156" t="s">
        <v>117</v>
      </c>
      <c r="P156" t="s">
        <v>118</v>
      </c>
      <c r="Q156" t="s">
        <v>119</v>
      </c>
      <c r="R156" t="str">
        <f t="shared" si="26"/>
        <v>10x</v>
      </c>
      <c r="T156">
        <v>1</v>
      </c>
      <c r="V156">
        <v>1</v>
      </c>
      <c r="Y156">
        <v>1</v>
      </c>
      <c r="AB156" t="str">
        <f>IF(S156=1,$N156,"")</f>
        <v/>
      </c>
      <c r="AC156">
        <f>IF(T156=1,$N156,"")</f>
        <v>228712448</v>
      </c>
      <c r="AE156">
        <f>IF(V156=1,$N156,"")</f>
        <v>228712448</v>
      </c>
      <c r="AF156" t="str">
        <f>IF(W156=1,$N156,"")</f>
        <v/>
      </c>
      <c r="AH156">
        <f>IF(Y156=1,$N156,"")</f>
        <v>228712448</v>
      </c>
      <c r="AI156" t="str">
        <f t="shared" si="24"/>
        <v/>
      </c>
      <c r="AJ156" t="str">
        <f t="shared" si="25"/>
        <v/>
      </c>
    </row>
    <row r="157" spans="1:36">
      <c r="L157" t="s">
        <v>90</v>
      </c>
      <c r="M157" t="s">
        <v>120</v>
      </c>
      <c r="N157">
        <v>2406440960</v>
      </c>
      <c r="O157" t="s">
        <v>121</v>
      </c>
      <c r="P157" t="s">
        <v>122</v>
      </c>
      <c r="Q157" t="s">
        <v>123</v>
      </c>
      <c r="R157" t="str">
        <f t="shared" si="26"/>
        <v>10x</v>
      </c>
      <c r="T157">
        <v>1</v>
      </c>
      <c r="V157">
        <v>1</v>
      </c>
      <c r="Y157">
        <v>1</v>
      </c>
      <c r="AB157" t="str">
        <f>IF(S157=1,$N157,"")</f>
        <v/>
      </c>
      <c r="AC157">
        <f>IF(T157=1,$N157,"")</f>
        <v>2406440960</v>
      </c>
      <c r="AE157">
        <f>IF(V157=1,$N157,"")</f>
        <v>2406440960</v>
      </c>
      <c r="AF157" t="str">
        <f>IF(W157=1,$N157,"")</f>
        <v/>
      </c>
      <c r="AH157">
        <f>IF(Y157=1,$N157,"")</f>
        <v>2406440960</v>
      </c>
      <c r="AI157" t="str">
        <f t="shared" si="24"/>
        <v/>
      </c>
      <c r="AJ157" t="str">
        <f t="shared" si="25"/>
        <v/>
      </c>
    </row>
    <row r="158" spans="1:36">
      <c r="L158" t="s">
        <v>90</v>
      </c>
      <c r="M158" t="s">
        <v>73</v>
      </c>
      <c r="N158">
        <v>181002240</v>
      </c>
      <c r="O158" t="s">
        <v>84</v>
      </c>
      <c r="P158" t="s">
        <v>85</v>
      </c>
      <c r="Q158" t="s">
        <v>86</v>
      </c>
      <c r="R158" t="str">
        <f t="shared" si="26"/>
        <v>10x</v>
      </c>
      <c r="V158">
        <v>1</v>
      </c>
      <c r="Y158">
        <v>1</v>
      </c>
      <c r="AB158" t="str">
        <f>IF(S158=1,$N158,"")</f>
        <v/>
      </c>
      <c r="AC158" t="str">
        <f>IF(T158=1,$N158,"")</f>
        <v/>
      </c>
      <c r="AE158">
        <f>IF(V158=1,$N158,"")</f>
        <v>181002240</v>
      </c>
      <c r="AF158" t="str">
        <f>IF(W158=1,$N158,"")</f>
        <v/>
      </c>
      <c r="AH158">
        <f>IF(Y158=1,$N158,"")</f>
        <v>181002240</v>
      </c>
      <c r="AI158" t="str">
        <f t="shared" si="24"/>
        <v/>
      </c>
      <c r="AJ158" t="str">
        <f t="shared" si="25"/>
        <v/>
      </c>
    </row>
    <row r="159" spans="1:36">
      <c r="L159" t="s">
        <v>90</v>
      </c>
      <c r="M159" t="s">
        <v>124</v>
      </c>
      <c r="N159">
        <v>73728</v>
      </c>
      <c r="O159" t="s">
        <v>106</v>
      </c>
      <c r="P159" t="s">
        <v>125</v>
      </c>
      <c r="Q159" t="s">
        <v>111</v>
      </c>
      <c r="R159" t="str">
        <f t="shared" si="26"/>
        <v>10x</v>
      </c>
      <c r="V159">
        <v>1</v>
      </c>
      <c r="Y159">
        <v>1</v>
      </c>
      <c r="AB159" t="str">
        <f>IF(S159=1,$N159,"")</f>
        <v/>
      </c>
      <c r="AC159" t="str">
        <f>IF(T159=1,$N159,"")</f>
        <v/>
      </c>
      <c r="AE159">
        <f>IF(V159=1,$N159,"")</f>
        <v>73728</v>
      </c>
      <c r="AF159" t="str">
        <f>IF(W159=1,$N159,"")</f>
        <v/>
      </c>
      <c r="AH159">
        <f>IF(Y159=1,$N159,"")</f>
        <v>73728</v>
      </c>
      <c r="AI159" t="str">
        <f t="shared" si="24"/>
        <v/>
      </c>
      <c r="AJ159" t="str">
        <f t="shared" si="25"/>
        <v/>
      </c>
    </row>
    <row r="160" spans="1:36">
      <c r="L160" t="s">
        <v>90</v>
      </c>
      <c r="M160" t="s">
        <v>126</v>
      </c>
      <c r="N160">
        <v>142548992</v>
      </c>
      <c r="O160" t="s">
        <v>127</v>
      </c>
      <c r="P160" t="s">
        <v>128</v>
      </c>
      <c r="Q160" t="s">
        <v>129</v>
      </c>
      <c r="R160" t="str">
        <f t="shared" si="26"/>
        <v>10x</v>
      </c>
      <c r="V160">
        <v>1</v>
      </c>
      <c r="AB160" t="str">
        <f>IF(S160=1,$N160,"")</f>
        <v/>
      </c>
      <c r="AC160" t="str">
        <f>IF(T160=1,$N160,"")</f>
        <v/>
      </c>
      <c r="AE160">
        <f>IF(V160=1,$N160,"")</f>
        <v>142548992</v>
      </c>
      <c r="AF160" t="str">
        <f>IF(W160=1,$N160,"")</f>
        <v/>
      </c>
      <c r="AH160" t="str">
        <f>IF(Y160=1,$N160,"")</f>
        <v/>
      </c>
      <c r="AI160" t="str">
        <f t="shared" si="24"/>
        <v/>
      </c>
      <c r="AJ160" t="str">
        <f t="shared" si="25"/>
        <v/>
      </c>
    </row>
    <row r="161" spans="12:36">
      <c r="L161" t="s">
        <v>90</v>
      </c>
      <c r="M161" t="s">
        <v>130</v>
      </c>
      <c r="N161">
        <v>745472</v>
      </c>
      <c r="O161" t="s">
        <v>131</v>
      </c>
      <c r="P161" t="s">
        <v>132</v>
      </c>
      <c r="Q161" t="s">
        <v>111</v>
      </c>
      <c r="R161" t="str">
        <f t="shared" si="26"/>
        <v>10x</v>
      </c>
      <c r="Y161">
        <v>1</v>
      </c>
      <c r="AB161" t="str">
        <f>IF(S161=1,$N161,"")</f>
        <v/>
      </c>
      <c r="AC161" t="str">
        <f>IF(T161=1,$N161,"")</f>
        <v/>
      </c>
      <c r="AE161" t="str">
        <f>IF(V161=1,$N161,"")</f>
        <v/>
      </c>
      <c r="AF161" t="str">
        <f>IF(W161=1,$N161,"")</f>
        <v/>
      </c>
      <c r="AH161">
        <f>IF(Y161=1,$N161,"")</f>
        <v>745472</v>
      </c>
      <c r="AI161" t="str">
        <f t="shared" si="24"/>
        <v/>
      </c>
      <c r="AJ161" t="str">
        <f t="shared" si="25"/>
        <v/>
      </c>
    </row>
    <row r="162" spans="12:36">
      <c r="L162" t="s">
        <v>90</v>
      </c>
      <c r="M162" t="s">
        <v>76</v>
      </c>
      <c r="N162">
        <v>720314368</v>
      </c>
      <c r="O162" t="s">
        <v>87</v>
      </c>
      <c r="P162" t="s">
        <v>88</v>
      </c>
      <c r="Q162" t="s">
        <v>89</v>
      </c>
      <c r="R162" t="str">
        <f t="shared" si="26"/>
        <v>10x</v>
      </c>
      <c r="T162">
        <v>1</v>
      </c>
      <c r="V162">
        <v>1</v>
      </c>
      <c r="Y162">
        <v>1</v>
      </c>
      <c r="AB162" t="str">
        <f>IF(S162=1,$N162,"")</f>
        <v/>
      </c>
      <c r="AC162">
        <f>IF(T162=1,$N162,"")</f>
        <v>720314368</v>
      </c>
      <c r="AE162">
        <f>IF(V162=1,$N162,"")</f>
        <v>720314368</v>
      </c>
      <c r="AF162" t="str">
        <f>IF(W162=1,$N162,"")</f>
        <v/>
      </c>
      <c r="AH162">
        <f>IF(Y162=1,$N162,"")</f>
        <v>720314368</v>
      </c>
      <c r="AI162" t="str">
        <f t="shared" si="24"/>
        <v/>
      </c>
      <c r="AJ162" t="str">
        <f t="shared" si="25"/>
        <v/>
      </c>
    </row>
    <row r="163" spans="12:36">
      <c r="L163" t="s">
        <v>90</v>
      </c>
      <c r="M163" t="s">
        <v>133</v>
      </c>
      <c r="N163">
        <v>16384</v>
      </c>
      <c r="O163" t="s">
        <v>111</v>
      </c>
      <c r="P163" t="s">
        <v>134</v>
      </c>
      <c r="Q163" t="s">
        <v>110</v>
      </c>
      <c r="R163" t="str">
        <f t="shared" si="26"/>
        <v>10x</v>
      </c>
      <c r="T163">
        <v>1</v>
      </c>
      <c r="V163">
        <v>1</v>
      </c>
      <c r="Y163">
        <v>1</v>
      </c>
      <c r="AB163" t="str">
        <f>IF(S163=1,$N163,"")</f>
        <v/>
      </c>
      <c r="AC163">
        <f>IF(T163=1,$N163,"")</f>
        <v>16384</v>
      </c>
      <c r="AE163">
        <f>IF(V163=1,$N163,"")</f>
        <v>16384</v>
      </c>
      <c r="AF163" t="str">
        <f>IF(W163=1,$N163,"")</f>
        <v/>
      </c>
      <c r="AH163">
        <f>IF(Y163=1,$N163,"")</f>
        <v>16384</v>
      </c>
      <c r="AI163" t="str">
        <f t="shared" si="24"/>
        <v/>
      </c>
      <c r="AJ163" t="str">
        <f t="shared" si="25"/>
        <v/>
      </c>
    </row>
    <row r="164" spans="12:36">
      <c r="L164" t="s">
        <v>178</v>
      </c>
      <c r="M164" t="s">
        <v>91</v>
      </c>
      <c r="N164">
        <v>70385664</v>
      </c>
      <c r="O164" t="s">
        <v>92</v>
      </c>
      <c r="P164" t="s">
        <v>93</v>
      </c>
      <c r="Q164" t="s">
        <v>94</v>
      </c>
      <c r="R164" t="str">
        <f t="shared" si="26"/>
        <v>10x</v>
      </c>
      <c r="W164">
        <v>1</v>
      </c>
      <c r="Z164">
        <v>1</v>
      </c>
      <c r="AB164" t="str">
        <f>IF(S164=1,$N164,"")</f>
        <v/>
      </c>
      <c r="AC164" t="str">
        <f>IF(T164=1,$N164,"")</f>
        <v/>
      </c>
      <c r="AE164" t="str">
        <f>IF(V164=1,$N164,"")</f>
        <v/>
      </c>
      <c r="AF164">
        <f>IF(W164=1,$N164,"")</f>
        <v>70385664</v>
      </c>
      <c r="AH164" t="str">
        <f>IF(Y164=1,$N164,"")</f>
        <v/>
      </c>
      <c r="AI164">
        <f t="shared" si="24"/>
        <v>70385664</v>
      </c>
      <c r="AJ164" t="str">
        <f t="shared" si="25"/>
        <v/>
      </c>
    </row>
    <row r="165" spans="12:36">
      <c r="L165" t="s">
        <v>178</v>
      </c>
      <c r="M165" t="s">
        <v>95</v>
      </c>
      <c r="N165">
        <v>31948800</v>
      </c>
      <c r="O165" t="s">
        <v>96</v>
      </c>
      <c r="P165" t="s">
        <v>97</v>
      </c>
      <c r="Q165" t="s">
        <v>98</v>
      </c>
      <c r="R165" t="str">
        <f t="shared" si="26"/>
        <v>10x</v>
      </c>
      <c r="W165">
        <v>1</v>
      </c>
      <c r="Z165">
        <v>1</v>
      </c>
      <c r="AB165" t="str">
        <f>IF(S165=1,$N165,"")</f>
        <v/>
      </c>
      <c r="AC165" t="str">
        <f>IF(T165=1,$N165,"")</f>
        <v/>
      </c>
      <c r="AE165" t="str">
        <f>IF(V165=1,$N165,"")</f>
        <v/>
      </c>
      <c r="AF165">
        <f>IF(W165=1,$N165,"")</f>
        <v>31948800</v>
      </c>
      <c r="AH165" t="str">
        <f>IF(Y165=1,$N165,"")</f>
        <v/>
      </c>
      <c r="AI165">
        <f t="shared" si="24"/>
        <v>31948800</v>
      </c>
      <c r="AJ165" t="str">
        <f t="shared" si="25"/>
        <v/>
      </c>
    </row>
    <row r="166" spans="12:36">
      <c r="L166" t="s">
        <v>178</v>
      </c>
      <c r="M166" t="s">
        <v>99</v>
      </c>
      <c r="N166">
        <v>315015168</v>
      </c>
      <c r="O166" t="s">
        <v>100</v>
      </c>
      <c r="P166" t="s">
        <v>101</v>
      </c>
      <c r="Q166" t="s">
        <v>102</v>
      </c>
      <c r="R166" t="str">
        <f t="shared" si="26"/>
        <v>10x</v>
      </c>
      <c r="Z166">
        <v>1</v>
      </c>
      <c r="AB166" t="str">
        <f>IF(S166=1,$N166,"")</f>
        <v/>
      </c>
      <c r="AC166" t="str">
        <f>IF(T166=1,$N166,"")</f>
        <v/>
      </c>
      <c r="AE166" t="str">
        <f>IF(V166=1,$N166,"")</f>
        <v/>
      </c>
      <c r="AF166" t="str">
        <f>IF(W166=1,$N166,"")</f>
        <v/>
      </c>
      <c r="AH166" t="str">
        <f>IF(Y166=1,$N166,"")</f>
        <v/>
      </c>
      <c r="AI166">
        <f t="shared" si="24"/>
        <v>315015168</v>
      </c>
      <c r="AJ166" t="str">
        <f t="shared" si="25"/>
        <v/>
      </c>
    </row>
    <row r="167" spans="12:36">
      <c r="L167" t="s">
        <v>178</v>
      </c>
      <c r="M167" t="s">
        <v>103</v>
      </c>
      <c r="N167">
        <v>624787456</v>
      </c>
      <c r="O167" t="s">
        <v>70</v>
      </c>
      <c r="P167" t="s">
        <v>104</v>
      </c>
      <c r="Q167" t="s">
        <v>102</v>
      </c>
      <c r="R167" t="str">
        <f t="shared" si="26"/>
        <v>10x</v>
      </c>
      <c r="W167">
        <v>1</v>
      </c>
      <c r="Z167">
        <v>1</v>
      </c>
      <c r="AB167" t="str">
        <f>IF(S167=1,$N167,"")</f>
        <v/>
      </c>
      <c r="AC167" t="str">
        <f>IF(T167=1,$N167,"")</f>
        <v/>
      </c>
      <c r="AE167" t="str">
        <f>IF(V167=1,$N167,"")</f>
        <v/>
      </c>
      <c r="AF167">
        <f>IF(W167=1,$N167,"")</f>
        <v>624787456</v>
      </c>
      <c r="AH167" t="str">
        <f>IF(Y167=1,$N167,"")</f>
        <v/>
      </c>
      <c r="AI167">
        <f t="shared" si="24"/>
        <v>624787456</v>
      </c>
      <c r="AJ167" t="str">
        <f t="shared" si="25"/>
        <v/>
      </c>
    </row>
    <row r="168" spans="12:36">
      <c r="L168" t="s">
        <v>178</v>
      </c>
      <c r="M168" t="s">
        <v>105</v>
      </c>
      <c r="N168">
        <v>72007680</v>
      </c>
      <c r="O168" t="s">
        <v>77</v>
      </c>
      <c r="P168" t="s">
        <v>179</v>
      </c>
      <c r="Q168" t="s">
        <v>144</v>
      </c>
      <c r="R168" t="str">
        <f t="shared" si="26"/>
        <v>10x</v>
      </c>
      <c r="W168">
        <v>1</v>
      </c>
      <c r="Z168">
        <v>1</v>
      </c>
      <c r="AB168" t="str">
        <f>IF(S168=1,$N168,"")</f>
        <v/>
      </c>
      <c r="AC168" t="str">
        <f>IF(T168=1,$N168,"")</f>
        <v/>
      </c>
      <c r="AE168" t="str">
        <f>IF(V168=1,$N168,"")</f>
        <v/>
      </c>
      <c r="AF168">
        <f>IF(W168=1,$N168,"")</f>
        <v>72007680</v>
      </c>
      <c r="AH168" t="str">
        <f>IF(Y168=1,$N168,"")</f>
        <v/>
      </c>
      <c r="AI168">
        <f t="shared" si="24"/>
        <v>72007680</v>
      </c>
      <c r="AJ168" t="str">
        <f t="shared" si="25"/>
        <v/>
      </c>
    </row>
    <row r="169" spans="12:36">
      <c r="L169" t="s">
        <v>178</v>
      </c>
      <c r="M169" t="s">
        <v>108</v>
      </c>
      <c r="N169">
        <v>1051934720</v>
      </c>
      <c r="O169" t="s">
        <v>180</v>
      </c>
      <c r="P169" t="s">
        <v>181</v>
      </c>
      <c r="Q169" t="s">
        <v>182</v>
      </c>
      <c r="R169" t="str">
        <f t="shared" si="26"/>
        <v>10x</v>
      </c>
      <c r="W169">
        <v>1</v>
      </c>
      <c r="Z169">
        <v>1</v>
      </c>
      <c r="AB169" t="str">
        <f>IF(S169=1,$N169,"")</f>
        <v/>
      </c>
      <c r="AC169" t="str">
        <f>IF(T169=1,$N169,"")</f>
        <v/>
      </c>
      <c r="AE169" t="str">
        <f>IF(V169=1,$N169,"")</f>
        <v/>
      </c>
      <c r="AF169">
        <f>IF(W169=1,$N169,"")</f>
        <v>1051934720</v>
      </c>
      <c r="AH169" t="str">
        <f>IF(Y169=1,$N169,"")</f>
        <v/>
      </c>
      <c r="AI169">
        <f t="shared" si="24"/>
        <v>1051934720</v>
      </c>
      <c r="AJ169" t="str">
        <f t="shared" si="25"/>
        <v/>
      </c>
    </row>
    <row r="170" spans="12:36">
      <c r="L170" t="s">
        <v>178</v>
      </c>
      <c r="M170" t="s">
        <v>112</v>
      </c>
      <c r="N170">
        <v>3824254976</v>
      </c>
      <c r="O170" t="s">
        <v>183</v>
      </c>
      <c r="P170" t="s">
        <v>114</v>
      </c>
      <c r="Q170" t="s">
        <v>104</v>
      </c>
      <c r="R170" t="str">
        <f t="shared" si="26"/>
        <v>10x</v>
      </c>
      <c r="W170">
        <v>1</v>
      </c>
      <c r="Z170">
        <v>1</v>
      </c>
      <c r="AB170" t="str">
        <f>IF(S170=1,$N170,"")</f>
        <v/>
      </c>
      <c r="AC170" t="str">
        <f>IF(T170=1,$N170,"")</f>
        <v/>
      </c>
      <c r="AE170" t="str">
        <f>IF(V170=1,$N170,"")</f>
        <v/>
      </c>
      <c r="AF170">
        <f>IF(W170=1,$N170,"")</f>
        <v>3824254976</v>
      </c>
      <c r="AH170" t="str">
        <f>IF(Y170=1,$N170,"")</f>
        <v/>
      </c>
      <c r="AI170">
        <f t="shared" si="24"/>
        <v>3824254976</v>
      </c>
      <c r="AJ170" t="str">
        <f t="shared" si="25"/>
        <v/>
      </c>
    </row>
    <row r="171" spans="12:36">
      <c r="L171" t="s">
        <v>178</v>
      </c>
      <c r="M171" t="s">
        <v>116</v>
      </c>
      <c r="N171">
        <v>88571904</v>
      </c>
      <c r="O171" t="s">
        <v>184</v>
      </c>
      <c r="P171" t="s">
        <v>185</v>
      </c>
      <c r="Q171" t="s">
        <v>186</v>
      </c>
      <c r="R171" t="str">
        <f t="shared" si="26"/>
        <v>10x</v>
      </c>
      <c r="W171">
        <v>1</v>
      </c>
      <c r="Z171">
        <v>1</v>
      </c>
      <c r="AB171" t="str">
        <f>IF(S171=1,$N171,"")</f>
        <v/>
      </c>
      <c r="AC171" t="str">
        <f>IF(T171=1,$N171,"")</f>
        <v/>
      </c>
      <c r="AE171" t="str">
        <f>IF(V171=1,$N171,"")</f>
        <v/>
      </c>
      <c r="AF171">
        <f>IF(W171=1,$N171,"")</f>
        <v>88571904</v>
      </c>
      <c r="AH171" t="str">
        <f>IF(Y171=1,$N171,"")</f>
        <v/>
      </c>
      <c r="AI171">
        <f t="shared" si="24"/>
        <v>88571904</v>
      </c>
      <c r="AJ171" t="str">
        <f t="shared" si="25"/>
        <v/>
      </c>
    </row>
    <row r="172" spans="12:36">
      <c r="L172" t="s">
        <v>178</v>
      </c>
      <c r="M172" t="s">
        <v>120</v>
      </c>
      <c r="N172">
        <v>1354637312</v>
      </c>
      <c r="O172" t="s">
        <v>187</v>
      </c>
      <c r="P172" t="s">
        <v>188</v>
      </c>
      <c r="Q172" t="s">
        <v>189</v>
      </c>
      <c r="R172" t="str">
        <f t="shared" si="26"/>
        <v>10x</v>
      </c>
      <c r="W172">
        <v>1</v>
      </c>
      <c r="Z172">
        <v>1</v>
      </c>
      <c r="AB172" t="str">
        <f>IF(S172=1,$N172,"")</f>
        <v/>
      </c>
      <c r="AC172" t="str">
        <f>IF(T172=1,$N172,"")</f>
        <v/>
      </c>
      <c r="AE172" t="str">
        <f>IF(V172=1,$N172,"")</f>
        <v/>
      </c>
      <c r="AF172">
        <f>IF(W172=1,$N172,"")</f>
        <v>1354637312</v>
      </c>
      <c r="AH172" t="str">
        <f>IF(Y172=1,$N172,"")</f>
        <v/>
      </c>
      <c r="AI172">
        <f t="shared" si="24"/>
        <v>1354637312</v>
      </c>
      <c r="AJ172" t="str">
        <f t="shared" si="25"/>
        <v/>
      </c>
    </row>
    <row r="173" spans="12:36">
      <c r="L173" t="s">
        <v>178</v>
      </c>
      <c r="M173" t="s">
        <v>73</v>
      </c>
      <c r="N173">
        <v>3055616</v>
      </c>
      <c r="O173" t="s">
        <v>190</v>
      </c>
      <c r="P173" t="s">
        <v>191</v>
      </c>
      <c r="Q173" t="s">
        <v>192</v>
      </c>
      <c r="R173" t="str">
        <f t="shared" si="26"/>
        <v>10x</v>
      </c>
      <c r="W173">
        <v>1</v>
      </c>
      <c r="Z173">
        <v>1</v>
      </c>
      <c r="AB173" t="str">
        <f>IF(S173=1,$N173,"")</f>
        <v/>
      </c>
      <c r="AC173" t="str">
        <f>IF(T173=1,$N173,"")</f>
        <v/>
      </c>
      <c r="AE173" t="str">
        <f>IF(V173=1,$N173,"")</f>
        <v/>
      </c>
      <c r="AF173">
        <f>IF(W173=1,$N173,"")</f>
        <v>3055616</v>
      </c>
      <c r="AH173" t="str">
        <f>IF(Y173=1,$N173,"")</f>
        <v/>
      </c>
      <c r="AI173">
        <f t="shared" si="24"/>
        <v>3055616</v>
      </c>
      <c r="AJ173" t="str">
        <f t="shared" si="25"/>
        <v/>
      </c>
    </row>
    <row r="174" spans="12:36">
      <c r="L174" t="s">
        <v>178</v>
      </c>
      <c r="M174" t="s">
        <v>124</v>
      </c>
      <c r="N174">
        <v>155361280</v>
      </c>
      <c r="O174" t="s">
        <v>193</v>
      </c>
      <c r="P174" t="s">
        <v>194</v>
      </c>
      <c r="Q174" t="s">
        <v>144</v>
      </c>
      <c r="R174" t="str">
        <f t="shared" si="26"/>
        <v>10x</v>
      </c>
      <c r="W174">
        <v>1</v>
      </c>
      <c r="Z174">
        <v>1</v>
      </c>
      <c r="AB174" t="str">
        <f>IF(S174=1,$N174,"")</f>
        <v/>
      </c>
      <c r="AC174" t="str">
        <f>IF(T174=1,$N174,"")</f>
        <v/>
      </c>
      <c r="AE174" t="str">
        <f>IF(V174=1,$N174,"")</f>
        <v/>
      </c>
      <c r="AF174">
        <f>IF(W174=1,$N174,"")</f>
        <v>155361280</v>
      </c>
      <c r="AH174" t="str">
        <f>IF(Y174=1,$N174,"")</f>
        <v/>
      </c>
      <c r="AI174">
        <f t="shared" si="24"/>
        <v>155361280</v>
      </c>
      <c r="AJ174" t="str">
        <f t="shared" si="25"/>
        <v/>
      </c>
    </row>
    <row r="175" spans="12:36">
      <c r="L175" t="s">
        <v>178</v>
      </c>
      <c r="M175" t="s">
        <v>126</v>
      </c>
      <c r="N175">
        <v>2400256</v>
      </c>
      <c r="O175" t="s">
        <v>195</v>
      </c>
      <c r="P175" t="s">
        <v>196</v>
      </c>
      <c r="Q175" t="s">
        <v>197</v>
      </c>
      <c r="R175" t="str">
        <f t="shared" si="26"/>
        <v>10x</v>
      </c>
      <c r="AB175" t="str">
        <f>IF(S175=1,$N175,"")</f>
        <v/>
      </c>
      <c r="AC175" t="str">
        <f>IF(T175=1,$N175,"")</f>
        <v/>
      </c>
      <c r="AE175" t="str">
        <f>IF(V175=1,$N175,"")</f>
        <v/>
      </c>
      <c r="AF175" t="str">
        <f>IF(W175=1,$N175,"")</f>
        <v/>
      </c>
      <c r="AH175" t="str">
        <f>IF(Y175=1,$N175,"")</f>
        <v/>
      </c>
      <c r="AI175" t="str">
        <f t="shared" si="24"/>
        <v/>
      </c>
      <c r="AJ175" t="str">
        <f t="shared" si="25"/>
        <v/>
      </c>
    </row>
    <row r="176" spans="12:36">
      <c r="L176" t="s">
        <v>178</v>
      </c>
      <c r="M176" t="s">
        <v>198</v>
      </c>
      <c r="N176">
        <v>127803392</v>
      </c>
      <c r="O176" t="s">
        <v>199</v>
      </c>
      <c r="P176" t="s">
        <v>200</v>
      </c>
      <c r="Q176" t="s">
        <v>144</v>
      </c>
      <c r="R176" t="str">
        <f t="shared" si="26"/>
        <v>10x</v>
      </c>
      <c r="AB176" t="str">
        <f>IF(S176=1,$N176,"")</f>
        <v/>
      </c>
      <c r="AC176" t="str">
        <f>IF(T176=1,$N176,"")</f>
        <v/>
      </c>
      <c r="AE176" t="str">
        <f>IF(V176=1,$N176,"")</f>
        <v/>
      </c>
      <c r="AF176" t="str">
        <f>IF(W176=1,$N176,"")</f>
        <v/>
      </c>
      <c r="AH176" t="str">
        <f>IF(Y176=1,$N176,"")</f>
        <v/>
      </c>
      <c r="AI176" t="str">
        <f t="shared" si="24"/>
        <v/>
      </c>
      <c r="AJ176" t="str">
        <f t="shared" si="25"/>
        <v/>
      </c>
    </row>
    <row r="177" spans="12:36">
      <c r="L177" t="s">
        <v>178</v>
      </c>
      <c r="M177" t="s">
        <v>130</v>
      </c>
      <c r="N177">
        <v>745472</v>
      </c>
      <c r="O177" t="s">
        <v>131</v>
      </c>
      <c r="P177" t="s">
        <v>132</v>
      </c>
      <c r="Q177" t="s">
        <v>111</v>
      </c>
      <c r="R177" t="str">
        <f t="shared" si="26"/>
        <v>10x</v>
      </c>
      <c r="Z177">
        <v>1</v>
      </c>
      <c r="AB177" t="str">
        <f>IF(S177=1,$N177,"")</f>
        <v/>
      </c>
      <c r="AC177" t="str">
        <f>IF(T177=1,$N177,"")</f>
        <v/>
      </c>
      <c r="AE177" t="str">
        <f>IF(V177=1,$N177,"")</f>
        <v/>
      </c>
      <c r="AF177" t="str">
        <f>IF(W177=1,$N177,"")</f>
        <v/>
      </c>
      <c r="AH177" t="str">
        <f>IF(Y177=1,$N177,"")</f>
        <v/>
      </c>
      <c r="AI177">
        <f t="shared" si="24"/>
        <v>745472</v>
      </c>
      <c r="AJ177" t="str">
        <f t="shared" si="25"/>
        <v/>
      </c>
    </row>
    <row r="178" spans="12:36">
      <c r="L178" t="s">
        <v>178</v>
      </c>
      <c r="M178" t="s">
        <v>76</v>
      </c>
      <c r="N178">
        <v>733732864</v>
      </c>
      <c r="O178" t="s">
        <v>201</v>
      </c>
      <c r="P178" t="s">
        <v>88</v>
      </c>
      <c r="Q178" t="s">
        <v>96</v>
      </c>
      <c r="R178" t="str">
        <f t="shared" si="26"/>
        <v>10x</v>
      </c>
      <c r="W178">
        <v>1</v>
      </c>
      <c r="Z178">
        <v>1</v>
      </c>
      <c r="AB178" t="str">
        <f>IF(S178=1,$N178,"")</f>
        <v/>
      </c>
      <c r="AC178" t="str">
        <f>IF(T178=1,$N178,"")</f>
        <v/>
      </c>
      <c r="AE178" t="str">
        <f>IF(V178=1,$N178,"")</f>
        <v/>
      </c>
      <c r="AF178">
        <f>IF(W178=1,$N178,"")</f>
        <v>733732864</v>
      </c>
      <c r="AH178" t="str">
        <f>IF(Y178=1,$N178,"")</f>
        <v/>
      </c>
      <c r="AI178">
        <f t="shared" ref="AI178:AI185" si="27">IF(Z178=1,$N178,"")</f>
        <v>733732864</v>
      </c>
      <c r="AJ178" t="str">
        <f t="shared" ref="AJ178:AJ185" si="28">IF(AA178=1,$N178,"")</f>
        <v/>
      </c>
    </row>
    <row r="179" spans="12:36">
      <c r="L179" t="s">
        <v>239</v>
      </c>
      <c r="M179" t="s">
        <v>240</v>
      </c>
      <c r="N179">
        <v>16384</v>
      </c>
      <c r="O179" t="s">
        <v>111</v>
      </c>
      <c r="P179" t="s">
        <v>134</v>
      </c>
      <c r="Q179" t="s">
        <v>110</v>
      </c>
      <c r="R179" t="str">
        <f t="shared" si="26"/>
        <v>10x</v>
      </c>
      <c r="AA179">
        <v>1</v>
      </c>
      <c r="AB179" t="str">
        <f>IF(S179=1,$N179,"")</f>
        <v/>
      </c>
      <c r="AC179" t="str">
        <f>IF(T179=1,$N179,"")</f>
        <v/>
      </c>
      <c r="AE179" t="str">
        <f>IF(V179=1,$N179,"")</f>
        <v/>
      </c>
      <c r="AF179" t="str">
        <f>IF(W179=1,$N179,"")</f>
        <v/>
      </c>
      <c r="AH179" t="str">
        <f>IF(Y179=1,$N179,"")</f>
        <v/>
      </c>
      <c r="AI179" t="str">
        <f t="shared" si="27"/>
        <v/>
      </c>
      <c r="AJ179">
        <f t="shared" si="28"/>
        <v>16384</v>
      </c>
    </row>
    <row r="180" spans="12:36">
      <c r="L180" t="s">
        <v>239</v>
      </c>
      <c r="M180" t="s">
        <v>241</v>
      </c>
      <c r="N180">
        <v>70574080</v>
      </c>
      <c r="O180" t="s">
        <v>92</v>
      </c>
      <c r="P180" t="s">
        <v>242</v>
      </c>
      <c r="Q180" t="s">
        <v>243</v>
      </c>
      <c r="R180" t="str">
        <f t="shared" si="26"/>
        <v>10x</v>
      </c>
      <c r="AA180">
        <v>1</v>
      </c>
      <c r="AB180" t="str">
        <f>IF(S180=1,$N180,"")</f>
        <v/>
      </c>
      <c r="AC180" t="str">
        <f>IF(T180=1,$N180,"")</f>
        <v/>
      </c>
      <c r="AE180" t="str">
        <f>IF(V180=1,$N180,"")</f>
        <v/>
      </c>
      <c r="AF180" t="str">
        <f>IF(W180=1,$N180,"")</f>
        <v/>
      </c>
      <c r="AH180" t="str">
        <f>IF(Y180=1,$N180,"")</f>
        <v/>
      </c>
      <c r="AI180" t="str">
        <f t="shared" si="27"/>
        <v/>
      </c>
      <c r="AJ180">
        <f t="shared" si="28"/>
        <v>70574080</v>
      </c>
    </row>
    <row r="181" spans="12:36">
      <c r="L181" t="s">
        <v>239</v>
      </c>
      <c r="M181" t="s">
        <v>244</v>
      </c>
      <c r="N181">
        <v>23977984</v>
      </c>
      <c r="O181" t="s">
        <v>245</v>
      </c>
      <c r="P181" t="s">
        <v>122</v>
      </c>
      <c r="Q181" t="s">
        <v>246</v>
      </c>
      <c r="R181" t="str">
        <f t="shared" si="26"/>
        <v>10x</v>
      </c>
      <c r="AA181">
        <v>1</v>
      </c>
      <c r="AB181" t="str">
        <f>IF(S181=1,$N181,"")</f>
        <v/>
      </c>
      <c r="AC181" t="str">
        <f>IF(T181=1,$N181,"")</f>
        <v/>
      </c>
      <c r="AE181" t="str">
        <f>IF(V181=1,$N181,"")</f>
        <v/>
      </c>
      <c r="AF181" t="str">
        <f>IF(W181=1,$N181,"")</f>
        <v/>
      </c>
      <c r="AH181" t="str">
        <f>IF(Y181=1,$N181,"")</f>
        <v/>
      </c>
      <c r="AI181" t="str">
        <f t="shared" si="27"/>
        <v/>
      </c>
      <c r="AJ181">
        <f t="shared" si="28"/>
        <v>23977984</v>
      </c>
    </row>
    <row r="182" spans="12:36">
      <c r="L182" t="s">
        <v>239</v>
      </c>
      <c r="M182" t="s">
        <v>99</v>
      </c>
      <c r="N182">
        <v>315015168</v>
      </c>
      <c r="O182" t="s">
        <v>100</v>
      </c>
      <c r="P182" t="s">
        <v>101</v>
      </c>
      <c r="Q182" t="s">
        <v>102</v>
      </c>
      <c r="R182" t="str">
        <f t="shared" si="26"/>
        <v>10x</v>
      </c>
      <c r="AA182">
        <v>1</v>
      </c>
      <c r="AB182" t="str">
        <f>IF(S182=1,$N182,"")</f>
        <v/>
      </c>
      <c r="AC182" t="str">
        <f>IF(T182=1,$N182,"")</f>
        <v/>
      </c>
      <c r="AE182" t="str">
        <f>IF(V182=1,$N182,"")</f>
        <v/>
      </c>
      <c r="AF182" t="str">
        <f>IF(W182=1,$N182,"")</f>
        <v/>
      </c>
      <c r="AH182" t="str">
        <f>IF(Y182=1,$N182,"")</f>
        <v/>
      </c>
      <c r="AI182" t="str">
        <f t="shared" si="27"/>
        <v/>
      </c>
      <c r="AJ182">
        <f t="shared" si="28"/>
        <v>315015168</v>
      </c>
    </row>
    <row r="183" spans="12:36">
      <c r="L183" t="s">
        <v>239</v>
      </c>
      <c r="M183" t="s">
        <v>103</v>
      </c>
      <c r="N183">
        <v>624787456</v>
      </c>
      <c r="O183" t="s">
        <v>70</v>
      </c>
      <c r="P183" t="s">
        <v>104</v>
      </c>
      <c r="Q183" t="s">
        <v>102</v>
      </c>
      <c r="R183" t="str">
        <f t="shared" si="26"/>
        <v>10x</v>
      </c>
      <c r="AA183">
        <v>1</v>
      </c>
      <c r="AB183" t="str">
        <f>IF(S183=1,$N183,"")</f>
        <v/>
      </c>
      <c r="AC183" t="str">
        <f>IF(T183=1,$N183,"")</f>
        <v/>
      </c>
      <c r="AE183" t="str">
        <f>IF(V183=1,$N183,"")</f>
        <v/>
      </c>
      <c r="AF183" t="str">
        <f>IF(W183=1,$N183,"")</f>
        <v/>
      </c>
      <c r="AH183" t="str">
        <f>IF(Y183=1,$N183,"")</f>
        <v/>
      </c>
      <c r="AI183" t="str">
        <f t="shared" si="27"/>
        <v/>
      </c>
      <c r="AJ183">
        <f t="shared" si="28"/>
        <v>624787456</v>
      </c>
    </row>
    <row r="184" spans="12:36">
      <c r="L184" t="s">
        <v>239</v>
      </c>
      <c r="M184" t="s">
        <v>105</v>
      </c>
      <c r="N184">
        <v>193863680</v>
      </c>
      <c r="O184" t="s">
        <v>247</v>
      </c>
      <c r="P184" t="s">
        <v>248</v>
      </c>
      <c r="Q184" t="s">
        <v>249</v>
      </c>
      <c r="R184" t="str">
        <f t="shared" si="26"/>
        <v>10x</v>
      </c>
      <c r="AA184">
        <v>1</v>
      </c>
      <c r="AB184" t="str">
        <f>IF(S184=1,$N184,"")</f>
        <v/>
      </c>
      <c r="AC184" t="str">
        <f>IF(T184=1,$N184,"")</f>
        <v/>
      </c>
      <c r="AE184" t="str">
        <f>IF(V184=1,$N184,"")</f>
        <v/>
      </c>
      <c r="AF184" t="str">
        <f>IF(W184=1,$N184,"")</f>
        <v/>
      </c>
      <c r="AH184" t="str">
        <f>IF(Y184=1,$N184,"")</f>
        <v/>
      </c>
      <c r="AI184" t="str">
        <f t="shared" si="27"/>
        <v/>
      </c>
      <c r="AJ184">
        <f t="shared" si="28"/>
        <v>193863680</v>
      </c>
    </row>
    <row r="185" spans="12:36">
      <c r="L185" t="s">
        <v>239</v>
      </c>
      <c r="M185" t="s">
        <v>108</v>
      </c>
      <c r="N185">
        <v>2552848384</v>
      </c>
      <c r="O185" t="s">
        <v>250</v>
      </c>
      <c r="P185" t="s">
        <v>245</v>
      </c>
      <c r="Q185" t="s">
        <v>249</v>
      </c>
      <c r="R185" t="str">
        <f t="shared" si="26"/>
        <v>10x</v>
      </c>
      <c r="AA185">
        <v>1</v>
      </c>
      <c r="AB185" t="str">
        <f>IF(S185=1,$N185,"")</f>
        <v/>
      </c>
      <c r="AC185" t="str">
        <f>IF(T185=1,$N185,"")</f>
        <v/>
      </c>
      <c r="AE185" t="str">
        <f>IF(V185=1,$N185,"")</f>
        <v/>
      </c>
      <c r="AF185" t="str">
        <f>IF(W185=1,$N185,"")</f>
        <v/>
      </c>
      <c r="AH185" t="str">
        <f>IF(Y185=1,$N185,"")</f>
        <v/>
      </c>
      <c r="AI185" t="str">
        <f t="shared" si="27"/>
        <v/>
      </c>
      <c r="AJ185">
        <f t="shared" si="28"/>
        <v>2552848384</v>
      </c>
    </row>
    <row r="186" spans="12:36">
      <c r="L186" t="s">
        <v>239</v>
      </c>
      <c r="M186" t="s">
        <v>112</v>
      </c>
      <c r="N186">
        <v>2347925504</v>
      </c>
      <c r="O186" t="s">
        <v>251</v>
      </c>
      <c r="P186" t="s">
        <v>122</v>
      </c>
      <c r="Q186" t="s">
        <v>119</v>
      </c>
      <c r="R186" t="str">
        <f t="shared" si="26"/>
        <v>10x</v>
      </c>
      <c r="AA186">
        <v>1</v>
      </c>
      <c r="AB186" t="str">
        <f>IF(S186=1,$N186,"")</f>
        <v/>
      </c>
      <c r="AC186" t="str">
        <f>IF(T186=1,$N186,"")</f>
        <v/>
      </c>
      <c r="AE186" t="str">
        <f>IF(V186=1,$N186,"")</f>
        <v/>
      </c>
      <c r="AF186" t="str">
        <f>IF(W186=1,$N186,"")</f>
        <v/>
      </c>
      <c r="AH186" t="str">
        <f>IF(Y186=1,$N186,"")</f>
        <v/>
      </c>
      <c r="AI186" t="str">
        <f t="shared" ref="AI186:AI193" si="29">IF(Z186=1,$N186,"")</f>
        <v/>
      </c>
      <c r="AJ186">
        <f t="shared" ref="AJ186:AJ193" si="30">IF(AA186=1,$N186,"")</f>
        <v>2347925504</v>
      </c>
    </row>
    <row r="187" spans="12:36">
      <c r="L187" t="s">
        <v>239</v>
      </c>
      <c r="M187" t="s">
        <v>116</v>
      </c>
      <c r="N187">
        <v>91537408</v>
      </c>
      <c r="O187" t="s">
        <v>252</v>
      </c>
      <c r="P187" t="s">
        <v>253</v>
      </c>
      <c r="Q187" t="s">
        <v>254</v>
      </c>
      <c r="R187" t="str">
        <f t="shared" si="26"/>
        <v>10x</v>
      </c>
      <c r="AA187">
        <v>1</v>
      </c>
      <c r="AB187" t="str">
        <f>IF(S187=1,$N187,"")</f>
        <v/>
      </c>
      <c r="AC187" t="str">
        <f>IF(T187=1,$N187,"")</f>
        <v/>
      </c>
      <c r="AE187" t="str">
        <f>IF(V187=1,$N187,"")</f>
        <v/>
      </c>
      <c r="AF187" t="str">
        <f>IF(W187=1,$N187,"")</f>
        <v/>
      </c>
      <c r="AH187" t="str">
        <f>IF(Y187=1,$N187,"")</f>
        <v/>
      </c>
      <c r="AI187" t="str">
        <f t="shared" si="29"/>
        <v/>
      </c>
      <c r="AJ187">
        <f t="shared" si="30"/>
        <v>91537408</v>
      </c>
    </row>
    <row r="188" spans="12:36">
      <c r="L188" t="s">
        <v>239</v>
      </c>
      <c r="M188" t="s">
        <v>120</v>
      </c>
      <c r="N188">
        <v>1332617216</v>
      </c>
      <c r="O188" t="s">
        <v>255</v>
      </c>
      <c r="P188" t="s">
        <v>188</v>
      </c>
      <c r="Q188" t="s">
        <v>254</v>
      </c>
      <c r="R188" t="str">
        <f t="shared" si="26"/>
        <v>10x</v>
      </c>
      <c r="AA188">
        <v>1</v>
      </c>
      <c r="AB188" t="str">
        <f>IF(S188=1,$N188,"")</f>
        <v/>
      </c>
      <c r="AC188" t="str">
        <f>IF(T188=1,$N188,"")</f>
        <v/>
      </c>
      <c r="AE188" t="str">
        <f>IF(V188=1,$N188,"")</f>
        <v/>
      </c>
      <c r="AF188" t="str">
        <f>IF(W188=1,$N188,"")</f>
        <v/>
      </c>
      <c r="AH188" t="str">
        <f>IF(Y188=1,$N188,"")</f>
        <v/>
      </c>
      <c r="AI188" t="str">
        <f t="shared" si="29"/>
        <v/>
      </c>
      <c r="AJ188">
        <f t="shared" si="30"/>
        <v>1332617216</v>
      </c>
    </row>
    <row r="189" spans="12:36">
      <c r="L189" t="s">
        <v>239</v>
      </c>
      <c r="M189" t="s">
        <v>73</v>
      </c>
      <c r="N189">
        <v>294912</v>
      </c>
      <c r="O189" t="s">
        <v>256</v>
      </c>
      <c r="P189" t="s">
        <v>257</v>
      </c>
      <c r="Q189" t="s">
        <v>197</v>
      </c>
      <c r="R189" t="str">
        <f t="shared" si="26"/>
        <v>10x</v>
      </c>
      <c r="AA189">
        <v>1</v>
      </c>
      <c r="AB189" t="str">
        <f>IF(S189=1,$N189,"")</f>
        <v/>
      </c>
      <c r="AC189" t="str">
        <f>IF(T189=1,$N189,"")</f>
        <v/>
      </c>
      <c r="AE189" t="str">
        <f>IF(V189=1,$N189,"")</f>
        <v/>
      </c>
      <c r="AF189" t="str">
        <f>IF(W189=1,$N189,"")</f>
        <v/>
      </c>
      <c r="AH189" t="str">
        <f>IF(Y189=1,$N189,"")</f>
        <v/>
      </c>
      <c r="AI189" t="str">
        <f t="shared" si="29"/>
        <v/>
      </c>
      <c r="AJ189">
        <f t="shared" si="30"/>
        <v>294912</v>
      </c>
    </row>
    <row r="190" spans="12:36">
      <c r="L190" t="s">
        <v>239</v>
      </c>
      <c r="M190" t="s">
        <v>258</v>
      </c>
      <c r="N190">
        <v>2662400</v>
      </c>
      <c r="O190" t="s">
        <v>150</v>
      </c>
      <c r="P190" t="s">
        <v>259</v>
      </c>
      <c r="Q190" t="s">
        <v>197</v>
      </c>
      <c r="R190" t="str">
        <f t="shared" si="26"/>
        <v>10x</v>
      </c>
      <c r="AA190">
        <v>1</v>
      </c>
      <c r="AB190" t="str">
        <f>IF(S190=1,$N190,"")</f>
        <v/>
      </c>
      <c r="AC190" t="str">
        <f>IF(T190=1,$N190,"")</f>
        <v/>
      </c>
      <c r="AE190" t="str">
        <f>IF(V190=1,$N190,"")</f>
        <v/>
      </c>
      <c r="AF190" t="str">
        <f>IF(W190=1,$N190,"")</f>
        <v/>
      </c>
      <c r="AH190" t="str">
        <f>IF(Y190=1,$N190,"")</f>
        <v/>
      </c>
      <c r="AI190" t="str">
        <f t="shared" si="29"/>
        <v/>
      </c>
      <c r="AJ190">
        <f t="shared" si="30"/>
        <v>2662400</v>
      </c>
    </row>
    <row r="191" spans="12:36">
      <c r="L191" t="s">
        <v>239</v>
      </c>
      <c r="M191" t="s">
        <v>130</v>
      </c>
      <c r="N191">
        <v>745472</v>
      </c>
      <c r="O191" t="s">
        <v>131</v>
      </c>
      <c r="P191" t="s">
        <v>132</v>
      </c>
      <c r="Q191" t="s">
        <v>111</v>
      </c>
      <c r="R191" t="str">
        <f t="shared" si="26"/>
        <v>10x</v>
      </c>
      <c r="AA191">
        <v>1</v>
      </c>
      <c r="AB191" t="str">
        <f>IF(S191=1,$N191,"")</f>
        <v/>
      </c>
      <c r="AC191" t="str">
        <f>IF(T191=1,$N191,"")</f>
        <v/>
      </c>
      <c r="AE191" t="str">
        <f>IF(V191=1,$N191,"")</f>
        <v/>
      </c>
      <c r="AF191" t="str">
        <f>IF(W191=1,$N191,"")</f>
        <v/>
      </c>
      <c r="AH191" t="str">
        <f>IF(Y191=1,$N191,"")</f>
        <v/>
      </c>
      <c r="AI191" t="str">
        <f t="shared" si="29"/>
        <v/>
      </c>
      <c r="AJ191">
        <f t="shared" si="30"/>
        <v>745472</v>
      </c>
    </row>
    <row r="192" spans="12:36">
      <c r="L192" t="s">
        <v>239</v>
      </c>
      <c r="M192" t="s">
        <v>76</v>
      </c>
      <c r="N192">
        <v>87719936</v>
      </c>
      <c r="O192" t="s">
        <v>184</v>
      </c>
      <c r="P192" t="s">
        <v>260</v>
      </c>
      <c r="Q192" t="s">
        <v>245</v>
      </c>
      <c r="R192" t="str">
        <f t="shared" si="26"/>
        <v>10x</v>
      </c>
      <c r="AA192">
        <v>1</v>
      </c>
      <c r="AB192" t="str">
        <f>IF(S192=1,$N192,"")</f>
        <v/>
      </c>
      <c r="AC192" t="str">
        <f>IF(T192=1,$N192,"")</f>
        <v/>
      </c>
      <c r="AE192" t="str">
        <f>IF(V192=1,$N192,"")</f>
        <v/>
      </c>
      <c r="AF192" t="str">
        <f>IF(W192=1,$N192,"")</f>
        <v/>
      </c>
      <c r="AH192" t="str">
        <f>IF(Y192=1,$N192,"")</f>
        <v/>
      </c>
      <c r="AI192" t="str">
        <f t="shared" si="29"/>
        <v/>
      </c>
      <c r="AJ192">
        <f t="shared" si="30"/>
        <v>87719936</v>
      </c>
    </row>
    <row r="193" spans="1:36">
      <c r="L193" t="s">
        <v>239</v>
      </c>
      <c r="M193" t="s">
        <v>261</v>
      </c>
      <c r="N193">
        <v>707330048</v>
      </c>
      <c r="O193" t="s">
        <v>262</v>
      </c>
      <c r="P193" t="s">
        <v>176</v>
      </c>
      <c r="Q193" t="s">
        <v>263</v>
      </c>
      <c r="R193" t="str">
        <f t="shared" si="26"/>
        <v>10x</v>
      </c>
      <c r="AA193">
        <v>1</v>
      </c>
      <c r="AB193" t="str">
        <f t="shared" ref="AB193" si="31">IF(S193=1,$N193,"")</f>
        <v/>
      </c>
      <c r="AC193" t="str">
        <f t="shared" ref="AC193" si="32">IF(T193=1,$N193,"")</f>
        <v/>
      </c>
      <c r="AD193" t="str">
        <f t="shared" ref="AD193" si="33">IF(U193=1,$N193,"")</f>
        <v/>
      </c>
      <c r="AE193" t="str">
        <f t="shared" ref="AE193" si="34">IF(V193=1,$N193,"")</f>
        <v/>
      </c>
      <c r="AF193" t="str">
        <f t="shared" ref="AF193" si="35">IF(W193=1,$N193,"")</f>
        <v/>
      </c>
      <c r="AG193" t="str">
        <f t="shared" ref="AG193" si="36">IF(X193=1,$N193,"")</f>
        <v/>
      </c>
      <c r="AH193" t="str">
        <f t="shared" ref="AH193" si="37">IF(Y193=1,$N193,"")</f>
        <v/>
      </c>
      <c r="AI193" t="str">
        <f t="shared" si="29"/>
        <v/>
      </c>
      <c r="AJ193">
        <f t="shared" si="30"/>
        <v>707330048</v>
      </c>
    </row>
    <row r="194" spans="1:36" hidden="1">
      <c r="L194" t="s">
        <v>297</v>
      </c>
      <c r="M194" t="s">
        <v>69</v>
      </c>
      <c r="N194">
        <v>24576</v>
      </c>
      <c r="O194" t="s">
        <v>291</v>
      </c>
      <c r="P194" t="s">
        <v>134</v>
      </c>
      <c r="Q194" t="s">
        <v>111</v>
      </c>
      <c r="R194" t="str">
        <f t="shared" ref="R194:R206" si="38">IF(ISNUMBER(SEARCH("_2x", L194)), "2x", IF(ISNUMBER(SEARCH("_5x", L194)), "5x", IF(ISNUMBER(SEARCH("_10x", L194)), "10x", "1x")))</f>
        <v>1x</v>
      </c>
      <c r="AA194">
        <v>1</v>
      </c>
      <c r="AB194" t="str">
        <f>IF(S194=1,$N194,"")</f>
        <v/>
      </c>
      <c r="AC194" t="str">
        <f>IF(T194=1,$N194,"")</f>
        <v/>
      </c>
      <c r="AE194" t="str">
        <f>IF(V194=1,$N194,"")</f>
        <v/>
      </c>
      <c r="AF194" t="str">
        <f>IF(W194=1,$N194,"")</f>
        <v/>
      </c>
      <c r="AH194" t="str">
        <f>IF(Y194=1,$N194,"")</f>
        <v/>
      </c>
      <c r="AI194" t="str">
        <f t="shared" ref="AI194:AI195" si="39">IF(Z194=1,$N194,"")</f>
        <v/>
      </c>
      <c r="AJ194">
        <f t="shared" ref="AJ194:AJ195" si="40">IF(AA194=1,$N194,"")</f>
        <v>24576</v>
      </c>
    </row>
    <row r="195" spans="1:36" hidden="1">
      <c r="L195" t="s">
        <v>297</v>
      </c>
      <c r="M195" t="s">
        <v>105</v>
      </c>
      <c r="N195">
        <v>16384</v>
      </c>
      <c r="O195" t="s">
        <v>111</v>
      </c>
      <c r="P195" t="s">
        <v>134</v>
      </c>
      <c r="Q195" t="s">
        <v>110</v>
      </c>
      <c r="R195" t="str">
        <f t="shared" si="38"/>
        <v>1x</v>
      </c>
      <c r="AA195">
        <v>1</v>
      </c>
      <c r="AB195" t="str">
        <f>IF(S195=1,$N195,"")</f>
        <v/>
      </c>
      <c r="AC195" t="str">
        <f>IF(T195=1,$N195,"")</f>
        <v/>
      </c>
      <c r="AE195" t="str">
        <f>IF(V195=1,$N195,"")</f>
        <v/>
      </c>
      <c r="AF195" t="str">
        <f>IF(W195=1,$N195,"")</f>
        <v/>
      </c>
      <c r="AH195" t="str">
        <f>IF(Y195=1,$N195,"")</f>
        <v/>
      </c>
      <c r="AI195" t="str">
        <f t="shared" si="39"/>
        <v/>
      </c>
      <c r="AJ195">
        <f t="shared" si="40"/>
        <v>16384</v>
      </c>
    </row>
    <row r="196" spans="1:36" ht="14" hidden="1" customHeight="1">
      <c r="A196"/>
      <c r="B196"/>
      <c r="C196"/>
      <c r="D196"/>
      <c r="E196"/>
      <c r="F196"/>
      <c r="G196"/>
      <c r="H196"/>
      <c r="I196"/>
      <c r="J196"/>
      <c r="L196" t="s">
        <v>297</v>
      </c>
      <c r="M196" t="s">
        <v>108</v>
      </c>
      <c r="N196">
        <v>16384</v>
      </c>
      <c r="O196" t="s">
        <v>111</v>
      </c>
      <c r="P196" t="s">
        <v>134</v>
      </c>
      <c r="Q196" t="s">
        <v>110</v>
      </c>
      <c r="R196" t="str">
        <f t="shared" si="38"/>
        <v>1x</v>
      </c>
    </row>
    <row r="197" spans="1:36" ht="14" hidden="1" customHeight="1">
      <c r="A197"/>
      <c r="B197"/>
      <c r="C197"/>
      <c r="D197"/>
      <c r="E197"/>
      <c r="F197"/>
      <c r="G197"/>
      <c r="H197"/>
      <c r="I197"/>
      <c r="J197"/>
      <c r="L197" t="s">
        <v>297</v>
      </c>
      <c r="M197" t="s">
        <v>112</v>
      </c>
      <c r="N197">
        <v>16384</v>
      </c>
      <c r="O197" t="s">
        <v>111</v>
      </c>
      <c r="P197" t="s">
        <v>134</v>
      </c>
      <c r="Q197" t="s">
        <v>110</v>
      </c>
      <c r="R197" t="str">
        <f t="shared" si="38"/>
        <v>1x</v>
      </c>
    </row>
    <row r="198" spans="1:36" ht="14" hidden="1" customHeight="1">
      <c r="A198"/>
      <c r="B198"/>
      <c r="C198"/>
      <c r="D198"/>
      <c r="E198"/>
      <c r="F198"/>
      <c r="G198"/>
      <c r="H198"/>
      <c r="I198"/>
      <c r="J198"/>
      <c r="L198" t="s">
        <v>297</v>
      </c>
      <c r="M198" t="s">
        <v>116</v>
      </c>
      <c r="N198">
        <v>41320448</v>
      </c>
      <c r="O198" t="s">
        <v>298</v>
      </c>
      <c r="P198" t="s">
        <v>265</v>
      </c>
      <c r="Q198" t="s">
        <v>299</v>
      </c>
      <c r="R198" t="str">
        <f t="shared" si="38"/>
        <v>1x</v>
      </c>
    </row>
    <row r="199" spans="1:36" ht="14" hidden="1" customHeight="1">
      <c r="A199"/>
      <c r="B199"/>
      <c r="C199"/>
      <c r="D199"/>
      <c r="E199"/>
      <c r="F199"/>
      <c r="G199"/>
      <c r="H199"/>
      <c r="I199"/>
      <c r="J199"/>
      <c r="L199" t="s">
        <v>297</v>
      </c>
      <c r="M199" t="s">
        <v>120</v>
      </c>
      <c r="N199">
        <v>629678080</v>
      </c>
      <c r="O199" t="s">
        <v>300</v>
      </c>
      <c r="P199" t="s">
        <v>71</v>
      </c>
      <c r="Q199" t="s">
        <v>299</v>
      </c>
      <c r="R199" t="str">
        <f t="shared" si="38"/>
        <v>1x</v>
      </c>
    </row>
    <row r="200" spans="1:36" ht="14" hidden="1" customHeight="1">
      <c r="A200"/>
      <c r="B200"/>
      <c r="C200"/>
      <c r="D200"/>
      <c r="E200"/>
      <c r="F200"/>
      <c r="G200"/>
      <c r="H200"/>
      <c r="I200"/>
      <c r="J200"/>
      <c r="L200" t="s">
        <v>297</v>
      </c>
      <c r="M200" t="s">
        <v>73</v>
      </c>
      <c r="N200">
        <v>304340992</v>
      </c>
      <c r="O200" t="s">
        <v>301</v>
      </c>
      <c r="P200" t="s">
        <v>302</v>
      </c>
      <c r="Q200" t="s">
        <v>188</v>
      </c>
      <c r="R200" t="str">
        <f t="shared" si="38"/>
        <v>1x</v>
      </c>
    </row>
    <row r="201" spans="1:36" ht="14" hidden="1" customHeight="1">
      <c r="A201"/>
      <c r="B201"/>
      <c r="C201"/>
      <c r="D201"/>
      <c r="E201"/>
      <c r="F201"/>
      <c r="G201"/>
      <c r="H201"/>
      <c r="I201"/>
      <c r="J201"/>
      <c r="L201" t="s">
        <v>297</v>
      </c>
      <c r="M201" t="s">
        <v>124</v>
      </c>
      <c r="N201">
        <v>16384</v>
      </c>
      <c r="O201" t="s">
        <v>111</v>
      </c>
      <c r="P201" t="s">
        <v>134</v>
      </c>
      <c r="Q201" t="s">
        <v>110</v>
      </c>
      <c r="R201" t="str">
        <f t="shared" si="38"/>
        <v>1x</v>
      </c>
    </row>
    <row r="202" spans="1:36" ht="14" hidden="1" customHeight="1">
      <c r="A202"/>
      <c r="B202"/>
      <c r="C202"/>
      <c r="D202"/>
      <c r="E202"/>
      <c r="F202"/>
      <c r="G202"/>
      <c r="H202"/>
      <c r="I202"/>
      <c r="J202"/>
      <c r="L202" t="s">
        <v>297</v>
      </c>
      <c r="M202" t="s">
        <v>76</v>
      </c>
      <c r="N202">
        <v>327974912</v>
      </c>
      <c r="O202" t="s">
        <v>303</v>
      </c>
      <c r="P202" t="s">
        <v>304</v>
      </c>
      <c r="Q202" t="s">
        <v>305</v>
      </c>
      <c r="R202" t="str">
        <f t="shared" si="38"/>
        <v>1x</v>
      </c>
    </row>
    <row r="203" spans="1:36" ht="14" hidden="1" customHeight="1">
      <c r="A203"/>
      <c r="B203"/>
      <c r="C203"/>
      <c r="D203"/>
      <c r="E203"/>
      <c r="F203"/>
      <c r="G203"/>
      <c r="H203"/>
      <c r="I203"/>
      <c r="J203"/>
      <c r="L203" t="s">
        <v>297</v>
      </c>
      <c r="M203" t="s">
        <v>133</v>
      </c>
      <c r="N203">
        <v>16384</v>
      </c>
      <c r="O203" t="s">
        <v>111</v>
      </c>
      <c r="P203" t="s">
        <v>134</v>
      </c>
      <c r="Q203" t="s">
        <v>110</v>
      </c>
      <c r="R203" t="str">
        <f t="shared" si="38"/>
        <v>1x</v>
      </c>
    </row>
    <row r="204" spans="1:36" ht="14" hidden="1" customHeight="1">
      <c r="A204"/>
      <c r="B204"/>
      <c r="C204"/>
      <c r="D204"/>
      <c r="E204"/>
      <c r="F204"/>
      <c r="G204"/>
      <c r="H204"/>
      <c r="I204"/>
      <c r="J204"/>
      <c r="L204" t="s">
        <v>306</v>
      </c>
      <c r="M204" t="s">
        <v>91</v>
      </c>
      <c r="N204">
        <v>662315008</v>
      </c>
      <c r="O204" t="s">
        <v>307</v>
      </c>
      <c r="P204" t="s">
        <v>308</v>
      </c>
      <c r="Q204" t="s">
        <v>134</v>
      </c>
      <c r="R204" t="str">
        <f t="shared" si="38"/>
        <v>1x</v>
      </c>
    </row>
    <row r="205" spans="1:36" ht="14" hidden="1" customHeight="1">
      <c r="A205"/>
      <c r="B205"/>
      <c r="C205"/>
      <c r="D205"/>
      <c r="E205"/>
      <c r="F205"/>
      <c r="G205"/>
      <c r="H205"/>
      <c r="I205"/>
      <c r="J205"/>
      <c r="L205" t="s">
        <v>306</v>
      </c>
      <c r="M205" t="s">
        <v>95</v>
      </c>
      <c r="N205">
        <v>221175808</v>
      </c>
      <c r="O205" t="s">
        <v>309</v>
      </c>
      <c r="P205" t="s">
        <v>309</v>
      </c>
      <c r="Q205" t="s">
        <v>134</v>
      </c>
      <c r="R205" t="str">
        <f t="shared" si="38"/>
        <v>1x</v>
      </c>
    </row>
    <row r="206" spans="1:36" ht="14" hidden="1" customHeight="1">
      <c r="A206"/>
      <c r="B206"/>
      <c r="C206"/>
      <c r="D206"/>
      <c r="E206"/>
      <c r="F206"/>
      <c r="G206"/>
      <c r="H206"/>
      <c r="I206"/>
      <c r="J206"/>
      <c r="L206" t="s">
        <v>306</v>
      </c>
      <c r="M206" t="s">
        <v>99</v>
      </c>
      <c r="N206">
        <v>112230400</v>
      </c>
      <c r="O206" t="s">
        <v>310</v>
      </c>
      <c r="P206" t="s">
        <v>310</v>
      </c>
      <c r="Q206" t="s">
        <v>134</v>
      </c>
      <c r="R206" t="str">
        <f t="shared" si="38"/>
        <v>1x</v>
      </c>
    </row>
    <row r="207" spans="1:36" hidden="1">
      <c r="L207" t="s">
        <v>306</v>
      </c>
      <c r="M207" t="s">
        <v>103</v>
      </c>
      <c r="N207">
        <v>617111552</v>
      </c>
      <c r="O207" t="s">
        <v>311</v>
      </c>
      <c r="P207" t="s">
        <v>312</v>
      </c>
      <c r="Q207" t="s">
        <v>134</v>
      </c>
      <c r="R207" t="str">
        <f t="shared" ref="R207:R270" si="41">IF(ISNUMBER(SEARCH("_2x", L207)), "2x", IF(ISNUMBER(SEARCH("_5x", L207)), "5x", IF(ISNUMBER(SEARCH("_10x", L207)), "10x", "1x")))</f>
        <v>1x</v>
      </c>
    </row>
    <row r="208" spans="1:36" hidden="1">
      <c r="L208" t="s">
        <v>306</v>
      </c>
      <c r="M208" t="s">
        <v>69</v>
      </c>
      <c r="N208">
        <v>819453952</v>
      </c>
      <c r="O208" t="s">
        <v>313</v>
      </c>
      <c r="P208" t="s">
        <v>313</v>
      </c>
      <c r="Q208" t="s">
        <v>134</v>
      </c>
      <c r="R208" t="str">
        <f t="shared" si="41"/>
        <v>1x</v>
      </c>
    </row>
    <row r="209" spans="12:18" hidden="1">
      <c r="L209" t="s">
        <v>306</v>
      </c>
      <c r="M209" t="s">
        <v>73</v>
      </c>
      <c r="N209">
        <v>31547392</v>
      </c>
      <c r="O209" t="s">
        <v>96</v>
      </c>
      <c r="P209" t="s">
        <v>96</v>
      </c>
      <c r="Q209" t="s">
        <v>134</v>
      </c>
      <c r="R209" t="str">
        <f t="shared" si="41"/>
        <v>1x</v>
      </c>
    </row>
    <row r="210" spans="12:18" hidden="1">
      <c r="L210" t="s">
        <v>306</v>
      </c>
      <c r="M210" t="s">
        <v>126</v>
      </c>
      <c r="N210">
        <v>25632768</v>
      </c>
      <c r="O210" t="s">
        <v>217</v>
      </c>
      <c r="P210" t="s">
        <v>217</v>
      </c>
      <c r="Q210" t="s">
        <v>134</v>
      </c>
      <c r="R210" t="str">
        <f t="shared" si="41"/>
        <v>1x</v>
      </c>
    </row>
    <row r="211" spans="12:18" hidden="1">
      <c r="L211" t="s">
        <v>306</v>
      </c>
      <c r="M211" t="s">
        <v>130</v>
      </c>
      <c r="N211">
        <v>6438912</v>
      </c>
      <c r="O211" t="s">
        <v>314</v>
      </c>
      <c r="P211" t="s">
        <v>315</v>
      </c>
      <c r="Q211" t="s">
        <v>134</v>
      </c>
      <c r="R211" t="str">
        <f t="shared" si="41"/>
        <v>1x</v>
      </c>
    </row>
    <row r="212" spans="12:18" hidden="1">
      <c r="L212" t="s">
        <v>306</v>
      </c>
      <c r="M212" t="s">
        <v>76</v>
      </c>
      <c r="N212">
        <v>187981824</v>
      </c>
      <c r="O212" t="s">
        <v>316</v>
      </c>
      <c r="P212" t="s">
        <v>316</v>
      </c>
      <c r="Q212" t="s">
        <v>134</v>
      </c>
      <c r="R212" t="str">
        <f t="shared" si="41"/>
        <v>1x</v>
      </c>
    </row>
    <row r="213" spans="12:18" hidden="1">
      <c r="L213" t="s">
        <v>306</v>
      </c>
      <c r="M213" t="s">
        <v>317</v>
      </c>
      <c r="N213">
        <v>20029440</v>
      </c>
      <c r="O213" t="s">
        <v>279</v>
      </c>
      <c r="P213" t="s">
        <v>279</v>
      </c>
      <c r="Q213" t="s">
        <v>134</v>
      </c>
      <c r="R213" t="str">
        <f t="shared" si="41"/>
        <v>1x</v>
      </c>
    </row>
    <row r="214" spans="12:18" hidden="1">
      <c r="L214" t="s">
        <v>318</v>
      </c>
      <c r="M214" t="s">
        <v>91</v>
      </c>
      <c r="N214">
        <v>45760512</v>
      </c>
      <c r="O214" t="s">
        <v>155</v>
      </c>
      <c r="P214" t="s">
        <v>155</v>
      </c>
      <c r="Q214" t="s">
        <v>134</v>
      </c>
      <c r="R214" t="str">
        <f t="shared" si="41"/>
        <v>1x</v>
      </c>
    </row>
    <row r="215" spans="12:18" hidden="1">
      <c r="L215" t="s">
        <v>318</v>
      </c>
      <c r="M215" t="s">
        <v>95</v>
      </c>
      <c r="N215">
        <v>11124736</v>
      </c>
      <c r="O215" t="s">
        <v>137</v>
      </c>
      <c r="P215" t="s">
        <v>137</v>
      </c>
      <c r="Q215" t="s">
        <v>134</v>
      </c>
      <c r="R215" t="str">
        <f t="shared" si="41"/>
        <v>1x</v>
      </c>
    </row>
    <row r="216" spans="12:18" hidden="1">
      <c r="L216" t="s">
        <v>318</v>
      </c>
      <c r="M216" t="s">
        <v>99</v>
      </c>
      <c r="N216">
        <v>8175616</v>
      </c>
      <c r="O216" t="s">
        <v>319</v>
      </c>
      <c r="P216" t="s">
        <v>320</v>
      </c>
      <c r="Q216" t="s">
        <v>134</v>
      </c>
      <c r="R216" t="str">
        <f t="shared" si="41"/>
        <v>1x</v>
      </c>
    </row>
    <row r="217" spans="12:18" hidden="1">
      <c r="L217" t="s">
        <v>318</v>
      </c>
      <c r="M217" t="s">
        <v>103</v>
      </c>
      <c r="N217">
        <v>44802048</v>
      </c>
      <c r="O217" t="s">
        <v>321</v>
      </c>
      <c r="P217" t="s">
        <v>321</v>
      </c>
      <c r="Q217" t="s">
        <v>134</v>
      </c>
      <c r="R217" t="str">
        <f t="shared" si="41"/>
        <v>1x</v>
      </c>
    </row>
    <row r="218" spans="12:18" hidden="1">
      <c r="L218" t="s">
        <v>318</v>
      </c>
      <c r="M218" t="s">
        <v>69</v>
      </c>
      <c r="N218">
        <v>819404800</v>
      </c>
      <c r="O218" t="s">
        <v>313</v>
      </c>
      <c r="P218" t="s">
        <v>313</v>
      </c>
      <c r="Q218" t="s">
        <v>134</v>
      </c>
      <c r="R218" t="str">
        <f t="shared" si="41"/>
        <v>1x</v>
      </c>
    </row>
    <row r="219" spans="12:18" hidden="1">
      <c r="L219" t="s">
        <v>318</v>
      </c>
      <c r="M219" t="s">
        <v>73</v>
      </c>
      <c r="N219">
        <v>5365760</v>
      </c>
      <c r="O219" t="s">
        <v>322</v>
      </c>
      <c r="P219" t="s">
        <v>323</v>
      </c>
      <c r="Q219" t="s">
        <v>134</v>
      </c>
      <c r="R219" t="str">
        <f t="shared" si="41"/>
        <v>1x</v>
      </c>
    </row>
    <row r="220" spans="12:18" hidden="1">
      <c r="L220" t="s">
        <v>318</v>
      </c>
      <c r="M220" t="s">
        <v>126</v>
      </c>
      <c r="N220">
        <v>4366336</v>
      </c>
      <c r="O220" t="s">
        <v>324</v>
      </c>
      <c r="P220" t="s">
        <v>325</v>
      </c>
      <c r="Q220" t="s">
        <v>134</v>
      </c>
      <c r="R220" t="str">
        <f t="shared" si="41"/>
        <v>1x</v>
      </c>
    </row>
    <row r="221" spans="12:18" hidden="1">
      <c r="L221" t="s">
        <v>318</v>
      </c>
      <c r="M221" t="s">
        <v>130</v>
      </c>
      <c r="N221">
        <v>958464</v>
      </c>
      <c r="O221" t="s">
        <v>326</v>
      </c>
      <c r="P221" t="s">
        <v>327</v>
      </c>
      <c r="Q221" t="s">
        <v>134</v>
      </c>
      <c r="R221" t="str">
        <f t="shared" si="41"/>
        <v>1x</v>
      </c>
    </row>
    <row r="222" spans="12:18" hidden="1">
      <c r="L222" t="s">
        <v>318</v>
      </c>
      <c r="M222" t="s">
        <v>328</v>
      </c>
      <c r="N222">
        <v>8192</v>
      </c>
      <c r="O222" t="s">
        <v>110</v>
      </c>
      <c r="P222" t="s">
        <v>110</v>
      </c>
      <c r="Q222" t="s">
        <v>134</v>
      </c>
      <c r="R222" t="str">
        <f t="shared" si="41"/>
        <v>1x</v>
      </c>
    </row>
    <row r="223" spans="12:18" hidden="1">
      <c r="L223" t="s">
        <v>318</v>
      </c>
      <c r="M223" t="s">
        <v>76</v>
      </c>
      <c r="N223">
        <v>40615936</v>
      </c>
      <c r="O223" t="s">
        <v>298</v>
      </c>
      <c r="P223" t="s">
        <v>298</v>
      </c>
      <c r="Q223" t="s">
        <v>134</v>
      </c>
      <c r="R223" t="str">
        <f t="shared" si="41"/>
        <v>1x</v>
      </c>
    </row>
    <row r="224" spans="12:18" hidden="1">
      <c r="L224" t="s">
        <v>318</v>
      </c>
      <c r="M224" t="s">
        <v>317</v>
      </c>
      <c r="N224">
        <v>3424256</v>
      </c>
      <c r="O224" t="s">
        <v>329</v>
      </c>
      <c r="P224" t="s">
        <v>330</v>
      </c>
      <c r="Q224" t="s">
        <v>134</v>
      </c>
      <c r="R224" t="str">
        <f t="shared" si="41"/>
        <v>1x</v>
      </c>
    </row>
    <row r="225" spans="12:18" hidden="1">
      <c r="L225" t="s">
        <v>331</v>
      </c>
      <c r="M225" t="s">
        <v>91</v>
      </c>
      <c r="N225">
        <v>45760512</v>
      </c>
      <c r="O225" t="s">
        <v>155</v>
      </c>
      <c r="P225" t="s">
        <v>155</v>
      </c>
      <c r="Q225" t="s">
        <v>134</v>
      </c>
      <c r="R225" t="str">
        <f t="shared" si="41"/>
        <v>10x</v>
      </c>
    </row>
    <row r="226" spans="12:18" hidden="1">
      <c r="L226" t="s">
        <v>331</v>
      </c>
      <c r="M226" t="s">
        <v>95</v>
      </c>
      <c r="N226">
        <v>11124736</v>
      </c>
      <c r="O226" t="s">
        <v>137</v>
      </c>
      <c r="P226" t="s">
        <v>137</v>
      </c>
      <c r="Q226" t="s">
        <v>134</v>
      </c>
      <c r="R226" t="str">
        <f t="shared" si="41"/>
        <v>10x</v>
      </c>
    </row>
    <row r="227" spans="12:18" hidden="1">
      <c r="L227" t="s">
        <v>331</v>
      </c>
      <c r="M227" t="s">
        <v>99</v>
      </c>
      <c r="N227">
        <v>81428480</v>
      </c>
      <c r="O227" t="s">
        <v>332</v>
      </c>
      <c r="P227" t="s">
        <v>332</v>
      </c>
      <c r="Q227" t="s">
        <v>134</v>
      </c>
      <c r="R227" t="str">
        <f t="shared" si="41"/>
        <v>10x</v>
      </c>
    </row>
    <row r="228" spans="12:18" hidden="1">
      <c r="L228" t="s">
        <v>331</v>
      </c>
      <c r="M228" t="s">
        <v>103</v>
      </c>
      <c r="N228">
        <v>447717376</v>
      </c>
      <c r="O228" t="s">
        <v>333</v>
      </c>
      <c r="P228" t="s">
        <v>333</v>
      </c>
      <c r="Q228" t="s">
        <v>134</v>
      </c>
      <c r="R228" t="str">
        <f t="shared" si="41"/>
        <v>10x</v>
      </c>
    </row>
    <row r="229" spans="12:18" hidden="1">
      <c r="L229" t="s">
        <v>331</v>
      </c>
      <c r="M229" t="s">
        <v>334</v>
      </c>
      <c r="N229">
        <v>44318720</v>
      </c>
      <c r="O229" t="s">
        <v>335</v>
      </c>
      <c r="P229" t="s">
        <v>335</v>
      </c>
      <c r="Q229" t="s">
        <v>134</v>
      </c>
      <c r="R229" t="str">
        <f t="shared" si="41"/>
        <v>10x</v>
      </c>
    </row>
    <row r="230" spans="12:18" hidden="1">
      <c r="L230" t="s">
        <v>331</v>
      </c>
      <c r="M230" t="s">
        <v>69</v>
      </c>
      <c r="N230">
        <v>8192647168</v>
      </c>
      <c r="O230" t="s">
        <v>336</v>
      </c>
      <c r="P230" t="s">
        <v>337</v>
      </c>
      <c r="Q230" t="s">
        <v>134</v>
      </c>
      <c r="R230" t="str">
        <f t="shared" si="41"/>
        <v>10x</v>
      </c>
    </row>
    <row r="231" spans="12:18" hidden="1">
      <c r="L231" t="s">
        <v>331</v>
      </c>
      <c r="M231" t="s">
        <v>73</v>
      </c>
      <c r="N231">
        <v>53370880</v>
      </c>
      <c r="O231" t="s">
        <v>338</v>
      </c>
      <c r="P231" t="s">
        <v>338</v>
      </c>
      <c r="Q231" t="s">
        <v>134</v>
      </c>
      <c r="R231" t="str">
        <f t="shared" si="41"/>
        <v>10x</v>
      </c>
    </row>
    <row r="232" spans="12:18" hidden="1">
      <c r="L232" t="s">
        <v>331</v>
      </c>
      <c r="M232" t="s">
        <v>126</v>
      </c>
      <c r="N232">
        <v>43376640</v>
      </c>
      <c r="O232" t="s">
        <v>339</v>
      </c>
      <c r="P232" t="s">
        <v>339</v>
      </c>
      <c r="Q232" t="s">
        <v>134</v>
      </c>
      <c r="R232" t="str">
        <f t="shared" si="41"/>
        <v>10x</v>
      </c>
    </row>
    <row r="233" spans="12:18" hidden="1">
      <c r="L233" t="s">
        <v>331</v>
      </c>
      <c r="M233" t="s">
        <v>130</v>
      </c>
      <c r="N233">
        <v>434176</v>
      </c>
      <c r="O233" t="s">
        <v>340</v>
      </c>
      <c r="P233" t="s">
        <v>341</v>
      </c>
      <c r="Q233" t="s">
        <v>134</v>
      </c>
      <c r="R233" t="str">
        <f t="shared" si="41"/>
        <v>10x</v>
      </c>
    </row>
    <row r="234" spans="12:18" hidden="1">
      <c r="L234" t="s">
        <v>331</v>
      </c>
      <c r="M234" t="s">
        <v>76</v>
      </c>
      <c r="N234">
        <v>405626880</v>
      </c>
      <c r="O234" t="s">
        <v>342</v>
      </c>
      <c r="P234" t="s">
        <v>342</v>
      </c>
      <c r="Q234" t="s">
        <v>134</v>
      </c>
      <c r="R234" t="str">
        <f t="shared" si="41"/>
        <v>10x</v>
      </c>
    </row>
    <row r="235" spans="12:18" hidden="1">
      <c r="L235" t="s">
        <v>331</v>
      </c>
      <c r="M235" t="s">
        <v>317</v>
      </c>
      <c r="N235">
        <v>33857536</v>
      </c>
      <c r="O235" t="s">
        <v>115</v>
      </c>
      <c r="P235" t="s">
        <v>115</v>
      </c>
      <c r="Q235" t="s">
        <v>134</v>
      </c>
      <c r="R235" t="str">
        <f t="shared" si="41"/>
        <v>10x</v>
      </c>
    </row>
    <row r="236" spans="12:18" hidden="1">
      <c r="L236" t="s">
        <v>343</v>
      </c>
      <c r="M236" t="s">
        <v>91</v>
      </c>
      <c r="N236">
        <v>45760512</v>
      </c>
      <c r="O236" t="s">
        <v>155</v>
      </c>
      <c r="P236" t="s">
        <v>155</v>
      </c>
      <c r="Q236" t="s">
        <v>134</v>
      </c>
      <c r="R236" t="str">
        <f t="shared" si="41"/>
        <v>2x</v>
      </c>
    </row>
    <row r="237" spans="12:18" hidden="1">
      <c r="L237" t="s">
        <v>343</v>
      </c>
      <c r="M237" t="s">
        <v>95</v>
      </c>
      <c r="N237">
        <v>11124736</v>
      </c>
      <c r="O237" t="s">
        <v>137</v>
      </c>
      <c r="P237" t="s">
        <v>137</v>
      </c>
      <c r="Q237" t="s">
        <v>134</v>
      </c>
      <c r="R237" t="str">
        <f t="shared" si="41"/>
        <v>2x</v>
      </c>
    </row>
    <row r="238" spans="12:18" hidden="1">
      <c r="L238" t="s">
        <v>343</v>
      </c>
      <c r="M238" t="s">
        <v>99</v>
      </c>
      <c r="N238">
        <v>16310272</v>
      </c>
      <c r="O238" t="s">
        <v>123</v>
      </c>
      <c r="P238" t="s">
        <v>123</v>
      </c>
      <c r="Q238" t="s">
        <v>134</v>
      </c>
      <c r="R238" t="str">
        <f t="shared" si="41"/>
        <v>2x</v>
      </c>
    </row>
    <row r="239" spans="12:18" hidden="1">
      <c r="L239" t="s">
        <v>343</v>
      </c>
      <c r="M239" t="s">
        <v>103</v>
      </c>
      <c r="N239">
        <v>89563136</v>
      </c>
      <c r="O239" t="s">
        <v>344</v>
      </c>
      <c r="P239" t="s">
        <v>344</v>
      </c>
      <c r="Q239" t="s">
        <v>134</v>
      </c>
      <c r="R239" t="str">
        <f t="shared" si="41"/>
        <v>2x</v>
      </c>
    </row>
    <row r="240" spans="12:18" hidden="1">
      <c r="L240" t="s">
        <v>343</v>
      </c>
      <c r="M240" t="s">
        <v>334</v>
      </c>
      <c r="N240">
        <v>8888320</v>
      </c>
      <c r="O240" t="s">
        <v>345</v>
      </c>
      <c r="P240" t="s">
        <v>346</v>
      </c>
      <c r="Q240" t="s">
        <v>134</v>
      </c>
      <c r="R240" t="str">
        <f t="shared" si="41"/>
        <v>2x</v>
      </c>
    </row>
    <row r="241" spans="12:18" hidden="1">
      <c r="L241" t="s">
        <v>343</v>
      </c>
      <c r="M241" t="s">
        <v>69</v>
      </c>
      <c r="N241">
        <v>1638555648</v>
      </c>
      <c r="O241" t="s">
        <v>347</v>
      </c>
      <c r="P241" t="s">
        <v>348</v>
      </c>
      <c r="Q241" t="s">
        <v>134</v>
      </c>
      <c r="R241" t="str">
        <f t="shared" si="41"/>
        <v>2x</v>
      </c>
    </row>
    <row r="242" spans="12:18" hidden="1">
      <c r="L242" t="s">
        <v>343</v>
      </c>
      <c r="M242" t="s">
        <v>73</v>
      </c>
      <c r="N242">
        <v>10698752</v>
      </c>
      <c r="O242" t="s">
        <v>138</v>
      </c>
      <c r="P242" t="s">
        <v>138</v>
      </c>
      <c r="Q242" t="s">
        <v>134</v>
      </c>
      <c r="R242" t="str">
        <f t="shared" si="41"/>
        <v>2x</v>
      </c>
    </row>
    <row r="243" spans="12:18" hidden="1">
      <c r="L243" t="s">
        <v>343</v>
      </c>
      <c r="M243" t="s">
        <v>126</v>
      </c>
      <c r="N243">
        <v>8699904</v>
      </c>
      <c r="O243" t="s">
        <v>349</v>
      </c>
      <c r="P243" t="s">
        <v>350</v>
      </c>
      <c r="Q243" t="s">
        <v>134</v>
      </c>
      <c r="R243" t="str">
        <f t="shared" si="41"/>
        <v>2x</v>
      </c>
    </row>
    <row r="244" spans="12:18" hidden="1">
      <c r="L244" t="s">
        <v>343</v>
      </c>
      <c r="M244" t="s">
        <v>130</v>
      </c>
      <c r="N244">
        <v>434176</v>
      </c>
      <c r="O244" t="s">
        <v>340</v>
      </c>
      <c r="P244" t="s">
        <v>341</v>
      </c>
      <c r="Q244" t="s">
        <v>134</v>
      </c>
      <c r="R244" t="str">
        <f t="shared" si="41"/>
        <v>2x</v>
      </c>
    </row>
    <row r="245" spans="12:18" hidden="1">
      <c r="L245" t="s">
        <v>343</v>
      </c>
      <c r="M245" t="s">
        <v>76</v>
      </c>
      <c r="N245">
        <v>81158144</v>
      </c>
      <c r="O245" t="s">
        <v>351</v>
      </c>
      <c r="P245" t="s">
        <v>351</v>
      </c>
      <c r="Q245" t="s">
        <v>134</v>
      </c>
      <c r="R245" t="str">
        <f t="shared" si="41"/>
        <v>2x</v>
      </c>
    </row>
    <row r="246" spans="12:18" hidden="1">
      <c r="L246" t="s">
        <v>343</v>
      </c>
      <c r="M246" t="s">
        <v>317</v>
      </c>
      <c r="N246">
        <v>6807552</v>
      </c>
      <c r="O246" t="s">
        <v>352</v>
      </c>
      <c r="P246" t="s">
        <v>353</v>
      </c>
      <c r="Q246" t="s">
        <v>134</v>
      </c>
      <c r="R246" t="str">
        <f t="shared" si="41"/>
        <v>2x</v>
      </c>
    </row>
    <row r="247" spans="12:18" hidden="1">
      <c r="L247" t="s">
        <v>354</v>
      </c>
      <c r="M247" t="s">
        <v>99</v>
      </c>
      <c r="N247">
        <v>39460864</v>
      </c>
      <c r="O247" t="s">
        <v>355</v>
      </c>
      <c r="P247" t="s">
        <v>355</v>
      </c>
      <c r="Q247" t="s">
        <v>134</v>
      </c>
      <c r="R247" t="str">
        <f t="shared" si="41"/>
        <v>1x</v>
      </c>
    </row>
    <row r="248" spans="12:18" hidden="1">
      <c r="L248" t="s">
        <v>354</v>
      </c>
      <c r="M248" t="s">
        <v>103</v>
      </c>
      <c r="N248">
        <v>216850432</v>
      </c>
      <c r="O248" t="s">
        <v>356</v>
      </c>
      <c r="P248" t="s">
        <v>356</v>
      </c>
      <c r="Q248" t="s">
        <v>134</v>
      </c>
      <c r="R248" t="str">
        <f t="shared" si="41"/>
        <v>1x</v>
      </c>
    </row>
    <row r="249" spans="12:18" hidden="1">
      <c r="L249" t="s">
        <v>354</v>
      </c>
      <c r="M249" t="s">
        <v>334</v>
      </c>
      <c r="N249">
        <v>13320192</v>
      </c>
      <c r="O249" t="s">
        <v>104</v>
      </c>
      <c r="P249" t="s">
        <v>104</v>
      </c>
      <c r="Q249" t="s">
        <v>134</v>
      </c>
      <c r="R249" t="str">
        <f t="shared" si="41"/>
        <v>1x</v>
      </c>
    </row>
    <row r="250" spans="12:18" hidden="1">
      <c r="L250" t="s">
        <v>354</v>
      </c>
      <c r="M250" t="s">
        <v>69</v>
      </c>
      <c r="N250">
        <v>2457812992</v>
      </c>
      <c r="O250" t="s">
        <v>357</v>
      </c>
      <c r="P250" t="s">
        <v>358</v>
      </c>
      <c r="Q250" t="s">
        <v>134</v>
      </c>
      <c r="R250" t="str">
        <f t="shared" si="41"/>
        <v>1x</v>
      </c>
    </row>
    <row r="251" spans="12:18" hidden="1">
      <c r="L251" t="s">
        <v>354</v>
      </c>
      <c r="M251" t="s">
        <v>73</v>
      </c>
      <c r="N251">
        <v>16031744</v>
      </c>
      <c r="O251" t="s">
        <v>88</v>
      </c>
      <c r="P251" t="s">
        <v>88</v>
      </c>
      <c r="Q251" t="s">
        <v>134</v>
      </c>
      <c r="R251" t="str">
        <f t="shared" si="41"/>
        <v>1x</v>
      </c>
    </row>
    <row r="252" spans="12:18" hidden="1">
      <c r="L252" t="s">
        <v>354</v>
      </c>
      <c r="M252" t="s">
        <v>126</v>
      </c>
      <c r="N252">
        <v>13033472</v>
      </c>
      <c r="O252" t="s">
        <v>188</v>
      </c>
      <c r="P252" t="s">
        <v>188</v>
      </c>
      <c r="Q252" t="s">
        <v>134</v>
      </c>
      <c r="R252" t="str">
        <f t="shared" si="41"/>
        <v>1x</v>
      </c>
    </row>
    <row r="253" spans="12:18" hidden="1">
      <c r="L253" t="s">
        <v>354</v>
      </c>
      <c r="M253" t="s">
        <v>76</v>
      </c>
      <c r="N253">
        <v>121667584</v>
      </c>
      <c r="O253" t="s">
        <v>359</v>
      </c>
      <c r="P253" t="s">
        <v>359</v>
      </c>
      <c r="Q253" t="s">
        <v>134</v>
      </c>
      <c r="R253" t="str">
        <f t="shared" si="41"/>
        <v>1x</v>
      </c>
    </row>
    <row r="254" spans="12:18" hidden="1">
      <c r="L254" t="s">
        <v>354</v>
      </c>
      <c r="M254" t="s">
        <v>317</v>
      </c>
      <c r="N254">
        <v>10190848</v>
      </c>
      <c r="O254" t="s">
        <v>360</v>
      </c>
      <c r="P254" t="s">
        <v>361</v>
      </c>
      <c r="Q254" t="s">
        <v>134</v>
      </c>
      <c r="R254" t="str">
        <f t="shared" si="41"/>
        <v>1x</v>
      </c>
    </row>
    <row r="255" spans="12:18" hidden="1">
      <c r="L255" t="s">
        <v>432</v>
      </c>
      <c r="M255" t="s">
        <v>91</v>
      </c>
      <c r="N255">
        <v>45760512</v>
      </c>
      <c r="O255" t="s">
        <v>155</v>
      </c>
      <c r="P255" t="s">
        <v>155</v>
      </c>
      <c r="Q255" t="s">
        <v>134</v>
      </c>
      <c r="R255" t="str">
        <f t="shared" si="41"/>
        <v>5x</v>
      </c>
    </row>
    <row r="256" spans="12:18" hidden="1">
      <c r="L256" t="s">
        <v>432</v>
      </c>
      <c r="M256" t="s">
        <v>95</v>
      </c>
      <c r="N256">
        <v>11124736</v>
      </c>
      <c r="O256" t="s">
        <v>137</v>
      </c>
      <c r="P256" t="s">
        <v>137</v>
      </c>
      <c r="Q256" t="s">
        <v>134</v>
      </c>
      <c r="R256" t="str">
        <f t="shared" si="41"/>
        <v>5x</v>
      </c>
    </row>
    <row r="257" spans="12:36" hidden="1">
      <c r="L257" t="s">
        <v>432</v>
      </c>
      <c r="M257" t="s">
        <v>99</v>
      </c>
      <c r="N257">
        <v>40730624</v>
      </c>
      <c r="O257" t="s">
        <v>298</v>
      </c>
      <c r="P257" t="s">
        <v>298</v>
      </c>
      <c r="Q257" t="s">
        <v>134</v>
      </c>
      <c r="R257" t="str">
        <f t="shared" si="41"/>
        <v>5x</v>
      </c>
    </row>
    <row r="258" spans="12:36" hidden="1">
      <c r="L258" t="s">
        <v>432</v>
      </c>
      <c r="M258" t="s">
        <v>103</v>
      </c>
      <c r="N258">
        <v>223870976</v>
      </c>
      <c r="O258" t="s">
        <v>433</v>
      </c>
      <c r="P258" t="s">
        <v>434</v>
      </c>
      <c r="Q258" t="s">
        <v>134</v>
      </c>
      <c r="R258" t="str">
        <f t="shared" si="41"/>
        <v>5x</v>
      </c>
    </row>
    <row r="259" spans="12:36" hidden="1">
      <c r="L259" t="s">
        <v>432</v>
      </c>
      <c r="M259" t="s">
        <v>334</v>
      </c>
      <c r="N259">
        <v>22175744</v>
      </c>
      <c r="O259" t="s">
        <v>435</v>
      </c>
      <c r="P259" t="s">
        <v>435</v>
      </c>
      <c r="Q259" t="s">
        <v>134</v>
      </c>
      <c r="R259" t="str">
        <f t="shared" si="41"/>
        <v>5x</v>
      </c>
    </row>
    <row r="260" spans="12:36" hidden="1">
      <c r="L260" t="s">
        <v>432</v>
      </c>
      <c r="M260" t="s">
        <v>69</v>
      </c>
      <c r="N260">
        <v>4096335872</v>
      </c>
      <c r="O260" t="s">
        <v>436</v>
      </c>
      <c r="P260" t="s">
        <v>437</v>
      </c>
      <c r="Q260" t="s">
        <v>134</v>
      </c>
      <c r="R260" t="str">
        <f t="shared" si="41"/>
        <v>5x</v>
      </c>
    </row>
    <row r="261" spans="12:36" hidden="1">
      <c r="L261" t="s">
        <v>432</v>
      </c>
      <c r="M261" t="s">
        <v>73</v>
      </c>
      <c r="N261">
        <v>26697728</v>
      </c>
      <c r="O261" t="s">
        <v>438</v>
      </c>
      <c r="P261" t="s">
        <v>438</v>
      </c>
      <c r="Q261" t="s">
        <v>134</v>
      </c>
      <c r="R261" t="str">
        <f t="shared" si="41"/>
        <v>5x</v>
      </c>
    </row>
    <row r="262" spans="12:36" hidden="1">
      <c r="L262" t="s">
        <v>432</v>
      </c>
      <c r="M262" t="s">
        <v>126</v>
      </c>
      <c r="N262">
        <v>21700608</v>
      </c>
      <c r="O262" t="s">
        <v>435</v>
      </c>
      <c r="P262" t="s">
        <v>435</v>
      </c>
      <c r="Q262" t="s">
        <v>134</v>
      </c>
      <c r="R262" t="str">
        <f t="shared" si="41"/>
        <v>5x</v>
      </c>
    </row>
    <row r="263" spans="12:36" hidden="1">
      <c r="L263" t="s">
        <v>432</v>
      </c>
      <c r="M263" t="s">
        <v>130</v>
      </c>
      <c r="N263">
        <v>434176</v>
      </c>
      <c r="O263" t="s">
        <v>340</v>
      </c>
      <c r="P263" t="s">
        <v>341</v>
      </c>
      <c r="Q263" t="s">
        <v>134</v>
      </c>
      <c r="R263" t="str">
        <f t="shared" si="41"/>
        <v>5x</v>
      </c>
    </row>
    <row r="264" spans="12:36" hidden="1">
      <c r="L264" t="s">
        <v>432</v>
      </c>
      <c r="M264" t="s">
        <v>76</v>
      </c>
      <c r="N264">
        <v>202825728</v>
      </c>
      <c r="O264" t="s">
        <v>439</v>
      </c>
      <c r="P264" t="s">
        <v>439</v>
      </c>
      <c r="Q264" t="s">
        <v>134</v>
      </c>
      <c r="R264" t="str">
        <f t="shared" si="41"/>
        <v>5x</v>
      </c>
    </row>
    <row r="265" spans="12:36" hidden="1">
      <c r="L265" t="s">
        <v>432</v>
      </c>
      <c r="M265" t="s">
        <v>317</v>
      </c>
      <c r="N265">
        <v>16949248</v>
      </c>
      <c r="O265" t="s">
        <v>123</v>
      </c>
      <c r="P265" t="s">
        <v>123</v>
      </c>
      <c r="Q265" t="s">
        <v>134</v>
      </c>
      <c r="R265" t="str">
        <f t="shared" si="41"/>
        <v>5x</v>
      </c>
    </row>
    <row r="266" spans="12:36">
      <c r="L266" t="s">
        <v>459</v>
      </c>
      <c r="M266" t="s">
        <v>91</v>
      </c>
      <c r="N266">
        <v>70385664</v>
      </c>
      <c r="O266" t="s">
        <v>92</v>
      </c>
      <c r="P266" t="s">
        <v>93</v>
      </c>
      <c r="Q266" t="s">
        <v>94</v>
      </c>
      <c r="R266" t="str">
        <f t="shared" si="41"/>
        <v>1x</v>
      </c>
      <c r="U266">
        <v>1</v>
      </c>
      <c r="AB266" t="str">
        <f t="shared" ref="AB266:AB329" si="42">IF(S266=1,$N266,"")</f>
        <v/>
      </c>
      <c r="AC266" t="str">
        <f t="shared" ref="AC266:AC329" si="43">IF(T266=1,$N266,"")</f>
        <v/>
      </c>
      <c r="AD266">
        <f t="shared" ref="AD266:AD329" si="44">IF(U266=1,$N266,"")</f>
        <v>70385664</v>
      </c>
      <c r="AE266" t="str">
        <f t="shared" ref="AE266:AE329" si="45">IF(V266=1,$N266,"")</f>
        <v/>
      </c>
      <c r="AF266" t="str">
        <f t="shared" ref="AF266:AF329" si="46">IF(W266=1,$N266,"")</f>
        <v/>
      </c>
      <c r="AG266" t="str">
        <f t="shared" ref="AG266:AG329" si="47">IF(X266=1,$N266,"")</f>
        <v/>
      </c>
      <c r="AH266" t="str">
        <f t="shared" ref="AH266:AH329" si="48">IF(Y266=1,$N266,"")</f>
        <v/>
      </c>
      <c r="AI266" t="str">
        <f t="shared" ref="AI266:AI329" si="49">IF(Z266=1,$N266,"")</f>
        <v/>
      </c>
      <c r="AJ266" t="str">
        <f t="shared" ref="AJ266:AJ329" si="50">IF(AA266=1,$N266,"")</f>
        <v/>
      </c>
    </row>
    <row r="267" spans="12:36">
      <c r="L267" t="s">
        <v>459</v>
      </c>
      <c r="M267" t="s">
        <v>95</v>
      </c>
      <c r="N267">
        <v>31948800</v>
      </c>
      <c r="O267" t="s">
        <v>96</v>
      </c>
      <c r="P267" t="s">
        <v>97</v>
      </c>
      <c r="Q267" t="s">
        <v>98</v>
      </c>
      <c r="R267" t="str">
        <f t="shared" si="41"/>
        <v>1x</v>
      </c>
      <c r="U267">
        <v>1</v>
      </c>
      <c r="AB267" t="str">
        <f t="shared" si="42"/>
        <v/>
      </c>
      <c r="AC267" t="str">
        <f t="shared" si="43"/>
        <v/>
      </c>
      <c r="AD267">
        <f t="shared" si="44"/>
        <v>31948800</v>
      </c>
      <c r="AE267" t="str">
        <f t="shared" si="45"/>
        <v/>
      </c>
      <c r="AF267" t="str">
        <f t="shared" si="46"/>
        <v/>
      </c>
      <c r="AG267" t="str">
        <f t="shared" si="47"/>
        <v/>
      </c>
      <c r="AH267" t="str">
        <f t="shared" si="48"/>
        <v/>
      </c>
      <c r="AI267" t="str">
        <f t="shared" si="49"/>
        <v/>
      </c>
      <c r="AJ267" t="str">
        <f t="shared" si="50"/>
        <v/>
      </c>
    </row>
    <row r="268" spans="12:36">
      <c r="L268" t="s">
        <v>459</v>
      </c>
      <c r="M268" t="s">
        <v>103</v>
      </c>
      <c r="N268">
        <v>62570496</v>
      </c>
      <c r="O268" t="s">
        <v>167</v>
      </c>
      <c r="P268" t="s">
        <v>168</v>
      </c>
      <c r="Q268" t="s">
        <v>166</v>
      </c>
      <c r="R268" t="str">
        <f t="shared" si="41"/>
        <v>1x</v>
      </c>
      <c r="U268">
        <v>1</v>
      </c>
      <c r="AB268" t="str">
        <f t="shared" si="42"/>
        <v/>
      </c>
      <c r="AC268" t="str">
        <f t="shared" si="43"/>
        <v/>
      </c>
      <c r="AD268">
        <f t="shared" si="44"/>
        <v>62570496</v>
      </c>
      <c r="AE268" t="str">
        <f t="shared" si="45"/>
        <v/>
      </c>
      <c r="AF268" t="str">
        <f t="shared" si="46"/>
        <v/>
      </c>
      <c r="AG268" t="str">
        <f t="shared" si="47"/>
        <v/>
      </c>
      <c r="AH268" t="str">
        <f t="shared" si="48"/>
        <v/>
      </c>
      <c r="AI268" t="str">
        <f t="shared" si="49"/>
        <v/>
      </c>
      <c r="AJ268" t="str">
        <f t="shared" si="50"/>
        <v/>
      </c>
    </row>
    <row r="269" spans="12:36">
      <c r="L269" t="s">
        <v>459</v>
      </c>
      <c r="M269" t="s">
        <v>69</v>
      </c>
      <c r="N269">
        <v>622288896</v>
      </c>
      <c r="O269" t="s">
        <v>460</v>
      </c>
      <c r="P269" t="s">
        <v>71</v>
      </c>
      <c r="Q269" t="s">
        <v>299</v>
      </c>
      <c r="R269" t="str">
        <f t="shared" si="41"/>
        <v>1x</v>
      </c>
      <c r="U269">
        <v>1</v>
      </c>
      <c r="AB269" t="str">
        <f t="shared" si="42"/>
        <v/>
      </c>
      <c r="AC269" t="str">
        <f t="shared" si="43"/>
        <v/>
      </c>
      <c r="AD269">
        <f t="shared" si="44"/>
        <v>622288896</v>
      </c>
      <c r="AE269" t="str">
        <f t="shared" si="45"/>
        <v/>
      </c>
      <c r="AF269" t="str">
        <f t="shared" si="46"/>
        <v/>
      </c>
      <c r="AG269" t="str">
        <f t="shared" si="47"/>
        <v/>
      </c>
      <c r="AH269" t="str">
        <f t="shared" si="48"/>
        <v/>
      </c>
      <c r="AI269" t="str">
        <f t="shared" si="49"/>
        <v/>
      </c>
      <c r="AJ269" t="str">
        <f t="shared" si="50"/>
        <v/>
      </c>
    </row>
    <row r="270" spans="12:36">
      <c r="L270" t="s">
        <v>459</v>
      </c>
      <c r="M270" t="s">
        <v>73</v>
      </c>
      <c r="N270">
        <v>17776640</v>
      </c>
      <c r="O270" t="s">
        <v>74</v>
      </c>
      <c r="P270" t="s">
        <v>74</v>
      </c>
      <c r="Q270" t="s">
        <v>177</v>
      </c>
      <c r="R270" t="str">
        <f t="shared" si="41"/>
        <v>1x</v>
      </c>
      <c r="U270">
        <v>1</v>
      </c>
      <c r="AB270" t="str">
        <f t="shared" si="42"/>
        <v/>
      </c>
      <c r="AC270" t="str">
        <f t="shared" si="43"/>
        <v/>
      </c>
      <c r="AD270">
        <f t="shared" si="44"/>
        <v>17776640</v>
      </c>
      <c r="AE270" t="str">
        <f t="shared" si="45"/>
        <v/>
      </c>
      <c r="AF270" t="str">
        <f t="shared" si="46"/>
        <v/>
      </c>
      <c r="AG270" t="str">
        <f t="shared" si="47"/>
        <v/>
      </c>
      <c r="AH270" t="str">
        <f t="shared" si="48"/>
        <v/>
      </c>
      <c r="AI270" t="str">
        <f t="shared" si="49"/>
        <v/>
      </c>
      <c r="AJ270" t="str">
        <f t="shared" si="50"/>
        <v/>
      </c>
    </row>
    <row r="271" spans="12:36">
      <c r="L271" t="s">
        <v>459</v>
      </c>
      <c r="M271" t="s">
        <v>126</v>
      </c>
      <c r="N271">
        <v>14311424</v>
      </c>
      <c r="O271" t="s">
        <v>176</v>
      </c>
      <c r="P271" t="s">
        <v>104</v>
      </c>
      <c r="Q271" t="s">
        <v>177</v>
      </c>
      <c r="R271" t="str">
        <f t="shared" ref="R271:R329" si="51">IF(ISNUMBER(SEARCH("_2x", L271)), "2x", IF(ISNUMBER(SEARCH("_5x", L271)), "5x", IF(ISNUMBER(SEARCH("_10x", L271)), "10x", "1x")))</f>
        <v>1x</v>
      </c>
      <c r="U271">
        <v>1</v>
      </c>
      <c r="AB271" t="str">
        <f t="shared" si="42"/>
        <v/>
      </c>
      <c r="AC271" t="str">
        <f t="shared" si="43"/>
        <v/>
      </c>
      <c r="AD271">
        <f t="shared" si="44"/>
        <v>14311424</v>
      </c>
      <c r="AE271" t="str">
        <f t="shared" si="45"/>
        <v/>
      </c>
      <c r="AF271" t="str">
        <f t="shared" si="46"/>
        <v/>
      </c>
      <c r="AG271" t="str">
        <f t="shared" si="47"/>
        <v/>
      </c>
      <c r="AH271" t="str">
        <f t="shared" si="48"/>
        <v/>
      </c>
      <c r="AI271" t="str">
        <f t="shared" si="49"/>
        <v/>
      </c>
      <c r="AJ271" t="str">
        <f t="shared" si="50"/>
        <v/>
      </c>
    </row>
    <row r="272" spans="12:36">
      <c r="L272" t="s">
        <v>459</v>
      </c>
      <c r="M272" t="s">
        <v>76</v>
      </c>
      <c r="N272">
        <v>70828032</v>
      </c>
      <c r="O272" t="s">
        <v>296</v>
      </c>
      <c r="P272" t="s">
        <v>78</v>
      </c>
      <c r="Q272" t="s">
        <v>213</v>
      </c>
      <c r="R272" t="str">
        <f t="shared" si="51"/>
        <v>1x</v>
      </c>
      <c r="U272">
        <v>1</v>
      </c>
      <c r="AB272" t="str">
        <f t="shared" si="42"/>
        <v/>
      </c>
      <c r="AC272" t="str">
        <f t="shared" si="43"/>
        <v/>
      </c>
      <c r="AD272">
        <f t="shared" si="44"/>
        <v>70828032</v>
      </c>
      <c r="AE272" t="str">
        <f t="shared" si="45"/>
        <v/>
      </c>
      <c r="AF272" t="str">
        <f t="shared" si="46"/>
        <v/>
      </c>
      <c r="AG272" t="str">
        <f t="shared" si="47"/>
        <v/>
      </c>
      <c r="AH272" t="str">
        <f t="shared" si="48"/>
        <v/>
      </c>
      <c r="AI272" t="str">
        <f t="shared" si="49"/>
        <v/>
      </c>
      <c r="AJ272" t="str">
        <f t="shared" si="50"/>
        <v/>
      </c>
    </row>
    <row r="273" spans="12:36">
      <c r="L273" t="s">
        <v>461</v>
      </c>
      <c r="M273" t="s">
        <v>91</v>
      </c>
      <c r="N273">
        <v>70385664</v>
      </c>
      <c r="O273" t="s">
        <v>92</v>
      </c>
      <c r="P273" t="s">
        <v>93</v>
      </c>
      <c r="Q273" t="s">
        <v>94</v>
      </c>
      <c r="R273" t="str">
        <f t="shared" si="51"/>
        <v>2x</v>
      </c>
      <c r="U273">
        <v>1</v>
      </c>
      <c r="AB273" t="str">
        <f t="shared" si="42"/>
        <v/>
      </c>
      <c r="AC273" t="str">
        <f t="shared" si="43"/>
        <v/>
      </c>
      <c r="AD273">
        <f t="shared" si="44"/>
        <v>70385664</v>
      </c>
      <c r="AE273" t="str">
        <f t="shared" si="45"/>
        <v/>
      </c>
      <c r="AF273" t="str">
        <f t="shared" si="46"/>
        <v/>
      </c>
      <c r="AG273" t="str">
        <f t="shared" si="47"/>
        <v/>
      </c>
      <c r="AH273" t="str">
        <f t="shared" si="48"/>
        <v/>
      </c>
      <c r="AI273" t="str">
        <f t="shared" si="49"/>
        <v/>
      </c>
      <c r="AJ273" t="str">
        <f t="shared" si="50"/>
        <v/>
      </c>
    </row>
    <row r="274" spans="12:36">
      <c r="L274" t="s">
        <v>461</v>
      </c>
      <c r="M274" t="s">
        <v>95</v>
      </c>
      <c r="N274">
        <v>31948800</v>
      </c>
      <c r="O274" t="s">
        <v>96</v>
      </c>
      <c r="P274" t="s">
        <v>97</v>
      </c>
      <c r="Q274" t="s">
        <v>98</v>
      </c>
      <c r="R274" t="str">
        <f t="shared" si="51"/>
        <v>2x</v>
      </c>
      <c r="U274">
        <v>1</v>
      </c>
      <c r="AB274" t="str">
        <f t="shared" si="42"/>
        <v/>
      </c>
      <c r="AC274" t="str">
        <f t="shared" si="43"/>
        <v/>
      </c>
      <c r="AD274">
        <f t="shared" si="44"/>
        <v>31948800</v>
      </c>
      <c r="AE274" t="str">
        <f t="shared" si="45"/>
        <v/>
      </c>
      <c r="AF274" t="str">
        <f t="shared" si="46"/>
        <v/>
      </c>
      <c r="AG274" t="str">
        <f t="shared" si="47"/>
        <v/>
      </c>
      <c r="AH274" t="str">
        <f t="shared" si="48"/>
        <v/>
      </c>
      <c r="AI274" t="str">
        <f t="shared" si="49"/>
        <v/>
      </c>
      <c r="AJ274" t="str">
        <f t="shared" si="50"/>
        <v/>
      </c>
    </row>
    <row r="275" spans="12:36">
      <c r="L275" t="s">
        <v>461</v>
      </c>
      <c r="M275" t="s">
        <v>103</v>
      </c>
      <c r="N275">
        <v>125034496</v>
      </c>
      <c r="O275" t="s">
        <v>149</v>
      </c>
      <c r="P275" t="s">
        <v>150</v>
      </c>
      <c r="Q275" t="s">
        <v>148</v>
      </c>
      <c r="R275" t="str">
        <f t="shared" si="51"/>
        <v>2x</v>
      </c>
      <c r="U275">
        <v>1</v>
      </c>
      <c r="AB275" t="str">
        <f t="shared" si="42"/>
        <v/>
      </c>
      <c r="AC275" t="str">
        <f t="shared" si="43"/>
        <v/>
      </c>
      <c r="AD275">
        <f t="shared" si="44"/>
        <v>125034496</v>
      </c>
      <c r="AE275" t="str">
        <f t="shared" si="45"/>
        <v/>
      </c>
      <c r="AF275" t="str">
        <f t="shared" si="46"/>
        <v/>
      </c>
      <c r="AG275" t="str">
        <f t="shared" si="47"/>
        <v/>
      </c>
      <c r="AH275" t="str">
        <f t="shared" si="48"/>
        <v/>
      </c>
      <c r="AI275" t="str">
        <f t="shared" si="49"/>
        <v/>
      </c>
      <c r="AJ275" t="str">
        <f t="shared" si="50"/>
        <v/>
      </c>
    </row>
    <row r="276" spans="12:36">
      <c r="L276" t="s">
        <v>461</v>
      </c>
      <c r="M276" t="s">
        <v>69</v>
      </c>
      <c r="N276">
        <v>1244471296</v>
      </c>
      <c r="O276" t="s">
        <v>462</v>
      </c>
      <c r="P276" t="s">
        <v>137</v>
      </c>
      <c r="Q276" t="s">
        <v>463</v>
      </c>
      <c r="R276" t="str">
        <f t="shared" si="51"/>
        <v>2x</v>
      </c>
      <c r="U276">
        <v>1</v>
      </c>
      <c r="AB276" t="str">
        <f t="shared" si="42"/>
        <v/>
      </c>
      <c r="AC276" t="str">
        <f t="shared" si="43"/>
        <v/>
      </c>
      <c r="AD276">
        <f t="shared" si="44"/>
        <v>1244471296</v>
      </c>
      <c r="AE276" t="str">
        <f t="shared" si="45"/>
        <v/>
      </c>
      <c r="AF276" t="str">
        <f t="shared" si="46"/>
        <v/>
      </c>
      <c r="AG276" t="str">
        <f t="shared" si="47"/>
        <v/>
      </c>
      <c r="AH276" t="str">
        <f t="shared" si="48"/>
        <v/>
      </c>
      <c r="AI276" t="str">
        <f t="shared" si="49"/>
        <v/>
      </c>
      <c r="AJ276" t="str">
        <f t="shared" si="50"/>
        <v/>
      </c>
    </row>
    <row r="277" spans="12:36">
      <c r="L277" t="s">
        <v>461</v>
      </c>
      <c r="M277" t="s">
        <v>73</v>
      </c>
      <c r="N277">
        <v>35495936</v>
      </c>
      <c r="O277" t="s">
        <v>397</v>
      </c>
      <c r="P277" t="s">
        <v>140</v>
      </c>
      <c r="Q277" t="s">
        <v>164</v>
      </c>
      <c r="R277" t="str">
        <f t="shared" si="51"/>
        <v>2x</v>
      </c>
      <c r="U277">
        <v>1</v>
      </c>
      <c r="AB277" t="str">
        <f t="shared" si="42"/>
        <v/>
      </c>
      <c r="AC277" t="str">
        <f t="shared" si="43"/>
        <v/>
      </c>
      <c r="AD277">
        <f t="shared" si="44"/>
        <v>35495936</v>
      </c>
      <c r="AE277" t="str">
        <f t="shared" si="45"/>
        <v/>
      </c>
      <c r="AF277" t="str">
        <f t="shared" si="46"/>
        <v/>
      </c>
      <c r="AG277" t="str">
        <f t="shared" si="47"/>
        <v/>
      </c>
      <c r="AH277" t="str">
        <f t="shared" si="48"/>
        <v/>
      </c>
      <c r="AI277" t="str">
        <f t="shared" si="49"/>
        <v/>
      </c>
      <c r="AJ277" t="str">
        <f t="shared" si="50"/>
        <v/>
      </c>
    </row>
    <row r="278" spans="12:36">
      <c r="L278" t="s">
        <v>461</v>
      </c>
      <c r="M278" t="s">
        <v>126</v>
      </c>
      <c r="N278">
        <v>28549120</v>
      </c>
      <c r="O278" t="s">
        <v>162</v>
      </c>
      <c r="P278" t="s">
        <v>163</v>
      </c>
      <c r="Q278" t="s">
        <v>164</v>
      </c>
      <c r="R278" t="str">
        <f t="shared" si="51"/>
        <v>2x</v>
      </c>
      <c r="U278">
        <v>1</v>
      </c>
      <c r="AB278" t="str">
        <f t="shared" si="42"/>
        <v/>
      </c>
      <c r="AC278" t="str">
        <f t="shared" si="43"/>
        <v/>
      </c>
      <c r="AD278">
        <f t="shared" si="44"/>
        <v>28549120</v>
      </c>
      <c r="AE278" t="str">
        <f t="shared" si="45"/>
        <v/>
      </c>
      <c r="AF278" t="str">
        <f t="shared" si="46"/>
        <v/>
      </c>
      <c r="AG278" t="str">
        <f t="shared" si="47"/>
        <v/>
      </c>
      <c r="AH278" t="str">
        <f t="shared" si="48"/>
        <v/>
      </c>
      <c r="AI278" t="str">
        <f t="shared" si="49"/>
        <v/>
      </c>
      <c r="AJ278" t="str">
        <f t="shared" si="50"/>
        <v/>
      </c>
    </row>
    <row r="279" spans="12:36">
      <c r="L279" t="s">
        <v>461</v>
      </c>
      <c r="M279" t="s">
        <v>76</v>
      </c>
      <c r="N279">
        <v>141541376</v>
      </c>
      <c r="O279" t="s">
        <v>276</v>
      </c>
      <c r="P279" t="s">
        <v>143</v>
      </c>
      <c r="Q279" t="s">
        <v>277</v>
      </c>
      <c r="R279" t="str">
        <f t="shared" si="51"/>
        <v>2x</v>
      </c>
      <c r="U279">
        <v>1</v>
      </c>
      <c r="AB279" t="str">
        <f t="shared" si="42"/>
        <v/>
      </c>
      <c r="AC279" t="str">
        <f t="shared" si="43"/>
        <v/>
      </c>
      <c r="AD279">
        <f t="shared" si="44"/>
        <v>141541376</v>
      </c>
      <c r="AE279" t="str">
        <f t="shared" si="45"/>
        <v/>
      </c>
      <c r="AF279" t="str">
        <f t="shared" si="46"/>
        <v/>
      </c>
      <c r="AG279" t="str">
        <f t="shared" si="47"/>
        <v/>
      </c>
      <c r="AH279" t="str">
        <f t="shared" si="48"/>
        <v/>
      </c>
      <c r="AI279" t="str">
        <f t="shared" si="49"/>
        <v/>
      </c>
      <c r="AJ279" t="str">
        <f t="shared" si="50"/>
        <v/>
      </c>
    </row>
    <row r="280" spans="12:36">
      <c r="L280" t="s">
        <v>464</v>
      </c>
      <c r="M280" t="s">
        <v>91</v>
      </c>
      <c r="N280">
        <v>70385664</v>
      </c>
      <c r="O280" t="s">
        <v>92</v>
      </c>
      <c r="P280" t="s">
        <v>93</v>
      </c>
      <c r="Q280" t="s">
        <v>94</v>
      </c>
      <c r="R280" t="str">
        <f t="shared" si="51"/>
        <v>5x</v>
      </c>
      <c r="U280">
        <v>1</v>
      </c>
      <c r="AB280" t="str">
        <f t="shared" si="42"/>
        <v/>
      </c>
      <c r="AC280" t="str">
        <f t="shared" si="43"/>
        <v/>
      </c>
      <c r="AD280">
        <f t="shared" si="44"/>
        <v>70385664</v>
      </c>
      <c r="AE280" t="str">
        <f t="shared" si="45"/>
        <v/>
      </c>
      <c r="AF280" t="str">
        <f t="shared" si="46"/>
        <v/>
      </c>
      <c r="AG280" t="str">
        <f t="shared" si="47"/>
        <v/>
      </c>
      <c r="AH280" t="str">
        <f t="shared" si="48"/>
        <v/>
      </c>
      <c r="AI280" t="str">
        <f t="shared" si="49"/>
        <v/>
      </c>
      <c r="AJ280" t="str">
        <f t="shared" si="50"/>
        <v/>
      </c>
    </row>
    <row r="281" spans="12:36">
      <c r="L281" t="s">
        <v>464</v>
      </c>
      <c r="M281" t="s">
        <v>95</v>
      </c>
      <c r="N281">
        <v>31948800</v>
      </c>
      <c r="O281" t="s">
        <v>96</v>
      </c>
      <c r="P281" t="s">
        <v>97</v>
      </c>
      <c r="Q281" t="s">
        <v>98</v>
      </c>
      <c r="R281" t="str">
        <f t="shared" si="51"/>
        <v>5x</v>
      </c>
      <c r="U281">
        <v>1</v>
      </c>
      <c r="AB281" t="str">
        <f t="shared" si="42"/>
        <v/>
      </c>
      <c r="AC281" t="str">
        <f t="shared" si="43"/>
        <v/>
      </c>
      <c r="AD281">
        <f t="shared" si="44"/>
        <v>31948800</v>
      </c>
      <c r="AE281" t="str">
        <f t="shared" si="45"/>
        <v/>
      </c>
      <c r="AF281" t="str">
        <f t="shared" si="46"/>
        <v/>
      </c>
      <c r="AG281" t="str">
        <f t="shared" si="47"/>
        <v/>
      </c>
      <c r="AH281" t="str">
        <f t="shared" si="48"/>
        <v/>
      </c>
      <c r="AI281" t="str">
        <f t="shared" si="49"/>
        <v/>
      </c>
      <c r="AJ281" t="str">
        <f t="shared" si="50"/>
        <v/>
      </c>
    </row>
    <row r="282" spans="12:36">
      <c r="L282" t="s">
        <v>464</v>
      </c>
      <c r="M282" t="s">
        <v>103</v>
      </c>
      <c r="N282">
        <v>312459264</v>
      </c>
      <c r="O282" t="s">
        <v>384</v>
      </c>
      <c r="P282" t="s">
        <v>385</v>
      </c>
      <c r="Q282" t="s">
        <v>383</v>
      </c>
      <c r="R282" t="str">
        <f t="shared" si="51"/>
        <v>5x</v>
      </c>
      <c r="U282">
        <v>1</v>
      </c>
      <c r="AB282" t="str">
        <f t="shared" si="42"/>
        <v/>
      </c>
      <c r="AC282" t="str">
        <f t="shared" si="43"/>
        <v/>
      </c>
      <c r="AD282">
        <f t="shared" si="44"/>
        <v>312459264</v>
      </c>
      <c r="AE282" t="str">
        <f t="shared" si="45"/>
        <v/>
      </c>
      <c r="AF282" t="str">
        <f t="shared" si="46"/>
        <v/>
      </c>
      <c r="AG282" t="str">
        <f t="shared" si="47"/>
        <v/>
      </c>
      <c r="AH282" t="str">
        <f t="shared" si="48"/>
        <v/>
      </c>
      <c r="AI282" t="str">
        <f t="shared" si="49"/>
        <v/>
      </c>
      <c r="AJ282" t="str">
        <f t="shared" si="50"/>
        <v/>
      </c>
    </row>
    <row r="283" spans="12:36">
      <c r="L283" t="s">
        <v>464</v>
      </c>
      <c r="M283" t="s">
        <v>69</v>
      </c>
      <c r="N283">
        <v>3111018496</v>
      </c>
      <c r="O283" t="s">
        <v>465</v>
      </c>
      <c r="P283" t="s">
        <v>97</v>
      </c>
      <c r="Q283" t="s">
        <v>137</v>
      </c>
      <c r="R283" t="str">
        <f t="shared" si="51"/>
        <v>5x</v>
      </c>
      <c r="U283">
        <v>1</v>
      </c>
      <c r="AB283" t="str">
        <f t="shared" si="42"/>
        <v/>
      </c>
      <c r="AC283" t="str">
        <f t="shared" si="43"/>
        <v/>
      </c>
      <c r="AD283">
        <f t="shared" si="44"/>
        <v>3111018496</v>
      </c>
      <c r="AE283" t="str">
        <f t="shared" si="45"/>
        <v/>
      </c>
      <c r="AF283" t="str">
        <f t="shared" si="46"/>
        <v/>
      </c>
      <c r="AG283" t="str">
        <f t="shared" si="47"/>
        <v/>
      </c>
      <c r="AH283" t="str">
        <f t="shared" si="48"/>
        <v/>
      </c>
      <c r="AI283" t="str">
        <f t="shared" si="49"/>
        <v/>
      </c>
      <c r="AJ283" t="str">
        <f t="shared" si="50"/>
        <v/>
      </c>
    </row>
    <row r="284" spans="12:36">
      <c r="L284" t="s">
        <v>464</v>
      </c>
      <c r="M284" t="s">
        <v>73</v>
      </c>
      <c r="N284">
        <v>88637440</v>
      </c>
      <c r="O284" t="s">
        <v>344</v>
      </c>
      <c r="P284" t="s">
        <v>253</v>
      </c>
      <c r="Q284" t="s">
        <v>395</v>
      </c>
      <c r="R284" t="str">
        <f t="shared" si="51"/>
        <v>5x</v>
      </c>
      <c r="U284">
        <v>1</v>
      </c>
      <c r="AB284" t="str">
        <f t="shared" si="42"/>
        <v/>
      </c>
      <c r="AC284" t="str">
        <f t="shared" si="43"/>
        <v/>
      </c>
      <c r="AD284">
        <f t="shared" si="44"/>
        <v>88637440</v>
      </c>
      <c r="AE284" t="str">
        <f t="shared" si="45"/>
        <v/>
      </c>
      <c r="AF284" t="str">
        <f t="shared" si="46"/>
        <v/>
      </c>
      <c r="AG284" t="str">
        <f t="shared" si="47"/>
        <v/>
      </c>
      <c r="AH284" t="str">
        <f t="shared" si="48"/>
        <v/>
      </c>
      <c r="AI284" t="str">
        <f t="shared" si="49"/>
        <v/>
      </c>
      <c r="AJ284" t="str">
        <f t="shared" si="50"/>
        <v/>
      </c>
    </row>
    <row r="285" spans="12:36">
      <c r="L285" t="s">
        <v>464</v>
      </c>
      <c r="M285" t="s">
        <v>126</v>
      </c>
      <c r="N285">
        <v>71303168</v>
      </c>
      <c r="O285" t="s">
        <v>296</v>
      </c>
      <c r="P285" t="s">
        <v>394</v>
      </c>
      <c r="Q285" t="s">
        <v>395</v>
      </c>
      <c r="R285" t="str">
        <f t="shared" si="51"/>
        <v>5x</v>
      </c>
      <c r="U285">
        <v>1</v>
      </c>
      <c r="AB285" t="str">
        <f t="shared" si="42"/>
        <v/>
      </c>
      <c r="AC285" t="str">
        <f t="shared" si="43"/>
        <v/>
      </c>
      <c r="AD285">
        <f t="shared" si="44"/>
        <v>71303168</v>
      </c>
      <c r="AE285" t="str">
        <f t="shared" si="45"/>
        <v/>
      </c>
      <c r="AF285" t="str">
        <f t="shared" si="46"/>
        <v/>
      </c>
      <c r="AG285" t="str">
        <f t="shared" si="47"/>
        <v/>
      </c>
      <c r="AH285" t="str">
        <f t="shared" si="48"/>
        <v/>
      </c>
      <c r="AI285" t="str">
        <f t="shared" si="49"/>
        <v/>
      </c>
      <c r="AJ285" t="str">
        <f t="shared" si="50"/>
        <v/>
      </c>
    </row>
    <row r="286" spans="12:36">
      <c r="L286" t="s">
        <v>464</v>
      </c>
      <c r="M286" t="s">
        <v>76</v>
      </c>
      <c r="N286">
        <v>353730560</v>
      </c>
      <c r="O286" t="s">
        <v>429</v>
      </c>
      <c r="P286" t="s">
        <v>378</v>
      </c>
      <c r="Q286" t="s">
        <v>431</v>
      </c>
      <c r="R286" t="str">
        <f t="shared" si="51"/>
        <v>5x</v>
      </c>
      <c r="U286">
        <v>1</v>
      </c>
      <c r="AB286" t="str">
        <f t="shared" si="42"/>
        <v/>
      </c>
      <c r="AC286" t="str">
        <f t="shared" si="43"/>
        <v/>
      </c>
      <c r="AD286">
        <f t="shared" si="44"/>
        <v>353730560</v>
      </c>
      <c r="AE286" t="str">
        <f t="shared" si="45"/>
        <v/>
      </c>
      <c r="AF286" t="str">
        <f t="shared" si="46"/>
        <v/>
      </c>
      <c r="AG286" t="str">
        <f t="shared" si="47"/>
        <v/>
      </c>
      <c r="AH286" t="str">
        <f t="shared" si="48"/>
        <v/>
      </c>
      <c r="AI286" t="str">
        <f t="shared" si="49"/>
        <v/>
      </c>
      <c r="AJ286" t="str">
        <f t="shared" si="50"/>
        <v/>
      </c>
    </row>
    <row r="287" spans="12:36">
      <c r="L287" t="s">
        <v>466</v>
      </c>
      <c r="M287" t="s">
        <v>91</v>
      </c>
      <c r="N287">
        <v>70385664</v>
      </c>
      <c r="O287" t="s">
        <v>92</v>
      </c>
      <c r="P287" t="s">
        <v>93</v>
      </c>
      <c r="Q287" t="s">
        <v>94</v>
      </c>
      <c r="R287" t="str">
        <f t="shared" si="51"/>
        <v>10x</v>
      </c>
      <c r="U287">
        <v>1</v>
      </c>
      <c r="AB287" t="str">
        <f t="shared" si="42"/>
        <v/>
      </c>
      <c r="AC287" t="str">
        <f t="shared" si="43"/>
        <v/>
      </c>
      <c r="AD287">
        <f t="shared" si="44"/>
        <v>70385664</v>
      </c>
      <c r="AE287" t="str">
        <f t="shared" si="45"/>
        <v/>
      </c>
      <c r="AF287" t="str">
        <f t="shared" si="46"/>
        <v/>
      </c>
      <c r="AG287" t="str">
        <f t="shared" si="47"/>
        <v/>
      </c>
      <c r="AH287" t="str">
        <f t="shared" si="48"/>
        <v/>
      </c>
      <c r="AI287" t="str">
        <f t="shared" si="49"/>
        <v/>
      </c>
      <c r="AJ287" t="str">
        <f t="shared" si="50"/>
        <v/>
      </c>
    </row>
    <row r="288" spans="12:36">
      <c r="L288" t="s">
        <v>466</v>
      </c>
      <c r="M288" t="s">
        <v>95</v>
      </c>
      <c r="N288">
        <v>31948800</v>
      </c>
      <c r="O288" t="s">
        <v>96</v>
      </c>
      <c r="P288" t="s">
        <v>97</v>
      </c>
      <c r="Q288" t="s">
        <v>98</v>
      </c>
      <c r="R288" t="str">
        <f t="shared" si="51"/>
        <v>10x</v>
      </c>
      <c r="U288">
        <v>1</v>
      </c>
      <c r="AB288" t="str">
        <f t="shared" si="42"/>
        <v/>
      </c>
      <c r="AC288" t="str">
        <f t="shared" si="43"/>
        <v/>
      </c>
      <c r="AD288">
        <f t="shared" si="44"/>
        <v>31948800</v>
      </c>
      <c r="AE288" t="str">
        <f t="shared" si="45"/>
        <v/>
      </c>
      <c r="AF288" t="str">
        <f t="shared" si="46"/>
        <v/>
      </c>
      <c r="AG288" t="str">
        <f t="shared" si="47"/>
        <v/>
      </c>
      <c r="AH288" t="str">
        <f t="shared" si="48"/>
        <v/>
      </c>
      <c r="AI288" t="str">
        <f t="shared" si="49"/>
        <v/>
      </c>
      <c r="AJ288" t="str">
        <f t="shared" si="50"/>
        <v/>
      </c>
    </row>
    <row r="289" spans="12:36">
      <c r="L289" t="s">
        <v>466</v>
      </c>
      <c r="M289" t="s">
        <v>103</v>
      </c>
      <c r="N289">
        <v>624812032</v>
      </c>
      <c r="O289" t="s">
        <v>70</v>
      </c>
      <c r="P289" t="s">
        <v>104</v>
      </c>
      <c r="Q289" t="s">
        <v>102</v>
      </c>
      <c r="R289" t="str">
        <f t="shared" si="51"/>
        <v>10x</v>
      </c>
      <c r="U289">
        <v>1</v>
      </c>
      <c r="AB289" t="str">
        <f t="shared" si="42"/>
        <v/>
      </c>
      <c r="AC289" t="str">
        <f t="shared" si="43"/>
        <v/>
      </c>
      <c r="AD289">
        <f t="shared" si="44"/>
        <v>624812032</v>
      </c>
      <c r="AE289" t="str">
        <f t="shared" si="45"/>
        <v/>
      </c>
      <c r="AF289" t="str">
        <f t="shared" si="46"/>
        <v/>
      </c>
      <c r="AG289" t="str">
        <f t="shared" si="47"/>
        <v/>
      </c>
      <c r="AH289" t="str">
        <f t="shared" si="48"/>
        <v/>
      </c>
      <c r="AI289" t="str">
        <f t="shared" si="49"/>
        <v/>
      </c>
      <c r="AJ289" t="str">
        <f t="shared" si="50"/>
        <v/>
      </c>
    </row>
    <row r="290" spans="12:36">
      <c r="L290" t="s">
        <v>466</v>
      </c>
      <c r="M290" t="s">
        <v>69</v>
      </c>
      <c r="N290">
        <v>6221987840</v>
      </c>
      <c r="O290" t="s">
        <v>467</v>
      </c>
      <c r="P290" t="s">
        <v>82</v>
      </c>
      <c r="Q290" t="s">
        <v>435</v>
      </c>
      <c r="R290" t="str">
        <f t="shared" si="51"/>
        <v>10x</v>
      </c>
      <c r="U290">
        <v>1</v>
      </c>
      <c r="AB290" t="str">
        <f t="shared" si="42"/>
        <v/>
      </c>
      <c r="AC290" t="str">
        <f t="shared" si="43"/>
        <v/>
      </c>
      <c r="AD290">
        <f t="shared" si="44"/>
        <v>6221987840</v>
      </c>
      <c r="AE290" t="str">
        <f t="shared" si="45"/>
        <v/>
      </c>
      <c r="AF290" t="str">
        <f t="shared" si="46"/>
        <v/>
      </c>
      <c r="AG290" t="str">
        <f t="shared" si="47"/>
        <v/>
      </c>
      <c r="AH290" t="str">
        <f t="shared" si="48"/>
        <v/>
      </c>
      <c r="AI290" t="str">
        <f t="shared" si="49"/>
        <v/>
      </c>
      <c r="AJ290" t="str">
        <f t="shared" si="50"/>
        <v/>
      </c>
    </row>
    <row r="291" spans="12:36">
      <c r="L291" t="s">
        <v>466</v>
      </c>
      <c r="M291" t="s">
        <v>73</v>
      </c>
      <c r="N291">
        <v>177225728</v>
      </c>
      <c r="O291" t="s">
        <v>468</v>
      </c>
      <c r="P291" t="s">
        <v>85</v>
      </c>
      <c r="Q291" t="s">
        <v>129</v>
      </c>
      <c r="R291" t="str">
        <f t="shared" si="51"/>
        <v>10x</v>
      </c>
      <c r="U291">
        <v>1</v>
      </c>
      <c r="AB291" t="str">
        <f t="shared" si="42"/>
        <v/>
      </c>
      <c r="AC291" t="str">
        <f t="shared" si="43"/>
        <v/>
      </c>
      <c r="AD291">
        <f t="shared" si="44"/>
        <v>177225728</v>
      </c>
      <c r="AE291" t="str">
        <f t="shared" si="45"/>
        <v/>
      </c>
      <c r="AF291" t="str">
        <f t="shared" si="46"/>
        <v/>
      </c>
      <c r="AG291" t="str">
        <f t="shared" si="47"/>
        <v/>
      </c>
      <c r="AH291" t="str">
        <f t="shared" si="48"/>
        <v/>
      </c>
      <c r="AI291" t="str">
        <f t="shared" si="49"/>
        <v/>
      </c>
      <c r="AJ291" t="str">
        <f t="shared" si="50"/>
        <v/>
      </c>
    </row>
    <row r="292" spans="12:36">
      <c r="L292" t="s">
        <v>466</v>
      </c>
      <c r="M292" t="s">
        <v>126</v>
      </c>
      <c r="N292">
        <v>142548992</v>
      </c>
      <c r="O292" t="s">
        <v>127</v>
      </c>
      <c r="P292" t="s">
        <v>128</v>
      </c>
      <c r="Q292" t="s">
        <v>129</v>
      </c>
      <c r="R292" t="str">
        <f t="shared" si="51"/>
        <v>10x</v>
      </c>
      <c r="U292">
        <v>1</v>
      </c>
      <c r="AB292" t="str">
        <f t="shared" si="42"/>
        <v/>
      </c>
      <c r="AC292" t="str">
        <f t="shared" si="43"/>
        <v/>
      </c>
      <c r="AD292">
        <f t="shared" si="44"/>
        <v>142548992</v>
      </c>
      <c r="AE292" t="str">
        <f t="shared" si="45"/>
        <v/>
      </c>
      <c r="AF292" t="str">
        <f t="shared" si="46"/>
        <v/>
      </c>
      <c r="AG292" t="str">
        <f t="shared" si="47"/>
        <v/>
      </c>
      <c r="AH292" t="str">
        <f t="shared" si="48"/>
        <v/>
      </c>
      <c r="AI292" t="str">
        <f t="shared" si="49"/>
        <v/>
      </c>
      <c r="AJ292" t="str">
        <f t="shared" si="50"/>
        <v/>
      </c>
    </row>
    <row r="293" spans="12:36">
      <c r="L293" t="s">
        <v>466</v>
      </c>
      <c r="M293" t="s">
        <v>76</v>
      </c>
      <c r="N293">
        <v>707346432</v>
      </c>
      <c r="O293" t="s">
        <v>262</v>
      </c>
      <c r="P293" t="s">
        <v>88</v>
      </c>
      <c r="Q293" t="s">
        <v>263</v>
      </c>
      <c r="R293" t="str">
        <f t="shared" si="51"/>
        <v>10x</v>
      </c>
      <c r="U293">
        <v>1</v>
      </c>
      <c r="AB293" t="str">
        <f t="shared" si="42"/>
        <v/>
      </c>
      <c r="AC293" t="str">
        <f t="shared" si="43"/>
        <v/>
      </c>
      <c r="AD293">
        <f t="shared" si="44"/>
        <v>707346432</v>
      </c>
      <c r="AE293" t="str">
        <f t="shared" si="45"/>
        <v/>
      </c>
      <c r="AF293" t="str">
        <f t="shared" si="46"/>
        <v/>
      </c>
      <c r="AG293" t="str">
        <f t="shared" si="47"/>
        <v/>
      </c>
      <c r="AH293" t="str">
        <f t="shared" si="48"/>
        <v/>
      </c>
      <c r="AI293" t="str">
        <f t="shared" si="49"/>
        <v/>
      </c>
      <c r="AJ293" t="str">
        <f t="shared" si="50"/>
        <v/>
      </c>
    </row>
    <row r="294" spans="12:36">
      <c r="L294" t="s">
        <v>469</v>
      </c>
      <c r="M294" t="s">
        <v>91</v>
      </c>
      <c r="N294">
        <v>70385664</v>
      </c>
      <c r="O294" t="s">
        <v>92</v>
      </c>
      <c r="P294" t="s">
        <v>93</v>
      </c>
      <c r="Q294" t="s">
        <v>94</v>
      </c>
      <c r="R294" t="str">
        <f t="shared" si="51"/>
        <v>1x</v>
      </c>
      <c r="X294">
        <v>1</v>
      </c>
      <c r="AB294" t="str">
        <f t="shared" si="42"/>
        <v/>
      </c>
      <c r="AC294" t="str">
        <f t="shared" si="43"/>
        <v/>
      </c>
      <c r="AD294" t="str">
        <f t="shared" si="44"/>
        <v/>
      </c>
      <c r="AE294" t="str">
        <f t="shared" si="45"/>
        <v/>
      </c>
      <c r="AF294" t="str">
        <f t="shared" si="46"/>
        <v/>
      </c>
      <c r="AG294">
        <f t="shared" si="47"/>
        <v>70385664</v>
      </c>
      <c r="AH294" t="str">
        <f t="shared" si="48"/>
        <v/>
      </c>
      <c r="AI294" t="str">
        <f t="shared" si="49"/>
        <v/>
      </c>
      <c r="AJ294" t="str">
        <f t="shared" si="50"/>
        <v/>
      </c>
    </row>
    <row r="295" spans="12:36">
      <c r="L295" t="s">
        <v>469</v>
      </c>
      <c r="M295" t="s">
        <v>95</v>
      </c>
      <c r="N295">
        <v>31948800</v>
      </c>
      <c r="O295" t="s">
        <v>96</v>
      </c>
      <c r="P295" t="s">
        <v>97</v>
      </c>
      <c r="Q295" t="s">
        <v>98</v>
      </c>
      <c r="R295" t="str">
        <f t="shared" si="51"/>
        <v>1x</v>
      </c>
      <c r="X295">
        <v>1</v>
      </c>
      <c r="AB295" t="str">
        <f t="shared" si="42"/>
        <v/>
      </c>
      <c r="AC295" t="str">
        <f t="shared" si="43"/>
        <v/>
      </c>
      <c r="AD295" t="str">
        <f t="shared" si="44"/>
        <v/>
      </c>
      <c r="AE295" t="str">
        <f t="shared" si="45"/>
        <v/>
      </c>
      <c r="AF295" t="str">
        <f t="shared" si="46"/>
        <v/>
      </c>
      <c r="AG295">
        <f t="shared" si="47"/>
        <v>31948800</v>
      </c>
      <c r="AH295" t="str">
        <f t="shared" si="48"/>
        <v/>
      </c>
      <c r="AI295" t="str">
        <f t="shared" si="49"/>
        <v/>
      </c>
      <c r="AJ295" t="str">
        <f t="shared" si="50"/>
        <v/>
      </c>
    </row>
    <row r="296" spans="12:36">
      <c r="L296" t="s">
        <v>469</v>
      </c>
      <c r="M296" t="s">
        <v>99</v>
      </c>
      <c r="N296">
        <v>30597120</v>
      </c>
      <c r="O296" t="s">
        <v>97</v>
      </c>
      <c r="P296" t="s">
        <v>97</v>
      </c>
      <c r="Q296" t="s">
        <v>166</v>
      </c>
      <c r="R296" t="str">
        <f t="shared" si="51"/>
        <v>1x</v>
      </c>
      <c r="X296">
        <v>1</v>
      </c>
      <c r="AB296" t="str">
        <f t="shared" si="42"/>
        <v/>
      </c>
      <c r="AC296" t="str">
        <f t="shared" si="43"/>
        <v/>
      </c>
      <c r="AD296" t="str">
        <f t="shared" si="44"/>
        <v/>
      </c>
      <c r="AE296" t="str">
        <f t="shared" si="45"/>
        <v/>
      </c>
      <c r="AF296" t="str">
        <f t="shared" si="46"/>
        <v/>
      </c>
      <c r="AG296">
        <f t="shared" si="47"/>
        <v>30597120</v>
      </c>
      <c r="AH296" t="str">
        <f t="shared" si="48"/>
        <v/>
      </c>
      <c r="AI296" t="str">
        <f t="shared" si="49"/>
        <v/>
      </c>
      <c r="AJ296" t="str">
        <f t="shared" si="50"/>
        <v/>
      </c>
    </row>
    <row r="297" spans="12:36">
      <c r="L297" t="s">
        <v>469</v>
      </c>
      <c r="M297" t="s">
        <v>103</v>
      </c>
      <c r="N297">
        <v>62570496</v>
      </c>
      <c r="O297" t="s">
        <v>167</v>
      </c>
      <c r="P297" t="s">
        <v>168</v>
      </c>
      <c r="Q297" t="s">
        <v>166</v>
      </c>
      <c r="R297" t="str">
        <f t="shared" si="51"/>
        <v>1x</v>
      </c>
      <c r="X297">
        <v>1</v>
      </c>
      <c r="AB297" t="str">
        <f t="shared" si="42"/>
        <v/>
      </c>
      <c r="AC297" t="str">
        <f t="shared" si="43"/>
        <v/>
      </c>
      <c r="AD297" t="str">
        <f t="shared" si="44"/>
        <v/>
      </c>
      <c r="AE297" t="str">
        <f t="shared" si="45"/>
        <v/>
      </c>
      <c r="AF297" t="str">
        <f t="shared" si="46"/>
        <v/>
      </c>
      <c r="AG297">
        <f t="shared" si="47"/>
        <v>62570496</v>
      </c>
      <c r="AH297" t="str">
        <f t="shared" si="48"/>
        <v/>
      </c>
      <c r="AI297" t="str">
        <f t="shared" si="49"/>
        <v/>
      </c>
      <c r="AJ297" t="str">
        <f t="shared" si="50"/>
        <v/>
      </c>
    </row>
    <row r="298" spans="12:36">
      <c r="L298" t="s">
        <v>469</v>
      </c>
      <c r="M298" t="s">
        <v>69</v>
      </c>
      <c r="N298">
        <v>627728384</v>
      </c>
      <c r="O298" t="s">
        <v>470</v>
      </c>
      <c r="P298" t="s">
        <v>71</v>
      </c>
      <c r="Q298" t="s">
        <v>471</v>
      </c>
      <c r="R298" t="str">
        <f t="shared" si="51"/>
        <v>1x</v>
      </c>
      <c r="X298">
        <v>1</v>
      </c>
      <c r="AB298" t="str">
        <f t="shared" si="42"/>
        <v/>
      </c>
      <c r="AC298" t="str">
        <f t="shared" si="43"/>
        <v/>
      </c>
      <c r="AD298" t="str">
        <f t="shared" si="44"/>
        <v/>
      </c>
      <c r="AE298" t="str">
        <f t="shared" si="45"/>
        <v/>
      </c>
      <c r="AF298" t="str">
        <f t="shared" si="46"/>
        <v/>
      </c>
      <c r="AG298">
        <f t="shared" si="47"/>
        <v>627728384</v>
      </c>
      <c r="AH298" t="str">
        <f t="shared" si="48"/>
        <v/>
      </c>
      <c r="AI298" t="str">
        <f t="shared" si="49"/>
        <v/>
      </c>
      <c r="AJ298" t="str">
        <f t="shared" si="50"/>
        <v/>
      </c>
    </row>
    <row r="299" spans="12:36">
      <c r="L299" t="s">
        <v>469</v>
      </c>
      <c r="M299" t="s">
        <v>73</v>
      </c>
      <c r="N299">
        <v>18178048</v>
      </c>
      <c r="O299" t="s">
        <v>74</v>
      </c>
      <c r="P299" t="s">
        <v>74</v>
      </c>
      <c r="Q299" t="s">
        <v>75</v>
      </c>
      <c r="R299" t="str">
        <f t="shared" si="51"/>
        <v>1x</v>
      </c>
      <c r="X299">
        <v>1</v>
      </c>
      <c r="AB299" t="str">
        <f t="shared" si="42"/>
        <v/>
      </c>
      <c r="AC299" t="str">
        <f t="shared" si="43"/>
        <v/>
      </c>
      <c r="AD299" t="str">
        <f t="shared" si="44"/>
        <v/>
      </c>
      <c r="AE299" t="str">
        <f t="shared" si="45"/>
        <v/>
      </c>
      <c r="AF299" t="str">
        <f t="shared" si="46"/>
        <v/>
      </c>
      <c r="AG299">
        <f t="shared" si="47"/>
        <v>18178048</v>
      </c>
      <c r="AH299" t="str">
        <f t="shared" si="48"/>
        <v/>
      </c>
      <c r="AI299" t="str">
        <f t="shared" si="49"/>
        <v/>
      </c>
      <c r="AJ299" t="str">
        <f t="shared" si="50"/>
        <v/>
      </c>
    </row>
    <row r="300" spans="12:36">
      <c r="L300" t="s">
        <v>469</v>
      </c>
      <c r="M300" t="s">
        <v>126</v>
      </c>
      <c r="N300">
        <v>14311424</v>
      </c>
      <c r="O300" t="s">
        <v>176</v>
      </c>
      <c r="P300" t="s">
        <v>104</v>
      </c>
      <c r="Q300" t="s">
        <v>177</v>
      </c>
      <c r="R300" t="str">
        <f t="shared" si="51"/>
        <v>1x</v>
      </c>
      <c r="X300">
        <v>1</v>
      </c>
      <c r="AB300" t="str">
        <f t="shared" si="42"/>
        <v/>
      </c>
      <c r="AC300" t="str">
        <f t="shared" si="43"/>
        <v/>
      </c>
      <c r="AD300" t="str">
        <f t="shared" si="44"/>
        <v/>
      </c>
      <c r="AE300" t="str">
        <f t="shared" si="45"/>
        <v/>
      </c>
      <c r="AF300" t="str">
        <f t="shared" si="46"/>
        <v/>
      </c>
      <c r="AG300">
        <f t="shared" si="47"/>
        <v>14311424</v>
      </c>
      <c r="AH300" t="str">
        <f t="shared" si="48"/>
        <v/>
      </c>
      <c r="AI300" t="str">
        <f t="shared" si="49"/>
        <v/>
      </c>
      <c r="AJ300" t="str">
        <f t="shared" si="50"/>
        <v/>
      </c>
    </row>
    <row r="301" spans="12:36">
      <c r="L301" t="s">
        <v>469</v>
      </c>
      <c r="M301" t="s">
        <v>130</v>
      </c>
      <c r="N301">
        <v>745472</v>
      </c>
      <c r="O301" t="s">
        <v>131</v>
      </c>
      <c r="P301" t="s">
        <v>132</v>
      </c>
      <c r="Q301" t="s">
        <v>111</v>
      </c>
      <c r="R301" t="str">
        <f t="shared" si="51"/>
        <v>1x</v>
      </c>
      <c r="X301">
        <v>1</v>
      </c>
      <c r="AB301" t="str">
        <f t="shared" si="42"/>
        <v/>
      </c>
      <c r="AC301" t="str">
        <f t="shared" si="43"/>
        <v/>
      </c>
      <c r="AD301" t="str">
        <f t="shared" si="44"/>
        <v/>
      </c>
      <c r="AE301" t="str">
        <f t="shared" si="45"/>
        <v/>
      </c>
      <c r="AF301" t="str">
        <f t="shared" si="46"/>
        <v/>
      </c>
      <c r="AG301">
        <f t="shared" si="47"/>
        <v>745472</v>
      </c>
      <c r="AH301" t="str">
        <f t="shared" si="48"/>
        <v/>
      </c>
      <c r="AI301" t="str">
        <f t="shared" si="49"/>
        <v/>
      </c>
      <c r="AJ301" t="str">
        <f t="shared" si="50"/>
        <v/>
      </c>
    </row>
    <row r="302" spans="12:36">
      <c r="L302" t="s">
        <v>469</v>
      </c>
      <c r="M302" t="s">
        <v>76</v>
      </c>
      <c r="N302">
        <v>71933952</v>
      </c>
      <c r="O302" t="s">
        <v>77</v>
      </c>
      <c r="P302" t="s">
        <v>78</v>
      </c>
      <c r="Q302" t="s">
        <v>472</v>
      </c>
      <c r="R302" t="str">
        <f t="shared" si="51"/>
        <v>1x</v>
      </c>
      <c r="X302">
        <v>1</v>
      </c>
      <c r="AB302" t="str">
        <f t="shared" si="42"/>
        <v/>
      </c>
      <c r="AC302" t="str">
        <f t="shared" si="43"/>
        <v/>
      </c>
      <c r="AD302" t="str">
        <f t="shared" si="44"/>
        <v/>
      </c>
      <c r="AE302" t="str">
        <f t="shared" si="45"/>
        <v/>
      </c>
      <c r="AF302" t="str">
        <f t="shared" si="46"/>
        <v/>
      </c>
      <c r="AG302">
        <f t="shared" si="47"/>
        <v>71933952</v>
      </c>
      <c r="AH302" t="str">
        <f t="shared" si="48"/>
        <v/>
      </c>
      <c r="AI302" t="str">
        <f t="shared" si="49"/>
        <v/>
      </c>
      <c r="AJ302" t="str">
        <f t="shared" si="50"/>
        <v/>
      </c>
    </row>
    <row r="303" spans="12:36">
      <c r="L303" t="s">
        <v>473</v>
      </c>
      <c r="M303" t="s">
        <v>91</v>
      </c>
      <c r="N303">
        <v>70385664</v>
      </c>
      <c r="O303" t="s">
        <v>92</v>
      </c>
      <c r="P303" t="s">
        <v>93</v>
      </c>
      <c r="Q303" t="s">
        <v>94</v>
      </c>
      <c r="R303" t="str">
        <f t="shared" si="51"/>
        <v>2x</v>
      </c>
      <c r="X303">
        <v>1</v>
      </c>
      <c r="AB303" t="str">
        <f t="shared" si="42"/>
        <v/>
      </c>
      <c r="AC303" t="str">
        <f t="shared" si="43"/>
        <v/>
      </c>
      <c r="AD303" t="str">
        <f t="shared" si="44"/>
        <v/>
      </c>
      <c r="AE303" t="str">
        <f t="shared" si="45"/>
        <v/>
      </c>
      <c r="AF303" t="str">
        <f t="shared" si="46"/>
        <v/>
      </c>
      <c r="AG303">
        <f t="shared" si="47"/>
        <v>70385664</v>
      </c>
      <c r="AH303" t="str">
        <f t="shared" si="48"/>
        <v/>
      </c>
      <c r="AI303" t="str">
        <f t="shared" si="49"/>
        <v/>
      </c>
      <c r="AJ303" t="str">
        <f t="shared" si="50"/>
        <v/>
      </c>
    </row>
    <row r="304" spans="12:36">
      <c r="L304" t="s">
        <v>473</v>
      </c>
      <c r="M304" t="s">
        <v>95</v>
      </c>
      <c r="N304">
        <v>31948800</v>
      </c>
      <c r="O304" t="s">
        <v>96</v>
      </c>
      <c r="P304" t="s">
        <v>97</v>
      </c>
      <c r="Q304" t="s">
        <v>98</v>
      </c>
      <c r="R304" t="str">
        <f t="shared" si="51"/>
        <v>2x</v>
      </c>
      <c r="X304">
        <v>1</v>
      </c>
      <c r="AB304" t="str">
        <f t="shared" si="42"/>
        <v/>
      </c>
      <c r="AC304" t="str">
        <f t="shared" si="43"/>
        <v/>
      </c>
      <c r="AD304" t="str">
        <f t="shared" si="44"/>
        <v/>
      </c>
      <c r="AE304" t="str">
        <f t="shared" si="45"/>
        <v/>
      </c>
      <c r="AF304" t="str">
        <f t="shared" si="46"/>
        <v/>
      </c>
      <c r="AG304">
        <f t="shared" si="47"/>
        <v>31948800</v>
      </c>
      <c r="AH304" t="str">
        <f t="shared" si="48"/>
        <v/>
      </c>
      <c r="AI304" t="str">
        <f t="shared" si="49"/>
        <v/>
      </c>
      <c r="AJ304" t="str">
        <f t="shared" si="50"/>
        <v/>
      </c>
    </row>
    <row r="305" spans="12:36">
      <c r="L305" t="s">
        <v>473</v>
      </c>
      <c r="M305" t="s">
        <v>99</v>
      </c>
      <c r="N305">
        <v>61726720</v>
      </c>
      <c r="O305" t="s">
        <v>146</v>
      </c>
      <c r="P305" t="s">
        <v>147</v>
      </c>
      <c r="Q305" t="s">
        <v>148</v>
      </c>
      <c r="R305" t="str">
        <f t="shared" si="51"/>
        <v>2x</v>
      </c>
      <c r="X305">
        <v>1</v>
      </c>
      <c r="AB305" t="str">
        <f t="shared" si="42"/>
        <v/>
      </c>
      <c r="AC305" t="str">
        <f t="shared" si="43"/>
        <v/>
      </c>
      <c r="AD305" t="str">
        <f t="shared" si="44"/>
        <v/>
      </c>
      <c r="AE305" t="str">
        <f t="shared" si="45"/>
        <v/>
      </c>
      <c r="AF305" t="str">
        <f t="shared" si="46"/>
        <v/>
      </c>
      <c r="AG305">
        <f t="shared" si="47"/>
        <v>61726720</v>
      </c>
      <c r="AH305" t="str">
        <f t="shared" si="48"/>
        <v/>
      </c>
      <c r="AI305" t="str">
        <f t="shared" si="49"/>
        <v/>
      </c>
      <c r="AJ305" t="str">
        <f t="shared" si="50"/>
        <v/>
      </c>
    </row>
    <row r="306" spans="12:36">
      <c r="L306" t="s">
        <v>473</v>
      </c>
      <c r="M306" t="s">
        <v>103</v>
      </c>
      <c r="N306">
        <v>125034496</v>
      </c>
      <c r="O306" t="s">
        <v>149</v>
      </c>
      <c r="P306" t="s">
        <v>150</v>
      </c>
      <c r="Q306" t="s">
        <v>148</v>
      </c>
      <c r="R306" t="str">
        <f t="shared" si="51"/>
        <v>2x</v>
      </c>
      <c r="X306">
        <v>1</v>
      </c>
      <c r="AB306" t="str">
        <f t="shared" si="42"/>
        <v/>
      </c>
      <c r="AC306" t="str">
        <f t="shared" si="43"/>
        <v/>
      </c>
      <c r="AD306" t="str">
        <f t="shared" si="44"/>
        <v/>
      </c>
      <c r="AE306" t="str">
        <f t="shared" si="45"/>
        <v/>
      </c>
      <c r="AF306" t="str">
        <f t="shared" si="46"/>
        <v/>
      </c>
      <c r="AG306">
        <f t="shared" si="47"/>
        <v>125034496</v>
      </c>
      <c r="AH306" t="str">
        <f t="shared" si="48"/>
        <v/>
      </c>
      <c r="AI306" t="str">
        <f t="shared" si="49"/>
        <v/>
      </c>
      <c r="AJ306" t="str">
        <f t="shared" si="50"/>
        <v/>
      </c>
    </row>
    <row r="307" spans="12:36">
      <c r="L307" t="s">
        <v>473</v>
      </c>
      <c r="M307" t="s">
        <v>69</v>
      </c>
      <c r="N307">
        <v>1255317504</v>
      </c>
      <c r="O307" t="s">
        <v>474</v>
      </c>
      <c r="P307" t="s">
        <v>137</v>
      </c>
      <c r="Q307" t="s">
        <v>88</v>
      </c>
      <c r="R307" t="str">
        <f t="shared" si="51"/>
        <v>2x</v>
      </c>
      <c r="X307">
        <v>1</v>
      </c>
      <c r="AB307" t="str">
        <f t="shared" si="42"/>
        <v/>
      </c>
      <c r="AC307" t="str">
        <f t="shared" si="43"/>
        <v/>
      </c>
      <c r="AD307" t="str">
        <f t="shared" si="44"/>
        <v/>
      </c>
      <c r="AE307" t="str">
        <f t="shared" si="45"/>
        <v/>
      </c>
      <c r="AF307" t="str">
        <f t="shared" si="46"/>
        <v/>
      </c>
      <c r="AG307">
        <f t="shared" si="47"/>
        <v>1255317504</v>
      </c>
      <c r="AH307" t="str">
        <f t="shared" si="48"/>
        <v/>
      </c>
      <c r="AI307" t="str">
        <f t="shared" si="49"/>
        <v/>
      </c>
      <c r="AJ307" t="str">
        <f t="shared" si="50"/>
        <v/>
      </c>
    </row>
    <row r="308" spans="12:36">
      <c r="L308" t="s">
        <v>473</v>
      </c>
      <c r="M308" t="s">
        <v>73</v>
      </c>
      <c r="N308">
        <v>36274176</v>
      </c>
      <c r="O308" t="s">
        <v>139</v>
      </c>
      <c r="P308" t="s">
        <v>140</v>
      </c>
      <c r="Q308" t="s">
        <v>141</v>
      </c>
      <c r="R308" t="str">
        <f t="shared" si="51"/>
        <v>2x</v>
      </c>
      <c r="X308">
        <v>1</v>
      </c>
      <c r="AB308" t="str">
        <f t="shared" si="42"/>
        <v/>
      </c>
      <c r="AC308" t="str">
        <f t="shared" si="43"/>
        <v/>
      </c>
      <c r="AD308" t="str">
        <f t="shared" si="44"/>
        <v/>
      </c>
      <c r="AE308" t="str">
        <f t="shared" si="45"/>
        <v/>
      </c>
      <c r="AF308" t="str">
        <f t="shared" si="46"/>
        <v/>
      </c>
      <c r="AG308">
        <f t="shared" si="47"/>
        <v>36274176</v>
      </c>
      <c r="AH308" t="str">
        <f t="shared" si="48"/>
        <v/>
      </c>
      <c r="AI308" t="str">
        <f t="shared" si="49"/>
        <v/>
      </c>
      <c r="AJ308" t="str">
        <f t="shared" si="50"/>
        <v/>
      </c>
    </row>
    <row r="309" spans="12:36">
      <c r="L309" t="s">
        <v>473</v>
      </c>
      <c r="M309" t="s">
        <v>126</v>
      </c>
      <c r="N309">
        <v>28549120</v>
      </c>
      <c r="O309" t="s">
        <v>162</v>
      </c>
      <c r="P309" t="s">
        <v>163</v>
      </c>
      <c r="Q309" t="s">
        <v>164</v>
      </c>
      <c r="R309" t="str">
        <f t="shared" si="51"/>
        <v>2x</v>
      </c>
      <c r="X309">
        <v>1</v>
      </c>
      <c r="AB309" t="str">
        <f t="shared" si="42"/>
        <v/>
      </c>
      <c r="AC309" t="str">
        <f t="shared" si="43"/>
        <v/>
      </c>
      <c r="AD309" t="str">
        <f t="shared" si="44"/>
        <v/>
      </c>
      <c r="AE309" t="str">
        <f t="shared" si="45"/>
        <v/>
      </c>
      <c r="AF309" t="str">
        <f t="shared" si="46"/>
        <v/>
      </c>
      <c r="AG309">
        <f t="shared" si="47"/>
        <v>28549120</v>
      </c>
      <c r="AH309" t="str">
        <f t="shared" si="48"/>
        <v/>
      </c>
      <c r="AI309" t="str">
        <f t="shared" si="49"/>
        <v/>
      </c>
      <c r="AJ309" t="str">
        <f t="shared" si="50"/>
        <v/>
      </c>
    </row>
    <row r="310" spans="12:36">
      <c r="L310" t="s">
        <v>473</v>
      </c>
      <c r="M310" t="s">
        <v>130</v>
      </c>
      <c r="N310">
        <v>745472</v>
      </c>
      <c r="O310" t="s">
        <v>131</v>
      </c>
      <c r="P310" t="s">
        <v>132</v>
      </c>
      <c r="Q310" t="s">
        <v>111</v>
      </c>
      <c r="R310" t="str">
        <f t="shared" si="51"/>
        <v>2x</v>
      </c>
      <c r="X310">
        <v>1</v>
      </c>
      <c r="AB310" t="str">
        <f t="shared" si="42"/>
        <v/>
      </c>
      <c r="AC310" t="str">
        <f t="shared" si="43"/>
        <v/>
      </c>
      <c r="AD310" t="str">
        <f t="shared" si="44"/>
        <v/>
      </c>
      <c r="AE310" t="str">
        <f t="shared" si="45"/>
        <v/>
      </c>
      <c r="AF310" t="str">
        <f t="shared" si="46"/>
        <v/>
      </c>
      <c r="AG310">
        <f t="shared" si="47"/>
        <v>745472</v>
      </c>
      <c r="AH310" t="str">
        <f t="shared" si="48"/>
        <v/>
      </c>
      <c r="AI310" t="str">
        <f t="shared" si="49"/>
        <v/>
      </c>
      <c r="AJ310" t="str">
        <f t="shared" si="50"/>
        <v/>
      </c>
    </row>
    <row r="311" spans="12:36">
      <c r="L311" t="s">
        <v>473</v>
      </c>
      <c r="M311" t="s">
        <v>76</v>
      </c>
      <c r="N311">
        <v>143712256</v>
      </c>
      <c r="O311" t="s">
        <v>142</v>
      </c>
      <c r="P311" t="s">
        <v>143</v>
      </c>
      <c r="Q311" t="s">
        <v>475</v>
      </c>
      <c r="R311" t="str">
        <f t="shared" si="51"/>
        <v>2x</v>
      </c>
      <c r="X311">
        <v>1</v>
      </c>
      <c r="AB311" t="str">
        <f t="shared" si="42"/>
        <v/>
      </c>
      <c r="AC311" t="str">
        <f t="shared" si="43"/>
        <v/>
      </c>
      <c r="AD311" t="str">
        <f t="shared" si="44"/>
        <v/>
      </c>
      <c r="AE311" t="str">
        <f t="shared" si="45"/>
        <v/>
      </c>
      <c r="AF311" t="str">
        <f t="shared" si="46"/>
        <v/>
      </c>
      <c r="AG311">
        <f t="shared" si="47"/>
        <v>143712256</v>
      </c>
      <c r="AH311" t="str">
        <f t="shared" si="48"/>
        <v/>
      </c>
      <c r="AI311" t="str">
        <f t="shared" si="49"/>
        <v/>
      </c>
      <c r="AJ311" t="str">
        <f t="shared" si="50"/>
        <v/>
      </c>
    </row>
    <row r="312" spans="12:36">
      <c r="L312" t="s">
        <v>476</v>
      </c>
      <c r="M312" t="s">
        <v>91</v>
      </c>
      <c r="N312">
        <v>70385664</v>
      </c>
      <c r="O312" t="s">
        <v>92</v>
      </c>
      <c r="P312" t="s">
        <v>93</v>
      </c>
      <c r="Q312" t="s">
        <v>94</v>
      </c>
      <c r="R312" t="str">
        <f t="shared" si="51"/>
        <v>5x</v>
      </c>
      <c r="X312">
        <v>1</v>
      </c>
      <c r="AB312" t="str">
        <f t="shared" si="42"/>
        <v/>
      </c>
      <c r="AC312" t="str">
        <f t="shared" si="43"/>
        <v/>
      </c>
      <c r="AD312" t="str">
        <f t="shared" si="44"/>
        <v/>
      </c>
      <c r="AE312" t="str">
        <f t="shared" si="45"/>
        <v/>
      </c>
      <c r="AF312" t="str">
        <f t="shared" si="46"/>
        <v/>
      </c>
      <c r="AG312">
        <f t="shared" si="47"/>
        <v>70385664</v>
      </c>
      <c r="AH312" t="str">
        <f t="shared" si="48"/>
        <v/>
      </c>
      <c r="AI312" t="str">
        <f t="shared" si="49"/>
        <v/>
      </c>
      <c r="AJ312" t="str">
        <f t="shared" si="50"/>
        <v/>
      </c>
    </row>
    <row r="313" spans="12:36">
      <c r="L313" t="s">
        <v>476</v>
      </c>
      <c r="M313" t="s">
        <v>95</v>
      </c>
      <c r="N313">
        <v>31948800</v>
      </c>
      <c r="O313" t="s">
        <v>96</v>
      </c>
      <c r="P313" t="s">
        <v>97</v>
      </c>
      <c r="Q313" t="s">
        <v>98</v>
      </c>
      <c r="R313" t="str">
        <f t="shared" si="51"/>
        <v>5x</v>
      </c>
      <c r="X313">
        <v>1</v>
      </c>
      <c r="AB313" t="str">
        <f t="shared" si="42"/>
        <v/>
      </c>
      <c r="AC313" t="str">
        <f t="shared" si="43"/>
        <v/>
      </c>
      <c r="AD313" t="str">
        <f t="shared" si="44"/>
        <v/>
      </c>
      <c r="AE313" t="str">
        <f t="shared" si="45"/>
        <v/>
      </c>
      <c r="AF313" t="str">
        <f t="shared" si="46"/>
        <v/>
      </c>
      <c r="AG313">
        <f t="shared" si="47"/>
        <v>31948800</v>
      </c>
      <c r="AH313" t="str">
        <f t="shared" si="48"/>
        <v/>
      </c>
      <c r="AI313" t="str">
        <f t="shared" si="49"/>
        <v/>
      </c>
      <c r="AJ313" t="str">
        <f t="shared" si="50"/>
        <v/>
      </c>
    </row>
    <row r="314" spans="12:36">
      <c r="L314" t="s">
        <v>476</v>
      </c>
      <c r="M314" t="s">
        <v>99</v>
      </c>
      <c r="N314">
        <v>156729344</v>
      </c>
      <c r="O314" t="s">
        <v>381</v>
      </c>
      <c r="P314" t="s">
        <v>382</v>
      </c>
      <c r="Q314" t="s">
        <v>383</v>
      </c>
      <c r="R314" t="str">
        <f t="shared" si="51"/>
        <v>5x</v>
      </c>
      <c r="X314">
        <v>1</v>
      </c>
      <c r="AB314" t="str">
        <f t="shared" si="42"/>
        <v/>
      </c>
      <c r="AC314" t="str">
        <f t="shared" si="43"/>
        <v/>
      </c>
      <c r="AD314" t="str">
        <f t="shared" si="44"/>
        <v/>
      </c>
      <c r="AE314" t="str">
        <f t="shared" si="45"/>
        <v/>
      </c>
      <c r="AF314" t="str">
        <f t="shared" si="46"/>
        <v/>
      </c>
      <c r="AG314">
        <f t="shared" si="47"/>
        <v>156729344</v>
      </c>
      <c r="AH314" t="str">
        <f t="shared" si="48"/>
        <v/>
      </c>
      <c r="AI314" t="str">
        <f t="shared" si="49"/>
        <v/>
      </c>
      <c r="AJ314" t="str">
        <f t="shared" si="50"/>
        <v/>
      </c>
    </row>
    <row r="315" spans="12:36">
      <c r="L315" t="s">
        <v>476</v>
      </c>
      <c r="M315" t="s">
        <v>103</v>
      </c>
      <c r="N315">
        <v>312451072</v>
      </c>
      <c r="O315" t="s">
        <v>384</v>
      </c>
      <c r="P315" t="s">
        <v>385</v>
      </c>
      <c r="Q315" t="s">
        <v>383</v>
      </c>
      <c r="R315" t="str">
        <f t="shared" si="51"/>
        <v>5x</v>
      </c>
      <c r="X315">
        <v>1</v>
      </c>
      <c r="AB315" t="str">
        <f t="shared" si="42"/>
        <v/>
      </c>
      <c r="AC315" t="str">
        <f t="shared" si="43"/>
        <v/>
      </c>
      <c r="AD315" t="str">
        <f t="shared" si="44"/>
        <v/>
      </c>
      <c r="AE315" t="str">
        <f t="shared" si="45"/>
        <v/>
      </c>
      <c r="AF315" t="str">
        <f t="shared" si="46"/>
        <v/>
      </c>
      <c r="AG315">
        <f t="shared" si="47"/>
        <v>312451072</v>
      </c>
      <c r="AH315" t="str">
        <f t="shared" si="48"/>
        <v/>
      </c>
      <c r="AI315" t="str">
        <f t="shared" si="49"/>
        <v/>
      </c>
      <c r="AJ315" t="str">
        <f t="shared" si="50"/>
        <v/>
      </c>
    </row>
    <row r="316" spans="12:36">
      <c r="L316" t="s">
        <v>476</v>
      </c>
      <c r="M316" t="s">
        <v>69</v>
      </c>
      <c r="N316">
        <v>3138093056</v>
      </c>
      <c r="O316" t="s">
        <v>477</v>
      </c>
      <c r="P316" t="s">
        <v>97</v>
      </c>
      <c r="Q316" t="s">
        <v>265</v>
      </c>
      <c r="R316" t="str">
        <f t="shared" si="51"/>
        <v>5x</v>
      </c>
      <c r="X316">
        <v>1</v>
      </c>
      <c r="AB316" t="str">
        <f t="shared" si="42"/>
        <v/>
      </c>
      <c r="AC316" t="str">
        <f t="shared" si="43"/>
        <v/>
      </c>
      <c r="AD316" t="str">
        <f t="shared" si="44"/>
        <v/>
      </c>
      <c r="AE316" t="str">
        <f t="shared" si="45"/>
        <v/>
      </c>
      <c r="AF316" t="str">
        <f t="shared" si="46"/>
        <v/>
      </c>
      <c r="AG316">
        <f t="shared" si="47"/>
        <v>3138093056</v>
      </c>
      <c r="AH316" t="str">
        <f t="shared" si="48"/>
        <v/>
      </c>
      <c r="AI316" t="str">
        <f t="shared" si="49"/>
        <v/>
      </c>
      <c r="AJ316" t="str">
        <f t="shared" si="50"/>
        <v/>
      </c>
    </row>
    <row r="317" spans="12:36">
      <c r="L317" t="s">
        <v>476</v>
      </c>
      <c r="M317" t="s">
        <v>73</v>
      </c>
      <c r="N317">
        <v>90570752</v>
      </c>
      <c r="O317" t="s">
        <v>375</v>
      </c>
      <c r="P317" t="s">
        <v>253</v>
      </c>
      <c r="Q317" t="s">
        <v>376</v>
      </c>
      <c r="R317" t="str">
        <f t="shared" si="51"/>
        <v>5x</v>
      </c>
      <c r="X317">
        <v>1</v>
      </c>
      <c r="AB317" t="str">
        <f t="shared" si="42"/>
        <v/>
      </c>
      <c r="AC317" t="str">
        <f t="shared" si="43"/>
        <v/>
      </c>
      <c r="AD317" t="str">
        <f t="shared" si="44"/>
        <v/>
      </c>
      <c r="AE317" t="str">
        <f t="shared" si="45"/>
        <v/>
      </c>
      <c r="AF317" t="str">
        <f t="shared" si="46"/>
        <v/>
      </c>
      <c r="AG317">
        <f t="shared" si="47"/>
        <v>90570752</v>
      </c>
      <c r="AH317" t="str">
        <f t="shared" si="48"/>
        <v/>
      </c>
      <c r="AI317" t="str">
        <f t="shared" si="49"/>
        <v/>
      </c>
      <c r="AJ317" t="str">
        <f t="shared" si="50"/>
        <v/>
      </c>
    </row>
    <row r="318" spans="12:36">
      <c r="L318" t="s">
        <v>476</v>
      </c>
      <c r="M318" t="s">
        <v>126</v>
      </c>
      <c r="N318">
        <v>71303168</v>
      </c>
      <c r="O318" t="s">
        <v>296</v>
      </c>
      <c r="P318" t="s">
        <v>394</v>
      </c>
      <c r="Q318" t="s">
        <v>395</v>
      </c>
      <c r="R318" t="str">
        <f t="shared" si="51"/>
        <v>5x</v>
      </c>
      <c r="X318">
        <v>1</v>
      </c>
      <c r="AB318" t="str">
        <f t="shared" si="42"/>
        <v/>
      </c>
      <c r="AC318" t="str">
        <f t="shared" si="43"/>
        <v/>
      </c>
      <c r="AD318" t="str">
        <f t="shared" si="44"/>
        <v/>
      </c>
      <c r="AE318" t="str">
        <f t="shared" si="45"/>
        <v/>
      </c>
      <c r="AF318" t="str">
        <f t="shared" si="46"/>
        <v/>
      </c>
      <c r="AG318">
        <f t="shared" si="47"/>
        <v>71303168</v>
      </c>
      <c r="AH318" t="str">
        <f t="shared" si="48"/>
        <v/>
      </c>
      <c r="AI318" t="str">
        <f t="shared" si="49"/>
        <v/>
      </c>
      <c r="AJ318" t="str">
        <f t="shared" si="50"/>
        <v/>
      </c>
    </row>
    <row r="319" spans="12:36">
      <c r="L319" t="s">
        <v>476</v>
      </c>
      <c r="M319" t="s">
        <v>130</v>
      </c>
      <c r="N319">
        <v>745472</v>
      </c>
      <c r="O319" t="s">
        <v>131</v>
      </c>
      <c r="P319" t="s">
        <v>132</v>
      </c>
      <c r="Q319" t="s">
        <v>111</v>
      </c>
      <c r="R319" t="str">
        <f t="shared" si="51"/>
        <v>5x</v>
      </c>
      <c r="X319">
        <v>1</v>
      </c>
      <c r="AB319" t="str">
        <f t="shared" si="42"/>
        <v/>
      </c>
      <c r="AC319" t="str">
        <f t="shared" si="43"/>
        <v/>
      </c>
      <c r="AD319" t="str">
        <f t="shared" si="44"/>
        <v/>
      </c>
      <c r="AE319" t="str">
        <f t="shared" si="45"/>
        <v/>
      </c>
      <c r="AF319" t="str">
        <f t="shared" si="46"/>
        <v/>
      </c>
      <c r="AG319">
        <f t="shared" si="47"/>
        <v>745472</v>
      </c>
      <c r="AH319" t="str">
        <f t="shared" si="48"/>
        <v/>
      </c>
      <c r="AI319" t="str">
        <f t="shared" si="49"/>
        <v/>
      </c>
      <c r="AJ319" t="str">
        <f t="shared" si="50"/>
        <v/>
      </c>
    </row>
    <row r="320" spans="12:36">
      <c r="L320" t="s">
        <v>476</v>
      </c>
      <c r="M320" t="s">
        <v>76</v>
      </c>
      <c r="N320">
        <v>359112704</v>
      </c>
      <c r="O320" t="s">
        <v>478</v>
      </c>
      <c r="P320" t="s">
        <v>378</v>
      </c>
      <c r="Q320" t="s">
        <v>479</v>
      </c>
      <c r="R320" t="str">
        <f t="shared" si="51"/>
        <v>5x</v>
      </c>
      <c r="X320">
        <v>1</v>
      </c>
      <c r="AB320" t="str">
        <f t="shared" si="42"/>
        <v/>
      </c>
      <c r="AC320" t="str">
        <f t="shared" si="43"/>
        <v/>
      </c>
      <c r="AD320" t="str">
        <f t="shared" si="44"/>
        <v/>
      </c>
      <c r="AE320" t="str">
        <f t="shared" si="45"/>
        <v/>
      </c>
      <c r="AF320" t="str">
        <f t="shared" si="46"/>
        <v/>
      </c>
      <c r="AG320">
        <f t="shared" si="47"/>
        <v>359112704</v>
      </c>
      <c r="AH320" t="str">
        <f t="shared" si="48"/>
        <v/>
      </c>
      <c r="AI320" t="str">
        <f t="shared" si="49"/>
        <v/>
      </c>
      <c r="AJ320" t="str">
        <f t="shared" si="50"/>
        <v/>
      </c>
    </row>
    <row r="321" spans="12:36">
      <c r="L321" t="s">
        <v>480</v>
      </c>
      <c r="M321" t="s">
        <v>91</v>
      </c>
      <c r="N321">
        <v>70385664</v>
      </c>
      <c r="O321" t="s">
        <v>92</v>
      </c>
      <c r="P321" t="s">
        <v>93</v>
      </c>
      <c r="Q321" t="s">
        <v>94</v>
      </c>
      <c r="R321" t="str">
        <f t="shared" si="51"/>
        <v>10x</v>
      </c>
      <c r="X321">
        <v>1</v>
      </c>
      <c r="AB321" t="str">
        <f t="shared" si="42"/>
        <v/>
      </c>
      <c r="AC321" t="str">
        <f t="shared" si="43"/>
        <v/>
      </c>
      <c r="AD321" t="str">
        <f t="shared" si="44"/>
        <v/>
      </c>
      <c r="AE321" t="str">
        <f t="shared" si="45"/>
        <v/>
      </c>
      <c r="AF321" t="str">
        <f t="shared" si="46"/>
        <v/>
      </c>
      <c r="AG321">
        <f t="shared" si="47"/>
        <v>70385664</v>
      </c>
      <c r="AH321" t="str">
        <f t="shared" si="48"/>
        <v/>
      </c>
      <c r="AI321" t="str">
        <f t="shared" si="49"/>
        <v/>
      </c>
      <c r="AJ321" t="str">
        <f t="shared" si="50"/>
        <v/>
      </c>
    </row>
    <row r="322" spans="12:36">
      <c r="L322" t="s">
        <v>480</v>
      </c>
      <c r="M322" t="s">
        <v>95</v>
      </c>
      <c r="N322">
        <v>31948800</v>
      </c>
      <c r="O322" t="s">
        <v>96</v>
      </c>
      <c r="P322" t="s">
        <v>97</v>
      </c>
      <c r="Q322" t="s">
        <v>98</v>
      </c>
      <c r="R322" t="str">
        <f t="shared" si="51"/>
        <v>10x</v>
      </c>
      <c r="X322">
        <v>1</v>
      </c>
      <c r="AB322" t="str">
        <f t="shared" si="42"/>
        <v/>
      </c>
      <c r="AC322" t="str">
        <f t="shared" si="43"/>
        <v/>
      </c>
      <c r="AD322" t="str">
        <f t="shared" si="44"/>
        <v/>
      </c>
      <c r="AE322" t="str">
        <f t="shared" si="45"/>
        <v/>
      </c>
      <c r="AF322" t="str">
        <f t="shared" si="46"/>
        <v/>
      </c>
      <c r="AG322">
        <f t="shared" si="47"/>
        <v>31948800</v>
      </c>
      <c r="AH322" t="str">
        <f t="shared" si="48"/>
        <v/>
      </c>
      <c r="AI322" t="str">
        <f t="shared" si="49"/>
        <v/>
      </c>
      <c r="AJ322" t="str">
        <f t="shared" si="50"/>
        <v/>
      </c>
    </row>
    <row r="323" spans="12:36">
      <c r="L323" t="s">
        <v>480</v>
      </c>
      <c r="M323" t="s">
        <v>99</v>
      </c>
      <c r="N323">
        <v>315015168</v>
      </c>
      <c r="O323" t="s">
        <v>100</v>
      </c>
      <c r="P323" t="s">
        <v>101</v>
      </c>
      <c r="Q323" t="s">
        <v>102</v>
      </c>
      <c r="R323" t="str">
        <f t="shared" si="51"/>
        <v>10x</v>
      </c>
      <c r="X323">
        <v>1</v>
      </c>
      <c r="AB323" t="str">
        <f t="shared" si="42"/>
        <v/>
      </c>
      <c r="AC323" t="str">
        <f t="shared" si="43"/>
        <v/>
      </c>
      <c r="AD323" t="str">
        <f t="shared" si="44"/>
        <v/>
      </c>
      <c r="AE323" t="str">
        <f t="shared" si="45"/>
        <v/>
      </c>
      <c r="AF323" t="str">
        <f t="shared" si="46"/>
        <v/>
      </c>
      <c r="AG323">
        <f t="shared" si="47"/>
        <v>315015168</v>
      </c>
      <c r="AH323" t="str">
        <f t="shared" si="48"/>
        <v/>
      </c>
      <c r="AI323" t="str">
        <f t="shared" si="49"/>
        <v/>
      </c>
      <c r="AJ323" t="str">
        <f t="shared" si="50"/>
        <v/>
      </c>
    </row>
    <row r="324" spans="12:36">
      <c r="L324" t="s">
        <v>480</v>
      </c>
      <c r="M324" t="s">
        <v>103</v>
      </c>
      <c r="N324">
        <v>624787456</v>
      </c>
      <c r="O324" t="s">
        <v>70</v>
      </c>
      <c r="P324" t="s">
        <v>104</v>
      </c>
      <c r="Q324" t="s">
        <v>102</v>
      </c>
      <c r="R324" t="str">
        <f t="shared" si="51"/>
        <v>10x</v>
      </c>
      <c r="X324">
        <v>1</v>
      </c>
      <c r="AB324" t="str">
        <f t="shared" si="42"/>
        <v/>
      </c>
      <c r="AC324" t="str">
        <f t="shared" si="43"/>
        <v/>
      </c>
      <c r="AD324" t="str">
        <f t="shared" si="44"/>
        <v/>
      </c>
      <c r="AE324" t="str">
        <f t="shared" si="45"/>
        <v/>
      </c>
      <c r="AF324" t="str">
        <f t="shared" si="46"/>
        <v/>
      </c>
      <c r="AG324">
        <f t="shared" si="47"/>
        <v>624787456</v>
      </c>
      <c r="AH324" t="str">
        <f t="shared" si="48"/>
        <v/>
      </c>
      <c r="AI324" t="str">
        <f t="shared" si="49"/>
        <v/>
      </c>
      <c r="AJ324" t="str">
        <f t="shared" si="50"/>
        <v/>
      </c>
    </row>
    <row r="325" spans="12:36">
      <c r="L325" t="s">
        <v>480</v>
      </c>
      <c r="M325" t="s">
        <v>69</v>
      </c>
      <c r="N325">
        <v>6276087808</v>
      </c>
      <c r="O325" t="s">
        <v>481</v>
      </c>
      <c r="P325" t="s">
        <v>82</v>
      </c>
      <c r="Q325" t="s">
        <v>482</v>
      </c>
      <c r="R325" t="str">
        <f t="shared" si="51"/>
        <v>10x</v>
      </c>
      <c r="X325">
        <v>1</v>
      </c>
      <c r="AB325" t="str">
        <f t="shared" si="42"/>
        <v/>
      </c>
      <c r="AC325" t="str">
        <f t="shared" si="43"/>
        <v/>
      </c>
      <c r="AD325" t="str">
        <f t="shared" si="44"/>
        <v/>
      </c>
      <c r="AE325" t="str">
        <f t="shared" si="45"/>
        <v/>
      </c>
      <c r="AF325" t="str">
        <f t="shared" si="46"/>
        <v/>
      </c>
      <c r="AG325">
        <f t="shared" si="47"/>
        <v>6276087808</v>
      </c>
      <c r="AH325" t="str">
        <f t="shared" si="48"/>
        <v/>
      </c>
      <c r="AI325" t="str">
        <f t="shared" si="49"/>
        <v/>
      </c>
      <c r="AJ325" t="str">
        <f t="shared" si="50"/>
        <v/>
      </c>
    </row>
    <row r="326" spans="12:36">
      <c r="L326" t="s">
        <v>480</v>
      </c>
      <c r="M326" t="s">
        <v>73</v>
      </c>
      <c r="N326">
        <v>181059584</v>
      </c>
      <c r="O326" t="s">
        <v>84</v>
      </c>
      <c r="P326" t="s">
        <v>85</v>
      </c>
      <c r="Q326" t="s">
        <v>86</v>
      </c>
      <c r="R326" t="str">
        <f t="shared" si="51"/>
        <v>10x</v>
      </c>
      <c r="X326">
        <v>1</v>
      </c>
      <c r="AB326" t="str">
        <f t="shared" si="42"/>
        <v/>
      </c>
      <c r="AC326" t="str">
        <f t="shared" si="43"/>
        <v/>
      </c>
      <c r="AD326" t="str">
        <f t="shared" si="44"/>
        <v/>
      </c>
      <c r="AE326" t="str">
        <f t="shared" si="45"/>
        <v/>
      </c>
      <c r="AF326" t="str">
        <f t="shared" si="46"/>
        <v/>
      </c>
      <c r="AG326">
        <f t="shared" si="47"/>
        <v>181059584</v>
      </c>
      <c r="AH326" t="str">
        <f t="shared" si="48"/>
        <v/>
      </c>
      <c r="AI326" t="str">
        <f t="shared" si="49"/>
        <v/>
      </c>
      <c r="AJ326" t="str">
        <f t="shared" si="50"/>
        <v/>
      </c>
    </row>
    <row r="327" spans="12:36">
      <c r="L327" t="s">
        <v>480</v>
      </c>
      <c r="M327" t="s">
        <v>126</v>
      </c>
      <c r="N327">
        <v>142548992</v>
      </c>
      <c r="O327" t="s">
        <v>127</v>
      </c>
      <c r="P327" t="s">
        <v>128</v>
      </c>
      <c r="Q327" t="s">
        <v>129</v>
      </c>
      <c r="R327" t="str">
        <f t="shared" si="51"/>
        <v>10x</v>
      </c>
      <c r="X327">
        <v>1</v>
      </c>
      <c r="AB327" t="str">
        <f t="shared" si="42"/>
        <v/>
      </c>
      <c r="AC327" t="str">
        <f t="shared" si="43"/>
        <v/>
      </c>
      <c r="AD327" t="str">
        <f t="shared" si="44"/>
        <v/>
      </c>
      <c r="AE327" t="str">
        <f t="shared" si="45"/>
        <v/>
      </c>
      <c r="AF327" t="str">
        <f t="shared" si="46"/>
        <v/>
      </c>
      <c r="AG327">
        <f t="shared" si="47"/>
        <v>142548992</v>
      </c>
      <c r="AH327" t="str">
        <f t="shared" si="48"/>
        <v/>
      </c>
      <c r="AI327" t="str">
        <f t="shared" si="49"/>
        <v/>
      </c>
      <c r="AJ327" t="str">
        <f t="shared" si="50"/>
        <v/>
      </c>
    </row>
    <row r="328" spans="12:36">
      <c r="L328" t="s">
        <v>480</v>
      </c>
      <c r="M328" t="s">
        <v>130</v>
      </c>
      <c r="N328">
        <v>745472</v>
      </c>
      <c r="O328" t="s">
        <v>131</v>
      </c>
      <c r="P328" t="s">
        <v>132</v>
      </c>
      <c r="Q328" t="s">
        <v>111</v>
      </c>
      <c r="R328" t="str">
        <f t="shared" si="51"/>
        <v>10x</v>
      </c>
      <c r="X328">
        <v>1</v>
      </c>
      <c r="AB328" t="str">
        <f t="shared" si="42"/>
        <v/>
      </c>
      <c r="AC328" t="str">
        <f t="shared" si="43"/>
        <v/>
      </c>
      <c r="AD328" t="str">
        <f t="shared" si="44"/>
        <v/>
      </c>
      <c r="AE328" t="str">
        <f t="shared" si="45"/>
        <v/>
      </c>
      <c r="AF328" t="str">
        <f t="shared" si="46"/>
        <v/>
      </c>
      <c r="AG328">
        <f t="shared" si="47"/>
        <v>745472</v>
      </c>
      <c r="AH328" t="str">
        <f t="shared" si="48"/>
        <v/>
      </c>
      <c r="AI328" t="str">
        <f t="shared" si="49"/>
        <v/>
      </c>
      <c r="AJ328" t="str">
        <f t="shared" si="50"/>
        <v/>
      </c>
    </row>
    <row r="329" spans="12:36">
      <c r="L329" t="s">
        <v>480</v>
      </c>
      <c r="M329" t="s">
        <v>76</v>
      </c>
      <c r="N329">
        <v>718069760</v>
      </c>
      <c r="O329" t="s">
        <v>483</v>
      </c>
      <c r="P329" t="s">
        <v>88</v>
      </c>
      <c r="Q329" t="s">
        <v>123</v>
      </c>
      <c r="R329" t="str">
        <f t="shared" si="51"/>
        <v>10x</v>
      </c>
      <c r="X329">
        <v>1</v>
      </c>
      <c r="AB329" t="str">
        <f t="shared" si="42"/>
        <v/>
      </c>
      <c r="AC329" t="str">
        <f t="shared" si="43"/>
        <v/>
      </c>
      <c r="AD329" t="str">
        <f t="shared" si="44"/>
        <v/>
      </c>
      <c r="AE329" t="str">
        <f t="shared" si="45"/>
        <v/>
      </c>
      <c r="AF329" t="str">
        <f t="shared" si="46"/>
        <v/>
      </c>
      <c r="AG329">
        <f t="shared" si="47"/>
        <v>718069760</v>
      </c>
      <c r="AH329" t="str">
        <f t="shared" si="48"/>
        <v/>
      </c>
      <c r="AI329" t="str">
        <f t="shared" si="49"/>
        <v/>
      </c>
      <c r="AJ329" t="str">
        <f t="shared" si="50"/>
        <v/>
      </c>
    </row>
  </sheetData>
  <autoFilter ref="L1:R265" xr:uid="{0818B785-CA88-414A-B941-315E204E4262}">
    <filterColumn colId="0">
      <filters>
        <filter val="aa_sdss2003"/>
        <filter val="aa_sdss2003_10x"/>
        <filter val="aa_sdss2003_10x_optimized"/>
        <filter val="aa_sdss2003_2x"/>
        <filter val="aa_sdss2003_2x_optimized"/>
        <filter val="aa_sdss2003_5x"/>
        <filter val="aa_sdss2003_5x_optimized"/>
        <filter val="aa_sdss2003_optimized"/>
        <filter val="aa_sdss2013_10x_optimized"/>
        <filter val="aa_sdss2013_2x_optimized"/>
        <filter val="aa_sdss2013_5x_optimized"/>
        <filter val="aa_sdss2013_optimized"/>
        <filter val="aa_sdss2023_10x_optimized"/>
        <filter val="aa_sdss2023_2x_optimized"/>
        <filter val="aa_sdss2023_5x_optimized"/>
        <filter val="aa_sdss2023_optimized"/>
      </filters>
    </filterColumn>
    <sortState xmlns:xlrd2="http://schemas.microsoft.com/office/spreadsheetml/2017/richdata2" ref="L2:R193">
      <sortCondition ref="R2:R265" customList="1x,2x,5x,10x"/>
      <sortCondition ref="L2:L265"/>
      <sortCondition ref="M2:M265"/>
    </sortState>
  </autoFilter>
  <sortState xmlns:xlrd2="http://schemas.microsoft.com/office/spreadsheetml/2017/richdata2" ref="L2:R206">
    <sortCondition ref="R2:R206" customList="1x,2x,5x,10x"/>
    <sortCondition ref="L2:L206"/>
    <sortCondition ref="M2:M206"/>
  </sortState>
  <mergeCells count="3">
    <mergeCell ref="B1:J1"/>
    <mergeCell ref="B16:J16"/>
    <mergeCell ref="B8:J8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12F5-2509-4D02-A267-C4D383415FAE}">
  <dimension ref="A1:J7"/>
  <sheetViews>
    <sheetView tabSelected="1" workbookViewId="0">
      <selection activeCell="G7" sqref="G7"/>
    </sheetView>
  </sheetViews>
  <sheetFormatPr defaultRowHeight="14"/>
  <cols>
    <col min="1" max="1" width="9.58203125" bestFit="1" customWidth="1"/>
    <col min="2" max="2" width="6.1640625" bestFit="1" customWidth="1"/>
    <col min="3" max="3" width="14.4140625" bestFit="1" customWidth="1"/>
    <col min="4" max="4" width="14.4140625" customWidth="1"/>
    <col min="5" max="5" width="14.4140625" bestFit="1" customWidth="1"/>
    <col min="6" max="6" width="13.1640625" bestFit="1" customWidth="1"/>
    <col min="7" max="7" width="13.1640625" customWidth="1"/>
    <col min="8" max="8" width="14.4140625" bestFit="1" customWidth="1"/>
    <col min="9" max="9" width="13.1640625" bestFit="1" customWidth="1"/>
    <col min="10" max="10" width="16" bestFit="1" customWidth="1"/>
  </cols>
  <sheetData>
    <row r="1" spans="1:10">
      <c r="B1" s="60" t="s">
        <v>66</v>
      </c>
      <c r="C1" s="60"/>
      <c r="D1" s="60"/>
      <c r="E1" s="60"/>
      <c r="F1" s="60"/>
      <c r="G1" s="60"/>
      <c r="H1" s="60"/>
      <c r="I1" s="60"/>
      <c r="J1" s="60"/>
    </row>
    <row r="2" spans="1:10">
      <c r="A2" s="55" t="s">
        <v>52</v>
      </c>
      <c r="B2" s="57" t="s">
        <v>63</v>
      </c>
      <c r="C2" s="57"/>
      <c r="D2" s="59" t="s">
        <v>64</v>
      </c>
      <c r="E2" s="57"/>
      <c r="F2" s="58"/>
      <c r="G2" s="59" t="s">
        <v>65</v>
      </c>
      <c r="H2" s="57"/>
      <c r="I2" s="57"/>
      <c r="J2" s="58"/>
    </row>
    <row r="3" spans="1:10">
      <c r="A3" s="56"/>
      <c r="B3" s="29" t="s">
        <v>56</v>
      </c>
      <c r="C3" s="29" t="s">
        <v>57</v>
      </c>
      <c r="D3" s="64" t="s">
        <v>457</v>
      </c>
      <c r="E3" s="65" t="s">
        <v>58</v>
      </c>
      <c r="F3" s="66" t="s">
        <v>60</v>
      </c>
      <c r="G3" s="64" t="s">
        <v>458</v>
      </c>
      <c r="H3" s="66" t="s">
        <v>59</v>
      </c>
      <c r="I3" s="36" t="s">
        <v>61</v>
      </c>
      <c r="J3" s="63" t="s">
        <v>62</v>
      </c>
    </row>
    <row r="4" spans="1:10">
      <c r="A4" s="28" t="s">
        <v>53</v>
      </c>
      <c r="B4" s="38">
        <f>'Query 1x'!$E$8</f>
        <v>73.819725271400003</v>
      </c>
      <c r="C4" s="61">
        <f>'Query 1x'!$E$17</f>
        <v>7.5770482941999999</v>
      </c>
      <c r="D4" s="67">
        <f>'Query 1x'!$U$30</f>
        <v>27.84324326241158</v>
      </c>
      <c r="E4" s="68">
        <f>'Query 1x'!$E$30</f>
        <v>63.706097233782849</v>
      </c>
      <c r="F4" s="69">
        <f>'Query 1x'!$M$30</f>
        <v>1.9851296588372636</v>
      </c>
      <c r="G4" s="67">
        <f>'Query 1x'!$AC$49</f>
        <v>98.426127937007251</v>
      </c>
      <c r="H4" s="68">
        <f>'Query 1x'!$E$49</f>
        <v>571.18080275875081</v>
      </c>
      <c r="I4" s="68">
        <f>'Query 1x'!$M$49</f>
        <v>232.25221826187337</v>
      </c>
      <c r="J4" s="69">
        <f>'Query 1x'!$U$49</f>
        <v>60.446019065569629</v>
      </c>
    </row>
    <row r="5" spans="1:10">
      <c r="A5" s="28" t="s">
        <v>54</v>
      </c>
      <c r="B5" s="38">
        <f>'Query 2x'!$E$8</f>
        <v>71.277345303040406</v>
      </c>
      <c r="C5" s="61">
        <f>'Query 2x'!$E$17</f>
        <v>5.4333374133213272</v>
      </c>
      <c r="D5" s="38">
        <f>'Query 2x'!$U$30</f>
        <v>26.269220668348211</v>
      </c>
      <c r="E5" s="62">
        <f>'Query 2x'!$E$30</f>
        <v>60.175215080336883</v>
      </c>
      <c r="F5" s="41">
        <f>'Query 2x'!$M$30</f>
        <v>1.6395190246094384</v>
      </c>
      <c r="G5" s="40">
        <f>'Query 2x'!$AC$49</f>
        <v>176.54305773089325</v>
      </c>
      <c r="H5" s="61">
        <f>'Query 2x'!$E$49</f>
        <v>1124.4442429817898</v>
      </c>
      <c r="I5" s="61">
        <f>'Query 2x'!$M$49</f>
        <v>411.80920825012385</v>
      </c>
      <c r="J5" s="39">
        <f>'Query 2x'!$U$49</f>
        <v>33.858577030907981</v>
      </c>
    </row>
    <row r="6" spans="1:10">
      <c r="A6" s="28" t="s">
        <v>372</v>
      </c>
      <c r="B6" s="40">
        <f>'Query 5x'!$E$8</f>
        <v>64.422172906607173</v>
      </c>
      <c r="C6" s="62">
        <f>'Query 5x'!$E$17</f>
        <v>4.9863844617227731</v>
      </c>
      <c r="D6" s="40">
        <f>'Query 5x'!$U$30</f>
        <v>25.53746916671194</v>
      </c>
      <c r="E6" s="62">
        <f>'Query 5x'!$E$30</f>
        <v>62.661454358204836</v>
      </c>
      <c r="F6" s="41">
        <f>'Query 5x'!$M$30</f>
        <v>1.6944514585070638</v>
      </c>
      <c r="G6" s="40">
        <f>'Query 5x'!$AC$49</f>
        <v>480.81183968407191</v>
      </c>
      <c r="H6" s="62">
        <f>'Query 5x'!$E$49</f>
        <v>1546.3559942300797</v>
      </c>
      <c r="I6" s="62">
        <f>'Query 5x'!$M$49</f>
        <v>1027.024005051946</v>
      </c>
      <c r="J6" s="41">
        <f>'Query 5x'!$U$49</f>
        <v>117.1806089460171</v>
      </c>
    </row>
    <row r="7" spans="1:10">
      <c r="A7" s="27" t="s">
        <v>55</v>
      </c>
      <c r="B7" s="42">
        <f>'Query 10x'!$E$8</f>
        <v>77.883946386899993</v>
      </c>
      <c r="C7" s="44">
        <f>'Query 10x'!$E$17</f>
        <v>5.3762777140303513</v>
      </c>
      <c r="D7" s="72">
        <f>'Query 10x'!$U$30</f>
        <v>27.828198090824664</v>
      </c>
      <c r="E7" s="44">
        <f>'Query 10x'!$E$30</f>
        <v>63.700057330667896</v>
      </c>
      <c r="F7" s="43">
        <f>'Query 10x'!$M$30</f>
        <v>0.97310401757942211</v>
      </c>
      <c r="G7" s="72">
        <f>'Query 10x'!$AC$49</f>
        <v>878.32620044930229</v>
      </c>
      <c r="H7" s="44">
        <f>'Query 10x'!$E$49</f>
        <v>3249.2021380132906</v>
      </c>
      <c r="I7" s="44">
        <f>'Query 10x'!$M$49</f>
        <v>2098.2830980171475</v>
      </c>
      <c r="J7" s="43">
        <f>'Query 10x'!$U$49</f>
        <v>231.28878893701815</v>
      </c>
    </row>
  </sheetData>
  <mergeCells count="5">
    <mergeCell ref="A2:A3"/>
    <mergeCell ref="B2:C2"/>
    <mergeCell ref="B1:J1"/>
    <mergeCell ref="D2:F2"/>
    <mergeCell ref="G2:J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4BE4-2E20-4E31-9735-DE89176CACC8}">
  <dimension ref="A1:P42"/>
  <sheetViews>
    <sheetView topLeftCell="A10" zoomScaleNormal="100" workbookViewId="0">
      <selection activeCell="K16" sqref="K16"/>
    </sheetView>
  </sheetViews>
  <sheetFormatPr defaultRowHeight="14"/>
  <cols>
    <col min="1" max="1" width="5.75" bestFit="1" customWidth="1"/>
    <col min="2" max="2" width="16.75" bestFit="1" customWidth="1"/>
    <col min="3" max="4" width="16.75" customWidth="1"/>
    <col min="5" max="5" width="16.75" bestFit="1" customWidth="1"/>
    <col min="6" max="6" width="14" bestFit="1" customWidth="1"/>
    <col min="8" max="8" width="10.4140625" customWidth="1"/>
    <col min="10" max="10" width="6.75" bestFit="1" customWidth="1"/>
    <col min="11" max="12" width="16.75" bestFit="1" customWidth="1"/>
    <col min="13" max="13" width="14" bestFit="1" customWidth="1"/>
    <col min="16" max="16" width="10.4140625" customWidth="1"/>
  </cols>
  <sheetData>
    <row r="1" spans="1:16">
      <c r="A1" s="60" t="s">
        <v>46</v>
      </c>
      <c r="B1" s="60"/>
      <c r="C1" s="60"/>
      <c r="D1" s="60"/>
      <c r="E1" s="60"/>
      <c r="F1" s="60"/>
      <c r="J1" s="60" t="s">
        <v>47</v>
      </c>
      <c r="K1" s="60"/>
      <c r="L1" s="60"/>
      <c r="M1" s="60"/>
    </row>
    <row r="2" spans="1:16">
      <c r="A2" t="s">
        <v>49</v>
      </c>
      <c r="B2" t="s">
        <v>50</v>
      </c>
      <c r="C2" t="s">
        <v>50</v>
      </c>
      <c r="D2" t="s">
        <v>452</v>
      </c>
      <c r="E2" t="s">
        <v>441</v>
      </c>
      <c r="J2" t="s">
        <v>49</v>
      </c>
      <c r="K2" t="s">
        <v>50</v>
      </c>
      <c r="L2" t="s">
        <v>50</v>
      </c>
      <c r="M2" t="s">
        <v>453</v>
      </c>
      <c r="N2" t="s">
        <v>48</v>
      </c>
    </row>
    <row r="3" spans="1:16">
      <c r="A3">
        <v>1</v>
      </c>
      <c r="B3" s="6">
        <f>('Query 1x'!$E$30-'Query 1x'!$M$30)*B$8/1000</f>
        <v>617.20967574945576</v>
      </c>
      <c r="C3" s="6">
        <f>('Query 1x'!$E$30-'Query 1x'!$M$30)*C$8/1000</f>
        <v>91910.29756100841</v>
      </c>
      <c r="D3" s="32">
        <f>C3/60/60/24</f>
        <v>1.0637765921413012</v>
      </c>
      <c r="E3" s="26">
        <f>'Mig 1x'!$K$8</f>
        <v>55.1</v>
      </c>
      <c r="J3">
        <v>1</v>
      </c>
      <c r="K3" s="6">
        <f>('Query 1x'!$M$49-'Query 1x'!$U$49)*K8/1000</f>
        <v>1718.0619919630374</v>
      </c>
      <c r="L3" s="6">
        <f>('Query 1x'!$M$49-'Query 1x'!$U$49)*L8/1000</f>
        <v>622520.86410589505</v>
      </c>
      <c r="M3" s="32">
        <f>L3/60/60/24</f>
        <v>7.2051025938182294</v>
      </c>
      <c r="N3">
        <f>'Mig 1x'!$K$13</f>
        <v>93</v>
      </c>
    </row>
    <row r="4" spans="1:16">
      <c r="A4">
        <v>2</v>
      </c>
      <c r="B4" s="33">
        <f>('Query 2x'!$E$30-'Query 2x'!$M$30)*B$8/1000</f>
        <v>585.35696055727442</v>
      </c>
      <c r="C4" s="33">
        <f>('Query 2x'!$E$30-'Query 2x'!$M$30)*C$8/1000</f>
        <v>87167.02692468118</v>
      </c>
      <c r="D4" s="32">
        <f>C4/60/60/24</f>
        <v>1.0088776264430692</v>
      </c>
      <c r="E4" s="26">
        <f>'Mig 2x'!$K$8</f>
        <v>127.1</v>
      </c>
      <c r="J4">
        <v>2</v>
      </c>
      <c r="K4" s="6">
        <f>('Query 2x'!$M$49-'Query 2x'!$U$49)*K8/1000</f>
        <v>3779.5063121921589</v>
      </c>
      <c r="L4" s="6">
        <f>('Query 2x'!$M$49-'Query 2x'!$U$49)*L8/1000</f>
        <v>1369462.5376533947</v>
      </c>
      <c r="M4" s="32">
        <f t="shared" ref="M4:M6" si="0">L4/60/60/24</f>
        <v>15.850260852469846</v>
      </c>
      <c r="N4" s="26">
        <f>'Mig 2x'!$K$13</f>
        <v>233.3</v>
      </c>
    </row>
    <row r="5" spans="1:16">
      <c r="A5">
        <v>5</v>
      </c>
      <c r="B5" s="33">
        <f>('Query 5x'!$E$30-'Query 5x'!$M$30)*B$8/1000</f>
        <v>609.67002899697775</v>
      </c>
      <c r="C5" s="33">
        <f>('Query 5x'!$E$30-'Query 5x'!$M$30)*C$8/1000</f>
        <v>90787.549160015347</v>
      </c>
      <c r="D5" s="32">
        <f>C5/60/60/24</f>
        <v>1.0507818189816591</v>
      </c>
      <c r="E5" s="26">
        <f>'Mig 5x'!$K$8</f>
        <v>319.2</v>
      </c>
      <c r="J5">
        <v>5</v>
      </c>
      <c r="K5" s="6">
        <f>('Query 5x'!$M$49-'Query 5x'!$U$49)*K8/1000</f>
        <v>9098.4339610592888</v>
      </c>
      <c r="L5" s="6">
        <f>('Query 5x'!$M$49-'Query 5x'!$U$49)*L8/1000</f>
        <v>3296717.4630162623</v>
      </c>
      <c r="M5" s="32">
        <f t="shared" ref="M5" si="1">L5/60/60/24</f>
        <v>38.156452118243777</v>
      </c>
      <c r="N5" s="26">
        <f>'Mig 5x'!$K$13</f>
        <v>521.9</v>
      </c>
    </row>
    <row r="6" spans="1:16">
      <c r="A6">
        <v>10</v>
      </c>
      <c r="B6" s="6">
        <f>('Query 10x'!$E$30-'Query 10x'!$M$30)*B$8/1000</f>
        <v>627.26953313088472</v>
      </c>
      <c r="C6" s="6">
        <f>('Query 10x'!$E$30-'Query 10x'!$M$30)*C$8/1000</f>
        <v>93408.337079306191</v>
      </c>
      <c r="D6" s="32">
        <f>C6/60/60/24</f>
        <v>1.08111501249197</v>
      </c>
      <c r="E6">
        <f>'Mig 10x'!$K$8</f>
        <v>675</v>
      </c>
      <c r="J6">
        <v>10</v>
      </c>
      <c r="K6" s="6">
        <f>('Query 10x'!$M$49-'Query 10x'!$U$49)*K8/1000</f>
        <v>18669.943090801295</v>
      </c>
      <c r="L6" s="6">
        <f>('Query 10x'!$M$49-'Query 10x'!$U$49)*L8/1000</f>
        <v>6764848.5095778499</v>
      </c>
      <c r="M6" s="32">
        <f t="shared" si="0"/>
        <v>78.296857749743637</v>
      </c>
      <c r="N6">
        <f>'Mig 10x'!$K$13</f>
        <v>922</v>
      </c>
    </row>
    <row r="8" spans="1:16">
      <c r="A8" t="s">
        <v>51</v>
      </c>
      <c r="B8">
        <v>10000</v>
      </c>
      <c r="C8">
        <v>1489126</v>
      </c>
      <c r="J8" t="s">
        <v>51</v>
      </c>
      <c r="K8">
        <v>10000</v>
      </c>
      <c r="L8">
        <v>3623390</v>
      </c>
    </row>
    <row r="11" spans="1:16">
      <c r="A11" s="60" t="s">
        <v>442</v>
      </c>
      <c r="B11" s="60"/>
      <c r="C11">
        <f>30*24*60*60</f>
        <v>2592000</v>
      </c>
      <c r="J11" s="60" t="s">
        <v>442</v>
      </c>
      <c r="K11" s="60"/>
      <c r="L11">
        <f>30*24*60*60</f>
        <v>2592000</v>
      </c>
    </row>
    <row r="12" spans="1:16">
      <c r="A12" s="60" t="s">
        <v>443</v>
      </c>
      <c r="B12" s="60"/>
      <c r="C12" s="6">
        <f>C11/C8</f>
        <v>1.7406183224253691</v>
      </c>
      <c r="D12" s="6"/>
      <c r="J12" s="60" t="s">
        <v>443</v>
      </c>
      <c r="K12" s="60"/>
      <c r="L12" s="6">
        <f>L11/L8</f>
        <v>0.71535219780371417</v>
      </c>
    </row>
    <row r="13" spans="1:16">
      <c r="A13" s="30"/>
      <c r="B13" s="30"/>
      <c r="C13" s="30"/>
      <c r="D13" s="30"/>
      <c r="J13" s="30"/>
      <c r="K13" s="30"/>
    </row>
    <row r="14" spans="1:16">
      <c r="A14" s="60" t="s">
        <v>46</v>
      </c>
      <c r="B14" s="60"/>
      <c r="C14" s="60"/>
      <c r="D14" s="60"/>
      <c r="E14" s="60"/>
      <c r="F14" s="60"/>
      <c r="J14" s="60" t="s">
        <v>46</v>
      </c>
      <c r="K14" s="60"/>
      <c r="L14" s="60"/>
      <c r="M14" s="60"/>
    </row>
    <row r="15" spans="1:16">
      <c r="A15" t="s">
        <v>52</v>
      </c>
      <c r="B15" t="s">
        <v>448</v>
      </c>
      <c r="C15" t="s">
        <v>454</v>
      </c>
      <c r="D15" t="s">
        <v>455</v>
      </c>
      <c r="E15" t="s">
        <v>449</v>
      </c>
      <c r="F15" t="s">
        <v>450</v>
      </c>
      <c r="G15" t="s">
        <v>451</v>
      </c>
      <c r="J15" t="s">
        <v>52</v>
      </c>
      <c r="K15" t="s">
        <v>448</v>
      </c>
      <c r="L15" t="s">
        <v>454</v>
      </c>
      <c r="M15" t="s">
        <v>455</v>
      </c>
      <c r="N15" t="s">
        <v>449</v>
      </c>
      <c r="O15" t="s">
        <v>450</v>
      </c>
      <c r="P15" t="s">
        <v>451</v>
      </c>
    </row>
    <row r="16" spans="1:16">
      <c r="A16">
        <v>1</v>
      </c>
      <c r="B16" s="48">
        <f>('Query 1x'!$E$30-'Query 1x'!$M$30)/1000</f>
        <v>6.1720967574945586E-2</v>
      </c>
      <c r="C16" s="6">
        <f>B16*C$8/60/60/24</f>
        <v>1.0637765921413014</v>
      </c>
      <c r="D16" s="32">
        <f>'Mig 1x'!$K$8</f>
        <v>55.1</v>
      </c>
      <c r="E16" s="26">
        <f>ROUNDUP(E3/B16,0)</f>
        <v>893</v>
      </c>
      <c r="F16" s="32">
        <f>E16*C$12/60</f>
        <v>25.90620269876424</v>
      </c>
      <c r="G16" s="49">
        <f>E16/C$8</f>
        <v>5.9968061802695004E-4</v>
      </c>
      <c r="I16" s="32"/>
      <c r="J16">
        <v>1</v>
      </c>
      <c r="K16" s="48">
        <f>('Query 1x'!$M$49-'Query 1x'!$U$49)/1000</f>
        <v>0.17180619919630374</v>
      </c>
      <c r="L16" s="6">
        <f>K16*L$8/60/60/24</f>
        <v>7.2051025938182294</v>
      </c>
      <c r="M16" s="32">
        <f>'Mig 1x'!$K$13</f>
        <v>93</v>
      </c>
      <c r="N16" s="26">
        <f>ROUNDUP(N3/K16,0)</f>
        <v>542</v>
      </c>
      <c r="O16" s="32">
        <f>N16*L$12/60</f>
        <v>6.4620148534935513</v>
      </c>
      <c r="P16" s="49">
        <f>N16/L$8</f>
        <v>1.4958367716420259E-4</v>
      </c>
    </row>
    <row r="17" spans="1:16">
      <c r="A17">
        <v>2</v>
      </c>
      <c r="B17" s="48">
        <f>('Query 2x'!$E$30-'Query 2x'!$M$30)/1000</f>
        <v>5.8535696055727442E-2</v>
      </c>
      <c r="C17" s="6">
        <f>B17*C$8/60/60/24</f>
        <v>1.0088776264430692</v>
      </c>
      <c r="D17" s="32">
        <f>'Mig 2x'!$K$8</f>
        <v>127.1</v>
      </c>
      <c r="E17" s="26">
        <f>ROUNDUP(E4/B17,0)</f>
        <v>2172</v>
      </c>
      <c r="F17" s="32">
        <f>E17*C$12/60</f>
        <v>63.010383271798361</v>
      </c>
      <c r="G17" s="49">
        <f>E17/C$8</f>
        <v>1.4585736868471843E-3</v>
      </c>
      <c r="I17" s="32"/>
      <c r="J17">
        <v>2</v>
      </c>
      <c r="K17" s="48">
        <f>('Query 2x'!$M$49-'Query 2x'!$U$49)/1000</f>
        <v>0.3779506312192159</v>
      </c>
      <c r="L17" s="6">
        <f t="shared" ref="L17:L19" si="2">K17*L$8/60/60/24</f>
        <v>15.850260852469846</v>
      </c>
      <c r="M17" s="32">
        <f>'Mig 2x'!$K$13</f>
        <v>233.3</v>
      </c>
      <c r="N17" s="26">
        <f>ROUNDUP(N4/K17,0)</f>
        <v>618</v>
      </c>
      <c r="O17" s="32">
        <f>N17*L$12/60</f>
        <v>7.3681276373782554</v>
      </c>
      <c r="P17" s="49">
        <f>N17/L$8</f>
        <v>1.7055851012449667E-4</v>
      </c>
    </row>
    <row r="18" spans="1:16">
      <c r="A18">
        <v>5</v>
      </c>
      <c r="B18" s="48">
        <f>('Query 5x'!$E$30-'Query 5x'!$M$30)/1000</f>
        <v>6.0967002899697774E-2</v>
      </c>
      <c r="C18" s="6">
        <f>B18*C$8/60/60/24</f>
        <v>1.0507818189816591</v>
      </c>
      <c r="D18" s="32">
        <f>'Mig 5x'!$K$8</f>
        <v>319.2</v>
      </c>
      <c r="E18" s="26">
        <f>ROUNDUP(E5/B18,0)</f>
        <v>5236</v>
      </c>
      <c r="F18" s="32">
        <f>E18*C$12/60</f>
        <v>151.89795893698721</v>
      </c>
      <c r="G18" s="49">
        <f>E18/C$8</f>
        <v>3.5161564568747037E-3</v>
      </c>
      <c r="I18" s="32"/>
      <c r="J18">
        <v>5</v>
      </c>
      <c r="K18" s="48">
        <f>('Query 5x'!$M$49-'Query 5x'!$U$49)/1000</f>
        <v>0.9098433961059289</v>
      </c>
      <c r="L18" s="6">
        <f>K18*L$8/60/60/24</f>
        <v>38.15645211824377</v>
      </c>
      <c r="M18" s="32">
        <f>'Mig 5x'!$K$13</f>
        <v>521.9</v>
      </c>
      <c r="N18" s="26">
        <f>ROUNDUP(N5/K18,0)</f>
        <v>574</v>
      </c>
      <c r="O18" s="32">
        <f>N18*L$12/60</f>
        <v>6.8435360256555322</v>
      </c>
      <c r="P18" s="49">
        <f>N18/L$8</f>
        <v>1.5841518577906324E-4</v>
      </c>
    </row>
    <row r="19" spans="1:16">
      <c r="A19">
        <v>10</v>
      </c>
      <c r="B19" s="48">
        <f>('Query 10x'!$E$30-'Query 10x'!$M$30)/1000</f>
        <v>6.2726953313088474E-2</v>
      </c>
      <c r="C19" s="6">
        <f>B19*C$8/60/60/24</f>
        <v>1.08111501249197</v>
      </c>
      <c r="D19" s="32">
        <f>'Mig 10x'!$K$8</f>
        <v>675</v>
      </c>
      <c r="E19" s="26">
        <f>ROUNDUP(E6/B19,0)</f>
        <v>10761</v>
      </c>
      <c r="F19" s="32">
        <f>E19*C$12/60</f>
        <v>312.17989612698995</v>
      </c>
      <c r="G19" s="49">
        <f>E19/C$8</f>
        <v>7.2263864844210627E-3</v>
      </c>
      <c r="I19" s="32"/>
      <c r="J19">
        <v>10</v>
      </c>
      <c r="K19" s="48">
        <f>('Query 10x'!$M$49-'Query 10x'!$U$49)/1000</f>
        <v>1.8669943090801293</v>
      </c>
      <c r="L19" s="6">
        <f>K19*L$8/60/60/24</f>
        <v>78.296857749743637</v>
      </c>
      <c r="M19" s="32">
        <f>'Mig 10x'!$K$13</f>
        <v>922</v>
      </c>
      <c r="N19" s="26">
        <f>ROUNDUP(N6/K19,0)</f>
        <v>494</v>
      </c>
      <c r="O19" s="32">
        <f>N19*L$12/60</f>
        <v>5.8897330952505795</v>
      </c>
      <c r="P19" s="49">
        <f>N19/L$8</f>
        <v>1.3633641424191158E-4</v>
      </c>
    </row>
    <row r="20" spans="1:16">
      <c r="J20">
        <v>12310</v>
      </c>
      <c r="K20">
        <f>K16*J20</f>
        <v>2114.934312106499</v>
      </c>
      <c r="L20" s="6">
        <f>K20*L$8/60/60/24</f>
        <v>88694.8129299024</v>
      </c>
      <c r="M20" s="32">
        <f>M16*J20</f>
        <v>1144830</v>
      </c>
      <c r="N20" s="26">
        <f>ROUNDUP(M20/K20,0)</f>
        <v>542</v>
      </c>
      <c r="O20" s="32">
        <f>N20*L$12/60</f>
        <v>6.4620148534935513</v>
      </c>
      <c r="P20" s="49">
        <f>N20/L$8</f>
        <v>1.4958367716420259E-4</v>
      </c>
    </row>
    <row r="24" spans="1:16">
      <c r="A24" t="s">
        <v>49</v>
      </c>
      <c r="B24" s="50">
        <v>1000</v>
      </c>
      <c r="C24" s="50">
        <v>10000</v>
      </c>
      <c r="D24" s="50">
        <v>100000</v>
      </c>
      <c r="E24" s="50">
        <v>1000000</v>
      </c>
      <c r="F24" s="50">
        <v>10000000</v>
      </c>
      <c r="G24" t="s">
        <v>456</v>
      </c>
      <c r="J24" t="s">
        <v>49</v>
      </c>
      <c r="K24" s="50">
        <v>1000</v>
      </c>
      <c r="L24" s="50">
        <v>10000</v>
      </c>
      <c r="M24" s="50">
        <v>100000</v>
      </c>
      <c r="N24" s="50">
        <v>1000000</v>
      </c>
      <c r="O24" s="50">
        <v>10000000</v>
      </c>
      <c r="P24" t="s">
        <v>456</v>
      </c>
    </row>
    <row r="25" spans="1:16">
      <c r="A25">
        <v>1</v>
      </c>
      <c r="B25" s="26">
        <f>ROUNDUP($B16*B$24,0)</f>
        <v>62</v>
      </c>
      <c r="C25" s="26">
        <f>ROUNDUP($B16*C$24,0)</f>
        <v>618</v>
      </c>
      <c r="D25" s="26">
        <f>ROUNDUP($B16*D$24,0)</f>
        <v>6173</v>
      </c>
      <c r="E25" s="26">
        <f>ROUNDUP($B16*E$24,0)</f>
        <v>61721</v>
      </c>
      <c r="F25" s="26">
        <f>ROUNDUP($B16*F$24,0)</f>
        <v>617210</v>
      </c>
      <c r="G25" s="26">
        <f>E16</f>
        <v>893</v>
      </c>
      <c r="J25">
        <v>1</v>
      </c>
      <c r="K25" s="26">
        <f>ROUNDUP($K16*K$24,0)</f>
        <v>172</v>
      </c>
      <c r="L25" s="26">
        <f t="shared" ref="L25:O25" si="3">ROUNDUP($K16*L$24,0)</f>
        <v>1719</v>
      </c>
      <c r="M25" s="26">
        <f t="shared" si="3"/>
        <v>17181</v>
      </c>
      <c r="N25" s="26">
        <f t="shared" si="3"/>
        <v>171807</v>
      </c>
      <c r="O25" s="26">
        <f t="shared" si="3"/>
        <v>1718062</v>
      </c>
      <c r="P25" s="26">
        <f>N16</f>
        <v>542</v>
      </c>
    </row>
    <row r="26" spans="1:16">
      <c r="A26">
        <v>2</v>
      </c>
      <c r="B26" s="26">
        <f t="shared" ref="B26:B28" si="4">ROUNDUP($B17*B$24,0)</f>
        <v>59</v>
      </c>
      <c r="C26" s="26">
        <f t="shared" ref="C26:F28" si="5">ROUNDUP($B17*C$24,0)</f>
        <v>586</v>
      </c>
      <c r="D26" s="26">
        <f t="shared" si="5"/>
        <v>5854</v>
      </c>
      <c r="E26" s="26">
        <f t="shared" si="5"/>
        <v>58536</v>
      </c>
      <c r="F26" s="26">
        <f t="shared" si="5"/>
        <v>585357</v>
      </c>
      <c r="G26" s="26">
        <f t="shared" ref="G26:G28" si="6">E17</f>
        <v>2172</v>
      </c>
      <c r="J26">
        <v>2</v>
      </c>
      <c r="K26" s="26">
        <f>ROUNDUP($K17*K$24,0)</f>
        <v>378</v>
      </c>
      <c r="L26" s="26">
        <f t="shared" ref="K26:O28" si="7">ROUNDUP($K17*L$24,0)</f>
        <v>3780</v>
      </c>
      <c r="M26" s="26">
        <f t="shared" si="7"/>
        <v>37796</v>
      </c>
      <c r="N26" s="26">
        <f t="shared" si="7"/>
        <v>377951</v>
      </c>
      <c r="O26" s="26">
        <f t="shared" si="7"/>
        <v>3779507</v>
      </c>
      <c r="P26" s="26">
        <f t="shared" ref="P26:P28" si="8">N17</f>
        <v>618</v>
      </c>
    </row>
    <row r="27" spans="1:16">
      <c r="A27">
        <v>5</v>
      </c>
      <c r="B27" s="26">
        <f>ROUNDUP($B18*B$24,0)</f>
        <v>61</v>
      </c>
      <c r="C27" s="26">
        <f t="shared" si="5"/>
        <v>610</v>
      </c>
      <c r="D27" s="26">
        <f t="shared" si="5"/>
        <v>6097</v>
      </c>
      <c r="E27" s="26">
        <f t="shared" si="5"/>
        <v>60968</v>
      </c>
      <c r="F27" s="26">
        <f>ROUNDUP($B18*F$24,0)</f>
        <v>609671</v>
      </c>
      <c r="G27" s="26">
        <f t="shared" si="6"/>
        <v>5236</v>
      </c>
      <c r="J27">
        <v>5</v>
      </c>
      <c r="K27" s="26">
        <f>ROUNDUP($K18*K$24,0)</f>
        <v>910</v>
      </c>
      <c r="L27" s="26">
        <f t="shared" si="7"/>
        <v>9099</v>
      </c>
      <c r="M27" s="26">
        <f t="shared" si="7"/>
        <v>90985</v>
      </c>
      <c r="N27" s="26">
        <f t="shared" si="7"/>
        <v>909844</v>
      </c>
      <c r="O27" s="26">
        <f t="shared" si="7"/>
        <v>9098434</v>
      </c>
      <c r="P27" s="26">
        <f t="shared" si="8"/>
        <v>574</v>
      </c>
    </row>
    <row r="28" spans="1:16">
      <c r="A28">
        <v>10</v>
      </c>
      <c r="B28" s="26">
        <f t="shared" si="4"/>
        <v>63</v>
      </c>
      <c r="C28" s="26">
        <f t="shared" si="5"/>
        <v>628</v>
      </c>
      <c r="D28" s="26">
        <f t="shared" si="5"/>
        <v>6273</v>
      </c>
      <c r="E28" s="26">
        <f t="shared" si="5"/>
        <v>62727</v>
      </c>
      <c r="F28" s="26">
        <f>ROUNDUP($B19*F$24,0)</f>
        <v>627270</v>
      </c>
      <c r="G28" s="26">
        <f t="shared" si="6"/>
        <v>10761</v>
      </c>
      <c r="J28">
        <v>10</v>
      </c>
      <c r="K28" s="26">
        <f t="shared" si="7"/>
        <v>1867</v>
      </c>
      <c r="L28" s="26">
        <f t="shared" si="7"/>
        <v>18670</v>
      </c>
      <c r="M28" s="26">
        <f t="shared" si="7"/>
        <v>186700</v>
      </c>
      <c r="N28" s="26">
        <f t="shared" si="7"/>
        <v>1866995</v>
      </c>
      <c r="O28" s="26">
        <f t="shared" si="7"/>
        <v>18669944</v>
      </c>
      <c r="P28" s="26">
        <f>N19</f>
        <v>494</v>
      </c>
    </row>
    <row r="29" spans="1:16">
      <c r="J29">
        <v>12310</v>
      </c>
      <c r="K29" s="51">
        <f>K25*$J29</f>
        <v>2117320</v>
      </c>
      <c r="L29" s="51">
        <f t="shared" ref="L29:O29" si="9">L25*$J29</f>
        <v>21160890</v>
      </c>
      <c r="M29" s="51">
        <f t="shared" si="9"/>
        <v>211498110</v>
      </c>
      <c r="N29" s="51">
        <f t="shared" si="9"/>
        <v>2114944170</v>
      </c>
      <c r="O29" s="51">
        <f t="shared" si="9"/>
        <v>21149343220</v>
      </c>
    </row>
    <row r="31" spans="1:16">
      <c r="A31" t="s">
        <v>49</v>
      </c>
      <c r="J31" t="s">
        <v>49</v>
      </c>
    </row>
    <row r="32" spans="1:16">
      <c r="A32">
        <v>1</v>
      </c>
      <c r="B32" s="70">
        <f>B16*C$8</f>
        <v>91910.297561008425</v>
      </c>
      <c r="C32" t="s">
        <v>484</v>
      </c>
      <c r="J32">
        <v>1</v>
      </c>
      <c r="K32" s="70">
        <f>K16*L$8</f>
        <v>622520.86410589505</v>
      </c>
    </row>
    <row r="33" spans="1:16">
      <c r="A33">
        <v>2</v>
      </c>
      <c r="B33" s="70">
        <f t="shared" ref="B33:B35" si="10">B17*C$8</f>
        <v>87167.02692468118</v>
      </c>
      <c r="J33">
        <v>2</v>
      </c>
      <c r="K33" s="70">
        <f t="shared" ref="K33:K35" si="11">K17*L$8</f>
        <v>1369462.5376533947</v>
      </c>
    </row>
    <row r="34" spans="1:16">
      <c r="A34">
        <v>5</v>
      </c>
      <c r="B34" s="70">
        <f t="shared" si="10"/>
        <v>90787.549160015347</v>
      </c>
      <c r="J34">
        <v>5</v>
      </c>
      <c r="K34" s="70">
        <f t="shared" si="11"/>
        <v>3296717.4630162618</v>
      </c>
    </row>
    <row r="35" spans="1:16">
      <c r="A35">
        <v>10</v>
      </c>
      <c r="B35" s="70">
        <f t="shared" si="10"/>
        <v>93408.337079306191</v>
      </c>
      <c r="J35">
        <v>10</v>
      </c>
      <c r="K35" s="70">
        <f>K19*L$8</f>
        <v>6764848.5095778499</v>
      </c>
    </row>
    <row r="36" spans="1:16">
      <c r="J36">
        <v>12310</v>
      </c>
      <c r="K36" s="70">
        <f>K20*L$8</f>
        <v>7663231837.1435671</v>
      </c>
    </row>
    <row r="38" spans="1:16">
      <c r="A38" t="s">
        <v>49</v>
      </c>
      <c r="B38">
        <v>1</v>
      </c>
      <c r="C38">
        <v>10</v>
      </c>
      <c r="D38">
        <v>100</v>
      </c>
      <c r="E38">
        <v>1000</v>
      </c>
      <c r="F38">
        <v>10000</v>
      </c>
      <c r="G38">
        <v>100000</v>
      </c>
      <c r="J38" t="s">
        <v>49</v>
      </c>
      <c r="K38">
        <v>1</v>
      </c>
      <c r="L38">
        <v>10</v>
      </c>
      <c r="M38">
        <v>100</v>
      </c>
      <c r="N38">
        <v>1000</v>
      </c>
      <c r="O38">
        <v>10000</v>
      </c>
      <c r="P38">
        <v>100000</v>
      </c>
    </row>
    <row r="39" spans="1:16">
      <c r="A39">
        <v>1</v>
      </c>
      <c r="B39" s="48">
        <f>B$38/$C$12*$B16</f>
        <v>3.545921973804337E-2</v>
      </c>
      <c r="C39" s="48">
        <f t="shared" ref="C39:G39" si="12">C$38/$C$12*$B16</f>
        <v>0.35459219738043374</v>
      </c>
      <c r="D39" s="48">
        <f t="shared" si="12"/>
        <v>3.545921973804337</v>
      </c>
      <c r="E39" s="48">
        <f t="shared" si="12"/>
        <v>35.459219738043366</v>
      </c>
      <c r="F39" s="48">
        <f t="shared" si="12"/>
        <v>354.59219738043367</v>
      </c>
      <c r="G39" s="48">
        <f t="shared" si="12"/>
        <v>3545.9219738043366</v>
      </c>
      <c r="J39">
        <v>1</v>
      </c>
      <c r="K39" s="48">
        <f>K$38/$L$12*$K16</f>
        <v>0.24017008646060767</v>
      </c>
      <c r="L39" s="48">
        <f t="shared" ref="L39:P39" si="13">L$38/$L$12*$K16</f>
        <v>2.4017008646060765</v>
      </c>
      <c r="M39" s="48">
        <f t="shared" si="13"/>
        <v>24.017008646060766</v>
      </c>
      <c r="N39" s="48">
        <f t="shared" si="13"/>
        <v>240.17008646060765</v>
      </c>
      <c r="O39" s="48">
        <f t="shared" si="13"/>
        <v>2401.7008646060767</v>
      </c>
      <c r="P39" s="48">
        <f t="shared" si="13"/>
        <v>24017.008646060764</v>
      </c>
    </row>
    <row r="40" spans="1:16">
      <c r="A40">
        <v>2</v>
      </c>
      <c r="B40" s="48">
        <f t="shared" ref="B40:G40" si="14">B$38/$C$12*$B17</f>
        <v>3.3629254214768971E-2</v>
      </c>
      <c r="C40" s="48">
        <f t="shared" si="14"/>
        <v>0.33629254214768972</v>
      </c>
      <c r="D40" s="48">
        <f t="shared" si="14"/>
        <v>3.3629254214768975</v>
      </c>
      <c r="E40" s="48">
        <f t="shared" si="14"/>
        <v>33.62925421476897</v>
      </c>
      <c r="F40" s="48">
        <f t="shared" si="14"/>
        <v>336.29254214768969</v>
      </c>
      <c r="G40" s="48">
        <f t="shared" si="14"/>
        <v>3362.9254214768971</v>
      </c>
      <c r="J40">
        <v>2</v>
      </c>
      <c r="K40" s="48">
        <f t="shared" ref="K40:P40" si="15">K$38/$L$12*$K17</f>
        <v>0.52834202841566158</v>
      </c>
      <c r="L40" s="48">
        <f t="shared" si="15"/>
        <v>5.283420284156616</v>
      </c>
      <c r="M40" s="48">
        <f t="shared" si="15"/>
        <v>52.83420284156616</v>
      </c>
      <c r="N40" s="48">
        <f t="shared" si="15"/>
        <v>528.3420284156615</v>
      </c>
      <c r="O40" s="48">
        <f t="shared" si="15"/>
        <v>5283.4202841566157</v>
      </c>
      <c r="P40" s="48">
        <f t="shared" si="15"/>
        <v>52834.202841566155</v>
      </c>
    </row>
    <row r="41" spans="1:16">
      <c r="A41">
        <v>5</v>
      </c>
      <c r="B41" s="48">
        <f t="shared" ref="B41:G41" si="16">B$38/$C$12*$B18</f>
        <v>3.502606063272197E-2</v>
      </c>
      <c r="C41" s="48">
        <f t="shared" si="16"/>
        <v>0.35026060632721973</v>
      </c>
      <c r="D41" s="48">
        <f t="shared" si="16"/>
        <v>3.5026060632721969</v>
      </c>
      <c r="E41" s="48">
        <f t="shared" si="16"/>
        <v>35.026060632721965</v>
      </c>
      <c r="F41" s="48">
        <f t="shared" si="16"/>
        <v>350.26060632721965</v>
      </c>
      <c r="G41" s="48">
        <f t="shared" si="16"/>
        <v>3502.6060632721965</v>
      </c>
      <c r="J41">
        <v>5</v>
      </c>
      <c r="K41" s="48">
        <f t="shared" ref="K41:P41" si="17">K$38/$L$12*$K18</f>
        <v>1.2718817372747924</v>
      </c>
      <c r="L41" s="48">
        <f t="shared" si="17"/>
        <v>12.718817372747925</v>
      </c>
      <c r="M41" s="48">
        <f t="shared" si="17"/>
        <v>127.18817372747925</v>
      </c>
      <c r="N41" s="48">
        <f t="shared" si="17"/>
        <v>1271.8817372747924</v>
      </c>
      <c r="O41" s="48">
        <f t="shared" si="17"/>
        <v>12718.817372747924</v>
      </c>
      <c r="P41" s="48">
        <f t="shared" si="17"/>
        <v>127188.17372747922</v>
      </c>
    </row>
    <row r="42" spans="1:16">
      <c r="A42">
        <v>10</v>
      </c>
      <c r="B42" s="48">
        <f t="shared" ref="B42:G42" si="18">B$38/$C$12*$B19</f>
        <v>3.6037167083065653E-2</v>
      </c>
      <c r="C42" s="48">
        <f t="shared" si="18"/>
        <v>0.36037167083065658</v>
      </c>
      <c r="D42" s="48">
        <f t="shared" si="18"/>
        <v>3.6037167083065658</v>
      </c>
      <c r="E42" s="48">
        <f t="shared" si="18"/>
        <v>36.037167083065654</v>
      </c>
      <c r="F42" s="48">
        <f t="shared" si="18"/>
        <v>360.37167083065657</v>
      </c>
      <c r="G42" s="48">
        <f t="shared" si="18"/>
        <v>3603.7167083065656</v>
      </c>
      <c r="J42">
        <v>10</v>
      </c>
      <c r="K42" s="48">
        <f t="shared" ref="K42:P42" si="19">K$38/$L$12*$K19</f>
        <v>2.6098952583247881</v>
      </c>
      <c r="L42" s="48">
        <f t="shared" si="19"/>
        <v>26.098952583247879</v>
      </c>
      <c r="M42" s="48">
        <f t="shared" si="19"/>
        <v>260.98952583247882</v>
      </c>
      <c r="N42" s="48">
        <f t="shared" si="19"/>
        <v>2609.8952583247878</v>
      </c>
      <c r="O42" s="48">
        <f t="shared" si="19"/>
        <v>26098.952583247879</v>
      </c>
      <c r="P42" s="48">
        <f t="shared" si="19"/>
        <v>260989.52583247877</v>
      </c>
    </row>
  </sheetData>
  <mergeCells count="8">
    <mergeCell ref="J12:K12"/>
    <mergeCell ref="J14:M14"/>
    <mergeCell ref="A1:F1"/>
    <mergeCell ref="J1:M1"/>
    <mergeCell ref="A14:F14"/>
    <mergeCell ref="A11:B11"/>
    <mergeCell ref="A12:B12"/>
    <mergeCell ref="J11:K1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8AA2B-7FBB-4F90-9EA1-EB71121F74BF}">
  <dimension ref="A1:D8"/>
  <sheetViews>
    <sheetView workbookViewId="0">
      <selection sqref="A1:D4"/>
    </sheetView>
  </sheetViews>
  <sheetFormatPr defaultRowHeight="14"/>
  <cols>
    <col min="1" max="1" width="13.1640625" bestFit="1" customWidth="1"/>
    <col min="2" max="2" width="14.5" bestFit="1" customWidth="1"/>
    <col min="3" max="3" width="17.58203125" bestFit="1" customWidth="1"/>
    <col min="4" max="4" width="16.58203125" bestFit="1" customWidth="1"/>
  </cols>
  <sheetData>
    <row r="1" spans="1:4">
      <c r="A1" t="s">
        <v>444</v>
      </c>
      <c r="B1" t="s">
        <v>445</v>
      </c>
      <c r="C1" t="s">
        <v>446</v>
      </c>
      <c r="D1" t="s">
        <v>447</v>
      </c>
    </row>
    <row r="2" spans="1:4">
      <c r="A2" t="s">
        <v>63</v>
      </c>
      <c r="B2">
        <v>5</v>
      </c>
      <c r="C2" s="12">
        <v>50333</v>
      </c>
      <c r="D2" s="6">
        <f>C$8/C2</f>
        <v>51.497029781654184</v>
      </c>
    </row>
    <row r="3" spans="1:4">
      <c r="A3" t="s">
        <v>64</v>
      </c>
      <c r="B3">
        <v>19</v>
      </c>
      <c r="C3" s="12">
        <v>1489126</v>
      </c>
      <c r="D3" s="6">
        <f t="shared" ref="D3:D4" si="0">C$8/C3</f>
        <v>1.7406183224253691</v>
      </c>
    </row>
    <row r="4" spans="1:4">
      <c r="A4" t="s">
        <v>65</v>
      </c>
      <c r="B4">
        <v>21</v>
      </c>
      <c r="C4" s="12">
        <v>3623390</v>
      </c>
      <c r="D4" s="6">
        <f t="shared" si="0"/>
        <v>0.71535219780371417</v>
      </c>
    </row>
    <row r="8" spans="1:4">
      <c r="A8" s="60" t="s">
        <v>442</v>
      </c>
      <c r="B8" s="60"/>
      <c r="C8">
        <f>30*24*60*60</f>
        <v>2592000</v>
      </c>
    </row>
  </sheetData>
  <mergeCells count="1">
    <mergeCell ref="A8:B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775DE-AC0B-4C22-BB76-B121DEFFF79D}">
  <dimension ref="B1:N2600"/>
  <sheetViews>
    <sheetView topLeftCell="A4" workbookViewId="0">
      <selection activeCell="I33" sqref="I33"/>
    </sheetView>
  </sheetViews>
  <sheetFormatPr defaultRowHeight="14"/>
  <sheetData>
    <row r="1" spans="2:11">
      <c r="B1" s="71"/>
      <c r="E1" s="71"/>
      <c r="H1" s="71"/>
      <c r="K1" s="71"/>
    </row>
    <row r="2" spans="2:11">
      <c r="B2" s="71"/>
      <c r="E2" s="71"/>
      <c r="H2" s="71"/>
      <c r="K2" s="71"/>
    </row>
    <row r="3" spans="2:11">
      <c r="B3" s="71"/>
      <c r="E3" s="71"/>
      <c r="H3" s="71"/>
      <c r="K3" s="71"/>
    </row>
    <row r="4" spans="2:11">
      <c r="B4" s="71"/>
      <c r="E4" s="71"/>
      <c r="H4" s="71"/>
      <c r="K4" s="71"/>
    </row>
    <row r="5" spans="2:11">
      <c r="B5" s="71"/>
      <c r="E5" s="71"/>
      <c r="H5" s="71"/>
      <c r="K5" s="71"/>
    </row>
    <row r="6" spans="2:11">
      <c r="B6" s="71"/>
      <c r="E6" s="71"/>
      <c r="H6" s="71"/>
      <c r="K6" s="71"/>
    </row>
    <row r="7" spans="2:11">
      <c r="B7" s="71"/>
      <c r="E7" s="71"/>
      <c r="H7" s="71"/>
      <c r="K7" s="71"/>
    </row>
    <row r="8" spans="2:11">
      <c r="B8" s="71"/>
      <c r="E8" s="71"/>
      <c r="H8" s="71"/>
      <c r="K8" s="71"/>
    </row>
    <row r="9" spans="2:11">
      <c r="B9" s="71"/>
      <c r="E9" s="71"/>
      <c r="H9" s="71"/>
      <c r="K9" s="71"/>
    </row>
    <row r="10" spans="2:11">
      <c r="B10" s="71"/>
      <c r="E10" s="71"/>
      <c r="H10" s="71"/>
      <c r="K10" s="71"/>
    </row>
    <row r="11" spans="2:11">
      <c r="B11" s="71"/>
      <c r="E11" s="71"/>
      <c r="H11" s="71"/>
      <c r="K11" s="71"/>
    </row>
    <row r="12" spans="2:11">
      <c r="B12" s="71"/>
      <c r="E12" s="71"/>
      <c r="H12" s="71"/>
      <c r="K12" s="71"/>
    </row>
    <row r="13" spans="2:11">
      <c r="B13" s="71"/>
      <c r="E13" s="71"/>
      <c r="H13" s="71"/>
      <c r="K13" s="71"/>
    </row>
    <row r="14" spans="2:11">
      <c r="B14" s="71"/>
      <c r="E14" s="71"/>
      <c r="H14" s="71"/>
      <c r="K14" s="71"/>
    </row>
    <row r="15" spans="2:11">
      <c r="B15" s="71"/>
      <c r="E15" s="71"/>
      <c r="H15" s="71"/>
      <c r="K15" s="71"/>
    </row>
    <row r="16" spans="2:11">
      <c r="B16" s="71"/>
      <c r="E16" s="71"/>
      <c r="H16" s="71"/>
      <c r="K16" s="71"/>
    </row>
    <row r="17" spans="2:11">
      <c r="B17" s="71"/>
      <c r="E17" s="71"/>
      <c r="H17" s="71"/>
      <c r="K17" s="71"/>
    </row>
    <row r="18" spans="2:11">
      <c r="B18" s="71"/>
      <c r="E18" s="71"/>
      <c r="H18" s="71"/>
      <c r="K18" s="71"/>
    </row>
    <row r="19" spans="2:11">
      <c r="B19" s="71"/>
      <c r="E19" s="71"/>
      <c r="H19" s="71"/>
      <c r="K19" s="71"/>
    </row>
    <row r="20" spans="2:11">
      <c r="B20" s="71"/>
      <c r="E20" s="71"/>
      <c r="H20" s="71"/>
      <c r="K20" s="71"/>
    </row>
    <row r="21" spans="2:11">
      <c r="B21" s="71"/>
      <c r="E21" s="71"/>
      <c r="H21" s="71"/>
      <c r="K21" s="71"/>
    </row>
    <row r="22" spans="2:11">
      <c r="B22" s="71"/>
      <c r="E22" s="71"/>
      <c r="H22" s="71"/>
      <c r="K22" s="71"/>
    </row>
    <row r="23" spans="2:11">
      <c r="B23" s="71"/>
      <c r="E23" s="71"/>
      <c r="H23" s="71"/>
      <c r="K23" s="71"/>
    </row>
    <row r="24" spans="2:11">
      <c r="B24" s="71"/>
      <c r="E24" s="71"/>
      <c r="H24" s="71"/>
      <c r="K24" s="71"/>
    </row>
    <row r="25" spans="2:11">
      <c r="B25" s="71"/>
      <c r="E25" s="71"/>
      <c r="H25" s="71"/>
      <c r="K25" s="71"/>
    </row>
    <row r="26" spans="2:11">
      <c r="B26" s="71"/>
      <c r="E26" s="71"/>
      <c r="H26" s="71"/>
      <c r="K26" s="71"/>
    </row>
    <row r="27" spans="2:11">
      <c r="B27" s="71"/>
      <c r="E27" s="71"/>
      <c r="H27" s="71"/>
      <c r="K27" s="71"/>
    </row>
    <row r="28" spans="2:11">
      <c r="B28" s="71"/>
      <c r="E28" s="71"/>
      <c r="H28" s="71"/>
      <c r="K28" s="71"/>
    </row>
    <row r="29" spans="2:11">
      <c r="B29" s="71"/>
      <c r="E29" s="71"/>
      <c r="H29" s="71"/>
      <c r="K29" s="71"/>
    </row>
    <row r="30" spans="2:11">
      <c r="B30" s="71"/>
      <c r="E30" s="71"/>
      <c r="H30" s="71"/>
      <c r="K30" s="71"/>
    </row>
    <row r="31" spans="2:11">
      <c r="B31" s="71"/>
      <c r="E31" s="71"/>
      <c r="H31" s="71"/>
      <c r="K31" s="71"/>
    </row>
    <row r="32" spans="2:11">
      <c r="B32" s="71"/>
      <c r="E32" s="71"/>
      <c r="H32" s="71"/>
      <c r="K32" s="71"/>
    </row>
    <row r="33" spans="2:11">
      <c r="B33" s="71"/>
      <c r="E33" s="71"/>
      <c r="K33" s="71"/>
    </row>
    <row r="34" spans="2:11">
      <c r="B34" s="71"/>
      <c r="E34" s="71"/>
      <c r="H34" s="71"/>
      <c r="K34" s="71"/>
    </row>
    <row r="35" spans="2:11">
      <c r="B35" s="71"/>
      <c r="E35" s="71"/>
      <c r="H35" s="71"/>
      <c r="K35" s="71"/>
    </row>
    <row r="36" spans="2:11">
      <c r="B36" s="71"/>
      <c r="E36" s="71"/>
      <c r="H36" s="71"/>
      <c r="K36" s="71"/>
    </row>
    <row r="37" spans="2:11">
      <c r="B37" s="71"/>
      <c r="E37" s="71"/>
      <c r="H37" s="71"/>
      <c r="K37" s="71"/>
    </row>
    <row r="38" spans="2:11">
      <c r="B38" s="71"/>
      <c r="E38" s="71"/>
      <c r="H38" s="71"/>
      <c r="K38" s="71"/>
    </row>
    <row r="39" spans="2:11">
      <c r="B39" s="71"/>
      <c r="E39" s="71"/>
      <c r="H39" s="71"/>
      <c r="K39" s="71"/>
    </row>
    <row r="40" spans="2:11">
      <c r="B40" s="71"/>
      <c r="E40" s="71"/>
      <c r="H40" s="71"/>
      <c r="K40" s="71"/>
    </row>
    <row r="41" spans="2:11">
      <c r="B41" s="71"/>
      <c r="E41" s="71"/>
      <c r="H41" s="71"/>
      <c r="K41" s="71"/>
    </row>
    <row r="42" spans="2:11">
      <c r="B42" s="71"/>
      <c r="E42" s="71"/>
      <c r="H42" s="71"/>
      <c r="K42" s="71"/>
    </row>
    <row r="43" spans="2:11">
      <c r="B43" s="71"/>
      <c r="E43" s="71"/>
      <c r="H43" s="71"/>
      <c r="K43" s="71"/>
    </row>
    <row r="44" spans="2:11">
      <c r="B44" s="71"/>
      <c r="E44" s="71"/>
      <c r="H44" s="71"/>
      <c r="K44" s="71"/>
    </row>
    <row r="45" spans="2:11">
      <c r="B45" s="71"/>
      <c r="E45" s="71"/>
      <c r="H45" s="71"/>
      <c r="K45" s="71"/>
    </row>
    <row r="46" spans="2:11">
      <c r="B46" s="71"/>
      <c r="E46" s="71"/>
      <c r="H46" s="71"/>
      <c r="K46" s="71"/>
    </row>
    <row r="47" spans="2:11">
      <c r="B47" s="71"/>
      <c r="E47" s="71"/>
      <c r="H47" s="71"/>
      <c r="K47" s="71"/>
    </row>
    <row r="48" spans="2:11">
      <c r="B48" s="71"/>
      <c r="E48" s="71"/>
      <c r="H48" s="71"/>
      <c r="K48" s="71"/>
    </row>
    <row r="49" spans="2:11">
      <c r="B49" s="71"/>
      <c r="E49" s="71"/>
      <c r="H49" s="71"/>
      <c r="K49" s="71"/>
    </row>
    <row r="50" spans="2:11">
      <c r="B50" s="71"/>
      <c r="E50" s="71"/>
      <c r="H50" s="71"/>
      <c r="K50" s="71"/>
    </row>
    <row r="51" spans="2:11">
      <c r="B51" s="71"/>
      <c r="E51" s="71"/>
      <c r="H51" s="71"/>
      <c r="K51" s="71"/>
    </row>
    <row r="52" spans="2:11">
      <c r="B52" s="71"/>
      <c r="E52" s="71"/>
      <c r="H52" s="71"/>
      <c r="K52" s="71"/>
    </row>
    <row r="53" spans="2:11">
      <c r="B53" s="71"/>
      <c r="E53" s="71"/>
      <c r="H53" s="71"/>
      <c r="K53" s="71"/>
    </row>
    <row r="54" spans="2:11">
      <c r="B54" s="71"/>
      <c r="E54" s="71"/>
      <c r="H54" s="71"/>
      <c r="K54" s="71"/>
    </row>
    <row r="55" spans="2:11">
      <c r="B55" s="71"/>
      <c r="E55" s="71"/>
      <c r="H55" s="71"/>
      <c r="K55" s="71"/>
    </row>
    <row r="56" spans="2:11">
      <c r="B56" s="71"/>
      <c r="E56" s="71"/>
      <c r="H56" s="71"/>
      <c r="K56" s="71"/>
    </row>
    <row r="57" spans="2:11">
      <c r="B57" s="71"/>
      <c r="E57" s="71"/>
      <c r="H57" s="71"/>
      <c r="K57" s="71"/>
    </row>
    <row r="58" spans="2:11">
      <c r="B58" s="71"/>
      <c r="E58" s="71"/>
      <c r="H58" s="71"/>
      <c r="K58" s="71"/>
    </row>
    <row r="59" spans="2:11">
      <c r="B59" s="71"/>
      <c r="E59" s="71"/>
      <c r="H59" s="71"/>
      <c r="K59" s="71"/>
    </row>
    <row r="60" spans="2:11">
      <c r="B60" s="71"/>
      <c r="E60" s="71"/>
      <c r="H60" s="71"/>
      <c r="K60" s="71"/>
    </row>
    <row r="61" spans="2:11">
      <c r="B61" s="71"/>
      <c r="E61" s="71"/>
      <c r="H61" s="71"/>
      <c r="K61" s="71"/>
    </row>
    <row r="62" spans="2:11">
      <c r="B62" s="71"/>
      <c r="E62" s="71"/>
      <c r="H62" s="71"/>
      <c r="K62" s="71"/>
    </row>
    <row r="63" spans="2:11">
      <c r="B63" s="71"/>
      <c r="E63" s="71"/>
      <c r="H63" s="71"/>
      <c r="K63" s="71"/>
    </row>
    <row r="64" spans="2:11">
      <c r="B64" s="71"/>
      <c r="E64" s="71"/>
      <c r="H64" s="71"/>
      <c r="K64" s="71"/>
    </row>
    <row r="65" spans="2:11">
      <c r="B65" s="71"/>
      <c r="E65" s="71"/>
      <c r="H65" s="71"/>
      <c r="K65" s="71"/>
    </row>
    <row r="66" spans="2:11">
      <c r="B66" s="71"/>
      <c r="E66" s="71"/>
      <c r="H66" s="71"/>
      <c r="K66" s="71"/>
    </row>
    <row r="67" spans="2:11">
      <c r="B67" s="71"/>
      <c r="E67" s="71"/>
      <c r="H67" s="71"/>
      <c r="K67" s="71"/>
    </row>
    <row r="68" spans="2:11">
      <c r="B68" s="71"/>
      <c r="E68" s="71"/>
      <c r="H68" s="71"/>
      <c r="K68" s="71"/>
    </row>
    <row r="69" spans="2:11">
      <c r="B69" s="71"/>
      <c r="E69" s="71"/>
      <c r="H69" s="71"/>
      <c r="K69" s="71"/>
    </row>
    <row r="70" spans="2:11">
      <c r="B70" s="71"/>
      <c r="E70" s="71"/>
      <c r="H70" s="71"/>
      <c r="K70" s="71"/>
    </row>
    <row r="71" spans="2:11">
      <c r="B71" s="71"/>
      <c r="E71" s="71"/>
      <c r="H71" s="71"/>
      <c r="K71" s="71"/>
    </row>
    <row r="72" spans="2:11">
      <c r="B72" s="71"/>
      <c r="E72" s="71"/>
      <c r="H72" s="71"/>
      <c r="K72" s="71"/>
    </row>
    <row r="73" spans="2:11">
      <c r="B73" s="71"/>
      <c r="E73" s="71"/>
      <c r="H73" s="71"/>
      <c r="K73" s="71"/>
    </row>
    <row r="74" spans="2:11">
      <c r="B74" s="71"/>
      <c r="E74" s="71"/>
      <c r="H74" s="71"/>
      <c r="K74" s="71"/>
    </row>
    <row r="75" spans="2:11">
      <c r="B75" s="71"/>
      <c r="E75" s="71"/>
      <c r="H75" s="71"/>
      <c r="K75" s="71"/>
    </row>
    <row r="76" spans="2:11">
      <c r="B76" s="71"/>
      <c r="E76" s="71"/>
      <c r="H76" s="71"/>
      <c r="K76" s="71"/>
    </row>
    <row r="77" spans="2:11">
      <c r="B77" s="71"/>
      <c r="E77" s="71"/>
      <c r="H77" s="71"/>
      <c r="K77" s="71"/>
    </row>
    <row r="78" spans="2:11">
      <c r="B78" s="71"/>
      <c r="E78" s="71"/>
      <c r="H78" s="71"/>
      <c r="K78" s="71"/>
    </row>
    <row r="79" spans="2:11">
      <c r="B79" s="71"/>
      <c r="E79" s="71"/>
      <c r="H79" s="71"/>
      <c r="K79" s="71"/>
    </row>
    <row r="80" spans="2:11">
      <c r="B80" s="71"/>
      <c r="E80" s="71"/>
      <c r="H80" s="71"/>
      <c r="K80" s="71"/>
    </row>
    <row r="81" spans="2:11">
      <c r="B81" s="71"/>
      <c r="E81" s="71"/>
      <c r="H81" s="71"/>
      <c r="K81" s="71"/>
    </row>
    <row r="82" spans="2:11">
      <c r="B82" s="71"/>
      <c r="E82" s="71"/>
      <c r="H82" s="71"/>
      <c r="K82" s="71"/>
    </row>
    <row r="83" spans="2:11">
      <c r="B83" s="71"/>
      <c r="E83" s="71"/>
      <c r="H83" s="71"/>
      <c r="K83" s="71"/>
    </row>
    <row r="84" spans="2:11">
      <c r="B84" s="71"/>
      <c r="E84" s="71"/>
      <c r="H84" s="71"/>
      <c r="K84" s="71"/>
    </row>
    <row r="85" spans="2:11">
      <c r="B85" s="71"/>
      <c r="E85" s="71"/>
      <c r="H85" s="71"/>
      <c r="K85" s="71"/>
    </row>
    <row r="86" spans="2:11">
      <c r="B86" s="71"/>
      <c r="E86" s="71"/>
      <c r="H86" s="71"/>
      <c r="K86" s="71"/>
    </row>
    <row r="87" spans="2:11">
      <c r="B87" s="71"/>
      <c r="E87" s="71"/>
      <c r="H87" s="71"/>
      <c r="K87" s="71"/>
    </row>
    <row r="88" spans="2:11">
      <c r="B88" s="71"/>
      <c r="E88" s="71"/>
      <c r="H88" s="71"/>
      <c r="K88" s="71"/>
    </row>
    <row r="89" spans="2:11">
      <c r="B89" s="71"/>
      <c r="E89" s="71"/>
      <c r="H89" s="71"/>
      <c r="K89" s="71"/>
    </row>
    <row r="90" spans="2:11">
      <c r="B90" s="71"/>
      <c r="E90" s="71"/>
      <c r="H90" s="71"/>
      <c r="K90" s="71"/>
    </row>
    <row r="91" spans="2:11">
      <c r="B91" s="71"/>
      <c r="E91" s="71"/>
      <c r="H91" s="71"/>
      <c r="K91" s="71"/>
    </row>
    <row r="92" spans="2:11">
      <c r="B92" s="71"/>
      <c r="E92" s="71"/>
      <c r="H92" s="71"/>
      <c r="K92" s="71"/>
    </row>
    <row r="93" spans="2:11">
      <c r="B93" s="71"/>
      <c r="E93" s="71"/>
      <c r="H93" s="71"/>
      <c r="K93" s="71"/>
    </row>
    <row r="94" spans="2:11">
      <c r="B94" s="71"/>
      <c r="E94" s="71"/>
      <c r="H94" s="71"/>
      <c r="K94" s="71"/>
    </row>
    <row r="95" spans="2:11">
      <c r="B95" s="71"/>
      <c r="E95" s="71"/>
      <c r="H95" s="71"/>
      <c r="K95" s="71"/>
    </row>
    <row r="96" spans="2:11">
      <c r="B96" s="71"/>
      <c r="E96" s="71"/>
      <c r="H96" s="71"/>
      <c r="K96" s="71"/>
    </row>
    <row r="97" spans="2:11">
      <c r="B97" s="71"/>
      <c r="E97" s="71"/>
      <c r="H97" s="71"/>
      <c r="K97" s="71"/>
    </row>
    <row r="98" spans="2:11">
      <c r="B98" s="71"/>
      <c r="E98" s="71"/>
      <c r="H98" s="71"/>
      <c r="K98" s="71"/>
    </row>
    <row r="99" spans="2:11">
      <c r="B99" s="71"/>
      <c r="E99" s="71"/>
      <c r="H99" s="71"/>
      <c r="K99" s="71"/>
    </row>
    <row r="100" spans="2:11">
      <c r="B100" s="71"/>
      <c r="E100" s="71"/>
      <c r="H100" s="71"/>
      <c r="K100" s="71"/>
    </row>
    <row r="101" spans="2:11">
      <c r="B101" s="71"/>
      <c r="E101" s="71"/>
      <c r="H101" s="71"/>
      <c r="K101" s="71"/>
    </row>
    <row r="102" spans="2:11">
      <c r="B102" s="71"/>
      <c r="E102" s="71"/>
      <c r="H102" s="71"/>
      <c r="K102" s="71"/>
    </row>
    <row r="103" spans="2:11">
      <c r="B103" s="71"/>
      <c r="E103" s="71"/>
      <c r="H103" s="71"/>
      <c r="K103" s="71"/>
    </row>
    <row r="104" spans="2:11">
      <c r="B104" s="71"/>
      <c r="E104" s="71"/>
      <c r="H104" s="71"/>
      <c r="K104" s="71"/>
    </row>
    <row r="105" spans="2:11">
      <c r="B105" s="71"/>
      <c r="E105" s="71"/>
      <c r="H105" s="71"/>
      <c r="K105" s="71"/>
    </row>
    <row r="106" spans="2:11">
      <c r="B106" s="71"/>
      <c r="E106" s="71"/>
      <c r="H106" s="71"/>
      <c r="K106" s="71"/>
    </row>
    <row r="107" spans="2:11">
      <c r="B107" s="71"/>
      <c r="E107" s="71"/>
      <c r="H107" s="71"/>
      <c r="K107" s="71"/>
    </row>
    <row r="108" spans="2:11">
      <c r="B108" s="71"/>
      <c r="E108" s="71"/>
      <c r="H108" s="71"/>
      <c r="K108" s="71"/>
    </row>
    <row r="109" spans="2:11">
      <c r="B109" s="71"/>
      <c r="E109" s="71"/>
      <c r="H109" s="71"/>
      <c r="K109" s="71"/>
    </row>
    <row r="110" spans="2:11">
      <c r="B110" s="71"/>
      <c r="E110" s="71"/>
      <c r="H110" s="71"/>
      <c r="K110" s="71"/>
    </row>
    <row r="111" spans="2:11">
      <c r="B111" s="71"/>
      <c r="E111" s="71"/>
      <c r="H111" s="71"/>
      <c r="K111" s="71"/>
    </row>
    <row r="112" spans="2:11">
      <c r="B112" s="71"/>
      <c r="E112" s="71"/>
      <c r="H112" s="71"/>
      <c r="K112" s="71"/>
    </row>
    <row r="113" spans="2:11">
      <c r="B113" s="71"/>
      <c r="E113" s="71"/>
      <c r="H113" s="71"/>
      <c r="K113" s="71"/>
    </row>
    <row r="114" spans="2:11">
      <c r="B114" s="71"/>
      <c r="E114" s="71"/>
      <c r="H114" s="71"/>
      <c r="K114" s="71"/>
    </row>
    <row r="115" spans="2:11">
      <c r="B115" s="71"/>
      <c r="E115" s="71"/>
      <c r="H115" s="71"/>
      <c r="K115" s="71"/>
    </row>
    <row r="116" spans="2:11">
      <c r="B116" s="71"/>
      <c r="E116" s="71"/>
      <c r="H116" s="71"/>
      <c r="K116" s="71"/>
    </row>
    <row r="117" spans="2:11">
      <c r="B117" s="71"/>
      <c r="E117" s="71"/>
      <c r="H117" s="71"/>
      <c r="K117" s="71"/>
    </row>
    <row r="118" spans="2:11">
      <c r="B118" s="71"/>
      <c r="E118" s="71"/>
      <c r="H118" s="71"/>
      <c r="K118" s="71"/>
    </row>
    <row r="119" spans="2:11">
      <c r="B119" s="71"/>
      <c r="E119" s="71"/>
      <c r="H119" s="71"/>
      <c r="K119" s="71"/>
    </row>
    <row r="120" spans="2:11">
      <c r="B120" s="71"/>
      <c r="E120" s="71"/>
      <c r="H120" s="71"/>
      <c r="K120" s="71"/>
    </row>
    <row r="121" spans="2:11">
      <c r="B121" s="71"/>
      <c r="H121" s="71"/>
      <c r="K121" s="71"/>
    </row>
    <row r="122" spans="2:11">
      <c r="B122" s="71"/>
      <c r="E122" s="71"/>
      <c r="H122" s="71"/>
      <c r="K122" s="71"/>
    </row>
    <row r="123" spans="2:11">
      <c r="B123" s="71"/>
      <c r="E123" s="71"/>
      <c r="H123" s="71"/>
      <c r="K123" s="71"/>
    </row>
    <row r="124" spans="2:11">
      <c r="B124" s="71"/>
      <c r="E124" s="71"/>
      <c r="H124" s="71"/>
      <c r="K124" s="71"/>
    </row>
    <row r="125" spans="2:11">
      <c r="B125" s="71"/>
      <c r="E125" s="71"/>
      <c r="H125" s="71"/>
      <c r="K125" s="71"/>
    </row>
    <row r="126" spans="2:11">
      <c r="B126" s="71"/>
      <c r="E126" s="71"/>
      <c r="H126" s="71"/>
      <c r="K126" s="71"/>
    </row>
    <row r="127" spans="2:11">
      <c r="B127" s="71"/>
      <c r="E127" s="71"/>
      <c r="H127" s="71"/>
      <c r="K127" s="71"/>
    </row>
    <row r="128" spans="2:11">
      <c r="B128" s="71"/>
      <c r="E128" s="71"/>
      <c r="H128" s="71"/>
      <c r="K128" s="71"/>
    </row>
    <row r="129" spans="2:11">
      <c r="B129" s="71"/>
      <c r="E129" s="71"/>
      <c r="H129" s="71"/>
      <c r="K129" s="71"/>
    </row>
    <row r="130" spans="2:11">
      <c r="B130" s="71"/>
      <c r="E130" s="71"/>
      <c r="H130" s="71"/>
      <c r="K130" s="71"/>
    </row>
    <row r="131" spans="2:11">
      <c r="B131" s="71"/>
      <c r="E131" s="71"/>
      <c r="H131" s="71"/>
      <c r="K131" s="71"/>
    </row>
    <row r="132" spans="2:11">
      <c r="B132" s="71"/>
      <c r="E132" s="71"/>
      <c r="H132" s="71"/>
      <c r="K132" s="71"/>
    </row>
    <row r="133" spans="2:11">
      <c r="B133" s="71"/>
      <c r="E133" s="71"/>
      <c r="H133" s="71"/>
      <c r="K133" s="71"/>
    </row>
    <row r="134" spans="2:11">
      <c r="B134" s="71"/>
      <c r="E134" s="71"/>
      <c r="H134" s="71"/>
      <c r="K134" s="71"/>
    </row>
    <row r="135" spans="2:11">
      <c r="B135" s="71"/>
      <c r="E135" s="71"/>
      <c r="H135" s="71"/>
      <c r="K135" s="71"/>
    </row>
    <row r="136" spans="2:11">
      <c r="B136" s="71"/>
      <c r="E136" s="71"/>
      <c r="H136" s="71"/>
      <c r="K136" s="71"/>
    </row>
    <row r="137" spans="2:11">
      <c r="B137" s="71"/>
      <c r="E137" s="71"/>
      <c r="H137" s="71"/>
      <c r="K137" s="71"/>
    </row>
    <row r="138" spans="2:11">
      <c r="B138" s="71"/>
      <c r="E138" s="71"/>
      <c r="H138" s="71"/>
      <c r="K138" s="71"/>
    </row>
    <row r="139" spans="2:11">
      <c r="B139" s="71"/>
      <c r="E139" s="71"/>
      <c r="H139" s="71"/>
      <c r="K139" s="71"/>
    </row>
    <row r="140" spans="2:11">
      <c r="B140" s="71"/>
      <c r="E140" s="71"/>
      <c r="H140" s="71"/>
      <c r="K140" s="71"/>
    </row>
    <row r="141" spans="2:11">
      <c r="B141" s="71"/>
      <c r="E141" s="71"/>
      <c r="H141" s="71"/>
      <c r="K141" s="71"/>
    </row>
    <row r="142" spans="2:11">
      <c r="B142" s="71"/>
      <c r="E142" s="71"/>
      <c r="H142" s="71"/>
      <c r="K142" s="71"/>
    </row>
    <row r="143" spans="2:11">
      <c r="B143" s="71"/>
      <c r="E143" s="71"/>
      <c r="H143" s="71"/>
      <c r="K143" s="71"/>
    </row>
    <row r="144" spans="2:11">
      <c r="B144" s="71"/>
      <c r="E144" s="71"/>
      <c r="H144" s="71"/>
      <c r="K144" s="71"/>
    </row>
    <row r="145" spans="2:11">
      <c r="B145" s="71"/>
      <c r="E145" s="71"/>
      <c r="H145" s="71"/>
      <c r="K145" s="71"/>
    </row>
    <row r="146" spans="2:11">
      <c r="B146" s="71"/>
      <c r="E146" s="71"/>
      <c r="H146" s="71"/>
      <c r="K146" s="71"/>
    </row>
    <row r="147" spans="2:11">
      <c r="B147" s="71"/>
      <c r="E147" s="71"/>
      <c r="H147" s="71"/>
      <c r="K147" s="71"/>
    </row>
    <row r="148" spans="2:11">
      <c r="B148" s="71"/>
      <c r="E148" s="71"/>
      <c r="H148" s="71"/>
      <c r="K148" s="71"/>
    </row>
    <row r="149" spans="2:11">
      <c r="B149" s="71"/>
      <c r="E149" s="71"/>
      <c r="H149" s="71"/>
      <c r="K149" s="71"/>
    </row>
    <row r="150" spans="2:11">
      <c r="B150" s="71"/>
      <c r="E150" s="71"/>
      <c r="H150" s="71"/>
      <c r="K150" s="71"/>
    </row>
    <row r="151" spans="2:11">
      <c r="B151" s="71"/>
      <c r="E151" s="71"/>
      <c r="H151" s="71"/>
      <c r="K151" s="71"/>
    </row>
    <row r="152" spans="2:11">
      <c r="B152" s="71"/>
      <c r="E152" s="71"/>
      <c r="H152" s="71"/>
      <c r="K152" s="71"/>
    </row>
    <row r="153" spans="2:11">
      <c r="B153" s="71"/>
      <c r="E153" s="71"/>
      <c r="H153" s="71"/>
      <c r="K153" s="71"/>
    </row>
    <row r="154" spans="2:11">
      <c r="B154" s="71"/>
      <c r="E154" s="71"/>
      <c r="H154" s="71"/>
      <c r="K154" s="71"/>
    </row>
    <row r="155" spans="2:11">
      <c r="B155" s="71"/>
      <c r="E155" s="71"/>
      <c r="H155" s="71"/>
      <c r="K155" s="71"/>
    </row>
    <row r="156" spans="2:11">
      <c r="B156" s="71"/>
      <c r="E156" s="71"/>
      <c r="H156" s="71"/>
      <c r="K156" s="71"/>
    </row>
    <row r="157" spans="2:11">
      <c r="B157" s="71"/>
      <c r="E157" s="71"/>
      <c r="H157" s="71"/>
      <c r="K157" s="71"/>
    </row>
    <row r="158" spans="2:11">
      <c r="B158" s="71"/>
      <c r="E158" s="71"/>
      <c r="H158" s="71"/>
      <c r="K158" s="71"/>
    </row>
    <row r="159" spans="2:11">
      <c r="B159" s="71"/>
      <c r="E159" s="71"/>
      <c r="H159" s="71"/>
      <c r="K159" s="71"/>
    </row>
    <row r="160" spans="2:11">
      <c r="B160" s="71"/>
      <c r="E160" s="71"/>
      <c r="H160" s="71"/>
      <c r="K160" s="71"/>
    </row>
    <row r="161" spans="2:11">
      <c r="B161" s="71"/>
      <c r="E161" s="71"/>
      <c r="H161" s="71"/>
      <c r="K161" s="71"/>
    </row>
    <row r="162" spans="2:11">
      <c r="B162" s="71"/>
      <c r="E162" s="71"/>
      <c r="H162" s="71"/>
      <c r="K162" s="71"/>
    </row>
    <row r="163" spans="2:11">
      <c r="B163" s="71"/>
      <c r="E163" s="71"/>
      <c r="H163" s="71"/>
      <c r="K163" s="71"/>
    </row>
    <row r="164" spans="2:11">
      <c r="B164" s="71"/>
      <c r="E164" s="71"/>
      <c r="H164" s="71"/>
      <c r="K164" s="71"/>
    </row>
    <row r="165" spans="2:11">
      <c r="B165" s="71"/>
      <c r="E165" s="71"/>
      <c r="H165" s="71"/>
      <c r="K165" s="71"/>
    </row>
    <row r="166" spans="2:11">
      <c r="B166" s="71"/>
      <c r="E166" s="71"/>
      <c r="H166" s="71"/>
      <c r="K166" s="71"/>
    </row>
    <row r="167" spans="2:11">
      <c r="B167" s="71"/>
      <c r="E167" s="71"/>
      <c r="H167" s="71"/>
      <c r="K167" s="71"/>
    </row>
    <row r="168" spans="2:11">
      <c r="B168" s="71"/>
      <c r="E168" s="71"/>
      <c r="H168" s="71"/>
      <c r="K168" s="71"/>
    </row>
    <row r="169" spans="2:11">
      <c r="B169" s="71"/>
      <c r="E169" s="71"/>
      <c r="H169" s="71"/>
      <c r="K169" s="71"/>
    </row>
    <row r="170" spans="2:11">
      <c r="B170" s="71"/>
      <c r="E170" s="71"/>
      <c r="H170" s="71"/>
      <c r="K170" s="71"/>
    </row>
    <row r="171" spans="2:11">
      <c r="B171" s="71"/>
      <c r="E171" s="71"/>
      <c r="H171" s="71"/>
      <c r="K171" s="71"/>
    </row>
    <row r="172" spans="2:11">
      <c r="B172" s="71"/>
      <c r="E172" s="71"/>
      <c r="H172" s="71"/>
      <c r="K172" s="71"/>
    </row>
    <row r="173" spans="2:11">
      <c r="B173" s="71"/>
      <c r="E173" s="71"/>
      <c r="H173" s="71"/>
      <c r="K173" s="71"/>
    </row>
    <row r="174" spans="2:11">
      <c r="B174" s="71"/>
      <c r="E174" s="71"/>
      <c r="H174" s="71"/>
      <c r="K174" s="71"/>
    </row>
    <row r="175" spans="2:11">
      <c r="B175" s="71"/>
      <c r="E175" s="71"/>
      <c r="H175" s="71"/>
      <c r="K175" s="71"/>
    </row>
    <row r="176" spans="2:11">
      <c r="B176" s="71"/>
      <c r="E176" s="71"/>
      <c r="H176" s="71"/>
      <c r="K176" s="71"/>
    </row>
    <row r="177" spans="2:11">
      <c r="B177" s="71"/>
      <c r="E177" s="71"/>
      <c r="H177" s="71"/>
      <c r="K177" s="71"/>
    </row>
    <row r="178" spans="2:11">
      <c r="B178" s="71"/>
      <c r="E178" s="71"/>
      <c r="H178" s="71"/>
      <c r="K178" s="71"/>
    </row>
    <row r="179" spans="2:11">
      <c r="B179" s="71"/>
      <c r="E179" s="71"/>
      <c r="H179" s="71"/>
      <c r="K179" s="71"/>
    </row>
    <row r="180" spans="2:11">
      <c r="B180" s="71"/>
      <c r="E180" s="71"/>
      <c r="H180" s="71"/>
      <c r="K180" s="71"/>
    </row>
    <row r="181" spans="2:11">
      <c r="B181" s="71"/>
      <c r="E181" s="71"/>
      <c r="H181" s="71"/>
      <c r="K181" s="71"/>
    </row>
    <row r="182" spans="2:11">
      <c r="B182" s="71"/>
      <c r="E182" s="71"/>
      <c r="H182" s="71"/>
      <c r="K182" s="71"/>
    </row>
    <row r="183" spans="2:11">
      <c r="B183" s="71"/>
      <c r="E183" s="71"/>
      <c r="H183" s="71"/>
      <c r="K183" s="71"/>
    </row>
    <row r="184" spans="2:11">
      <c r="B184" s="71"/>
      <c r="E184" s="71"/>
      <c r="H184" s="71"/>
      <c r="K184" s="71"/>
    </row>
    <row r="185" spans="2:11">
      <c r="B185" s="71"/>
      <c r="E185" s="71"/>
      <c r="H185" s="71"/>
      <c r="K185" s="71"/>
    </row>
    <row r="186" spans="2:11">
      <c r="B186" s="71"/>
      <c r="E186" s="71"/>
      <c r="H186" s="71"/>
      <c r="K186" s="71"/>
    </row>
    <row r="187" spans="2:11">
      <c r="B187" s="71"/>
      <c r="E187" s="71"/>
      <c r="H187" s="71"/>
      <c r="K187" s="71"/>
    </row>
    <row r="188" spans="2:11">
      <c r="B188" s="71"/>
      <c r="E188" s="71"/>
      <c r="H188" s="71"/>
      <c r="K188" s="71"/>
    </row>
    <row r="189" spans="2:11">
      <c r="B189" s="71"/>
      <c r="E189" s="71"/>
      <c r="H189" s="71"/>
      <c r="K189" s="71"/>
    </row>
    <row r="190" spans="2:11">
      <c r="B190" s="71"/>
      <c r="E190" s="71"/>
      <c r="H190" s="71"/>
      <c r="K190" s="71"/>
    </row>
    <row r="191" spans="2:11">
      <c r="B191" s="71"/>
      <c r="E191" s="71"/>
      <c r="H191" s="71"/>
      <c r="K191" s="71"/>
    </row>
    <row r="192" spans="2:11">
      <c r="B192" s="71"/>
      <c r="E192" s="71"/>
      <c r="H192" s="71"/>
      <c r="K192" s="71"/>
    </row>
    <row r="193" spans="2:11">
      <c r="B193" s="71"/>
      <c r="E193" s="71"/>
      <c r="H193" s="71"/>
      <c r="K193" s="71"/>
    </row>
    <row r="194" spans="2:11">
      <c r="B194" s="71"/>
      <c r="E194" s="71"/>
      <c r="H194" s="71"/>
      <c r="K194" s="71"/>
    </row>
    <row r="195" spans="2:11">
      <c r="B195" s="71"/>
      <c r="E195" s="71"/>
      <c r="H195" s="71"/>
      <c r="K195" s="71"/>
    </row>
    <row r="196" spans="2:11">
      <c r="B196" s="71"/>
      <c r="E196" s="71"/>
      <c r="H196" s="71"/>
      <c r="K196" s="71"/>
    </row>
    <row r="197" spans="2:11">
      <c r="B197" s="71"/>
      <c r="E197" s="71"/>
      <c r="H197" s="71"/>
      <c r="K197" s="71"/>
    </row>
    <row r="198" spans="2:11">
      <c r="B198" s="71"/>
      <c r="E198" s="71"/>
      <c r="K198" s="71"/>
    </row>
    <row r="199" spans="2:11">
      <c r="B199" s="71"/>
      <c r="E199" s="71"/>
      <c r="H199" s="71"/>
      <c r="K199" s="71"/>
    </row>
    <row r="200" spans="2:11">
      <c r="B200" s="71"/>
      <c r="E200" s="71"/>
      <c r="H200" s="71"/>
      <c r="K200" s="71"/>
    </row>
    <row r="201" spans="2:11">
      <c r="B201" s="71"/>
      <c r="E201" s="71"/>
      <c r="H201" s="71"/>
      <c r="K201" s="71"/>
    </row>
    <row r="202" spans="2:11">
      <c r="B202" s="71"/>
      <c r="E202" s="71"/>
      <c r="H202" s="71"/>
      <c r="K202" s="71"/>
    </row>
    <row r="203" spans="2:11">
      <c r="B203" s="71"/>
      <c r="E203" s="71"/>
      <c r="H203" s="71"/>
      <c r="K203" s="71"/>
    </row>
    <row r="204" spans="2:11">
      <c r="B204" s="71"/>
      <c r="E204" s="71"/>
      <c r="H204" s="71"/>
      <c r="K204" s="71"/>
    </row>
    <row r="205" spans="2:11">
      <c r="B205" s="71"/>
      <c r="E205" s="71"/>
      <c r="H205" s="71"/>
      <c r="K205" s="71"/>
    </row>
    <row r="206" spans="2:11">
      <c r="B206" s="71"/>
      <c r="E206" s="71"/>
      <c r="H206" s="71"/>
      <c r="K206" s="71"/>
    </row>
    <row r="207" spans="2:11">
      <c r="B207" s="71"/>
      <c r="E207" s="71"/>
      <c r="H207" s="71"/>
      <c r="K207" s="71"/>
    </row>
    <row r="208" spans="2:11">
      <c r="B208" s="71"/>
      <c r="E208" s="71"/>
      <c r="H208" s="71"/>
      <c r="K208" s="71"/>
    </row>
    <row r="209" spans="2:11">
      <c r="B209" s="71"/>
      <c r="E209" s="71"/>
      <c r="H209" s="71"/>
      <c r="K209" s="71"/>
    </row>
    <row r="210" spans="2:11">
      <c r="B210" s="71"/>
      <c r="E210" s="71"/>
      <c r="H210" s="71"/>
      <c r="K210" s="71"/>
    </row>
    <row r="211" spans="2:11">
      <c r="B211" s="71"/>
      <c r="E211" s="71"/>
      <c r="H211" s="71"/>
      <c r="K211" s="71"/>
    </row>
    <row r="212" spans="2:11">
      <c r="B212" s="71"/>
      <c r="E212" s="71"/>
      <c r="H212" s="71"/>
      <c r="K212" s="71"/>
    </row>
    <row r="213" spans="2:11">
      <c r="B213" s="71"/>
      <c r="E213" s="71"/>
      <c r="H213" s="71"/>
      <c r="K213" s="71"/>
    </row>
    <row r="214" spans="2:11">
      <c r="B214" s="71"/>
      <c r="E214" s="71"/>
      <c r="H214" s="71"/>
      <c r="K214" s="71"/>
    </row>
    <row r="215" spans="2:11">
      <c r="B215" s="71"/>
      <c r="E215" s="71"/>
      <c r="H215" s="71"/>
      <c r="K215" s="71"/>
    </row>
    <row r="216" spans="2:11">
      <c r="B216" s="71"/>
      <c r="E216" s="71"/>
      <c r="H216" s="71"/>
      <c r="K216" s="71"/>
    </row>
    <row r="217" spans="2:11">
      <c r="B217" s="71"/>
      <c r="E217" s="71"/>
      <c r="H217" s="71"/>
      <c r="K217" s="71"/>
    </row>
    <row r="218" spans="2:11">
      <c r="B218" s="71"/>
      <c r="E218" s="71"/>
      <c r="H218" s="71"/>
      <c r="K218" s="71"/>
    </row>
    <row r="219" spans="2:11">
      <c r="B219" s="71"/>
      <c r="E219" s="71"/>
      <c r="H219" s="71"/>
      <c r="K219" s="71"/>
    </row>
    <row r="220" spans="2:11">
      <c r="B220" s="71"/>
      <c r="E220" s="71"/>
      <c r="H220" s="71"/>
      <c r="K220" s="71"/>
    </row>
    <row r="221" spans="2:11">
      <c r="B221" s="71"/>
      <c r="E221" s="71"/>
      <c r="H221" s="71"/>
      <c r="K221" s="71"/>
    </row>
    <row r="222" spans="2:11">
      <c r="B222" s="71"/>
      <c r="E222" s="71"/>
      <c r="H222" s="71"/>
      <c r="K222" s="71"/>
    </row>
    <row r="223" spans="2:11">
      <c r="B223" s="71"/>
      <c r="E223" s="71"/>
      <c r="H223" s="71"/>
      <c r="K223" s="71"/>
    </row>
    <row r="224" spans="2:11">
      <c r="B224" s="71"/>
      <c r="E224" s="71"/>
      <c r="H224" s="71"/>
      <c r="K224" s="71"/>
    </row>
    <row r="225" spans="2:11">
      <c r="B225" s="71"/>
      <c r="E225" s="71"/>
      <c r="H225" s="71"/>
      <c r="K225" s="71"/>
    </row>
    <row r="226" spans="2:11">
      <c r="B226" s="71"/>
      <c r="E226" s="71"/>
      <c r="H226" s="71"/>
      <c r="K226" s="71"/>
    </row>
    <row r="227" spans="2:11">
      <c r="B227" s="71"/>
      <c r="E227" s="71"/>
      <c r="H227" s="71"/>
      <c r="K227" s="71"/>
    </row>
    <row r="228" spans="2:11">
      <c r="B228" s="71"/>
      <c r="E228" s="71"/>
      <c r="H228" s="71"/>
      <c r="K228" s="71"/>
    </row>
    <row r="229" spans="2:11">
      <c r="B229" s="71"/>
      <c r="E229" s="71"/>
      <c r="H229" s="71"/>
      <c r="K229" s="71"/>
    </row>
    <row r="230" spans="2:11">
      <c r="B230" s="71"/>
      <c r="E230" s="71"/>
      <c r="H230" s="71"/>
      <c r="K230" s="71"/>
    </row>
    <row r="231" spans="2:11">
      <c r="B231" s="71"/>
      <c r="E231" s="71"/>
      <c r="H231" s="71"/>
      <c r="K231" s="71"/>
    </row>
    <row r="232" spans="2:11">
      <c r="B232" s="71"/>
      <c r="E232" s="71"/>
      <c r="H232" s="71"/>
      <c r="K232" s="71"/>
    </row>
    <row r="233" spans="2:11">
      <c r="B233" s="71"/>
      <c r="E233" s="71"/>
      <c r="H233" s="71"/>
      <c r="K233" s="71"/>
    </row>
    <row r="234" spans="2:11">
      <c r="B234" s="71"/>
      <c r="E234" s="71"/>
      <c r="H234" s="71"/>
      <c r="K234" s="71"/>
    </row>
    <row r="235" spans="2:11">
      <c r="B235" s="71"/>
      <c r="E235" s="71"/>
      <c r="H235" s="71"/>
      <c r="K235" s="71"/>
    </row>
    <row r="236" spans="2:11">
      <c r="B236" s="71"/>
      <c r="E236" s="71"/>
      <c r="H236" s="71"/>
      <c r="K236" s="71"/>
    </row>
    <row r="237" spans="2:11">
      <c r="B237" s="71"/>
      <c r="E237" s="71"/>
      <c r="H237" s="71"/>
      <c r="K237" s="71"/>
    </row>
    <row r="238" spans="2:11">
      <c r="B238" s="71"/>
      <c r="E238" s="71"/>
      <c r="H238" s="71"/>
      <c r="K238" s="71"/>
    </row>
    <row r="239" spans="2:11">
      <c r="B239" s="71"/>
      <c r="E239" s="71"/>
      <c r="H239" s="71"/>
      <c r="K239" s="71"/>
    </row>
    <row r="240" spans="2:11">
      <c r="B240" s="71"/>
      <c r="E240" s="71"/>
      <c r="H240" s="71"/>
      <c r="K240" s="71"/>
    </row>
    <row r="241" spans="2:11">
      <c r="B241" s="71"/>
      <c r="E241" s="71"/>
      <c r="H241" s="71"/>
      <c r="K241" s="71"/>
    </row>
    <row r="242" spans="2:11">
      <c r="B242" s="71"/>
      <c r="E242" s="71"/>
      <c r="H242" s="71"/>
      <c r="K242" s="71"/>
    </row>
    <row r="243" spans="2:11">
      <c r="B243" s="71"/>
      <c r="E243" s="71"/>
      <c r="H243" s="71"/>
      <c r="K243" s="71"/>
    </row>
    <row r="244" spans="2:11">
      <c r="B244" s="71"/>
      <c r="E244" s="71"/>
      <c r="H244" s="71"/>
      <c r="K244" s="71"/>
    </row>
    <row r="245" spans="2:11">
      <c r="B245" s="71"/>
      <c r="E245" s="71"/>
      <c r="H245" s="71"/>
      <c r="K245" s="71"/>
    </row>
    <row r="246" spans="2:11">
      <c r="B246" s="71"/>
      <c r="E246" s="71"/>
      <c r="H246" s="71"/>
      <c r="K246" s="71"/>
    </row>
    <row r="247" spans="2:11">
      <c r="B247" s="71"/>
      <c r="E247" s="71"/>
      <c r="H247" s="71"/>
      <c r="K247" s="71"/>
    </row>
    <row r="248" spans="2:11">
      <c r="B248" s="71"/>
      <c r="E248" s="71"/>
      <c r="H248" s="71"/>
      <c r="K248" s="71"/>
    </row>
    <row r="249" spans="2:11">
      <c r="B249" s="71"/>
      <c r="E249" s="71"/>
      <c r="H249" s="71"/>
      <c r="K249" s="71"/>
    </row>
    <row r="250" spans="2:11">
      <c r="B250" s="71"/>
      <c r="E250" s="71"/>
      <c r="H250" s="71"/>
      <c r="K250" s="71"/>
    </row>
    <row r="251" spans="2:11">
      <c r="B251" s="71"/>
      <c r="E251" s="71"/>
      <c r="H251" s="71"/>
      <c r="K251" s="71"/>
    </row>
    <row r="252" spans="2:11">
      <c r="B252" s="71"/>
      <c r="E252" s="71"/>
      <c r="H252" s="71"/>
      <c r="K252" s="71"/>
    </row>
    <row r="253" spans="2:11">
      <c r="B253" s="71"/>
      <c r="E253" s="71"/>
      <c r="H253" s="71"/>
      <c r="K253" s="71"/>
    </row>
    <row r="254" spans="2:11">
      <c r="B254" s="71"/>
      <c r="E254" s="71"/>
      <c r="H254" s="71"/>
      <c r="K254" s="71"/>
    </row>
    <row r="255" spans="2:11">
      <c r="B255" s="71"/>
      <c r="E255" s="71"/>
      <c r="H255" s="71"/>
      <c r="K255" s="71"/>
    </row>
    <row r="256" spans="2:11">
      <c r="B256" s="71"/>
      <c r="E256" s="71"/>
      <c r="H256" s="71"/>
      <c r="K256" s="71"/>
    </row>
    <row r="257" spans="2:11">
      <c r="B257" s="71"/>
      <c r="E257" s="71"/>
      <c r="H257" s="71"/>
      <c r="K257" s="71"/>
    </row>
    <row r="258" spans="2:11">
      <c r="B258" s="71"/>
      <c r="E258" s="71"/>
      <c r="H258" s="71"/>
      <c r="K258" s="71"/>
    </row>
    <row r="259" spans="2:11">
      <c r="B259" s="71"/>
      <c r="E259" s="71"/>
      <c r="H259" s="71"/>
      <c r="K259" s="71"/>
    </row>
    <row r="260" spans="2:11">
      <c r="B260" s="71"/>
      <c r="E260" s="71"/>
      <c r="H260" s="71"/>
      <c r="K260" s="71"/>
    </row>
    <row r="261" spans="2:11">
      <c r="B261" s="71"/>
      <c r="E261" s="71"/>
      <c r="H261" s="71"/>
      <c r="K261" s="71"/>
    </row>
    <row r="262" spans="2:11">
      <c r="B262" s="71"/>
      <c r="E262" s="71"/>
      <c r="H262" s="71"/>
      <c r="K262" s="71"/>
    </row>
    <row r="263" spans="2:11">
      <c r="B263" s="71"/>
      <c r="E263" s="71"/>
      <c r="H263" s="71"/>
      <c r="K263" s="71"/>
    </row>
    <row r="264" spans="2:11">
      <c r="B264" s="71"/>
      <c r="E264" s="71"/>
      <c r="H264" s="71"/>
      <c r="K264" s="71"/>
    </row>
    <row r="265" spans="2:11">
      <c r="B265" s="71"/>
      <c r="E265" s="71"/>
      <c r="H265" s="71"/>
      <c r="K265" s="71"/>
    </row>
    <row r="266" spans="2:11">
      <c r="B266" s="71"/>
      <c r="E266" s="71"/>
      <c r="H266" s="71"/>
      <c r="K266" s="71"/>
    </row>
    <row r="267" spans="2:11">
      <c r="B267" s="71"/>
      <c r="E267" s="71"/>
      <c r="H267" s="71"/>
      <c r="K267" s="71"/>
    </row>
    <row r="268" spans="2:11">
      <c r="B268" s="71"/>
      <c r="E268" s="71"/>
      <c r="H268" s="71"/>
      <c r="K268" s="71"/>
    </row>
    <row r="269" spans="2:11">
      <c r="B269" s="71"/>
      <c r="E269" s="71"/>
      <c r="H269" s="71"/>
      <c r="K269" s="71"/>
    </row>
    <row r="270" spans="2:11">
      <c r="B270" s="71"/>
      <c r="E270" s="71"/>
      <c r="H270" s="71"/>
      <c r="K270" s="71"/>
    </row>
    <row r="271" spans="2:11">
      <c r="B271" s="71"/>
      <c r="E271" s="71"/>
      <c r="H271" s="71"/>
      <c r="K271" s="71"/>
    </row>
    <row r="272" spans="2:11">
      <c r="B272" s="71"/>
      <c r="E272" s="71"/>
      <c r="H272" s="71"/>
      <c r="K272" s="71"/>
    </row>
    <row r="273" spans="2:11">
      <c r="B273" s="71"/>
      <c r="E273" s="71"/>
      <c r="H273" s="71"/>
      <c r="K273" s="71"/>
    </row>
    <row r="274" spans="2:11">
      <c r="B274" s="71"/>
      <c r="E274" s="71"/>
      <c r="H274" s="71"/>
      <c r="K274" s="71"/>
    </row>
    <row r="275" spans="2:11">
      <c r="B275" s="71"/>
      <c r="E275" s="71"/>
      <c r="H275" s="71"/>
      <c r="K275" s="71"/>
    </row>
    <row r="276" spans="2:11">
      <c r="B276" s="71"/>
      <c r="E276" s="71"/>
      <c r="H276" s="71"/>
      <c r="K276" s="71"/>
    </row>
    <row r="277" spans="2:11">
      <c r="B277" s="71"/>
      <c r="E277" s="71"/>
      <c r="H277" s="71"/>
      <c r="K277" s="71"/>
    </row>
    <row r="278" spans="2:11">
      <c r="B278" s="71"/>
      <c r="E278" s="71"/>
      <c r="H278" s="71"/>
      <c r="K278" s="71"/>
    </row>
    <row r="279" spans="2:11">
      <c r="B279" s="71"/>
      <c r="E279" s="71"/>
      <c r="H279" s="71"/>
      <c r="K279" s="71"/>
    </row>
    <row r="280" spans="2:11">
      <c r="B280" s="71"/>
      <c r="E280" s="71"/>
      <c r="H280" s="71"/>
      <c r="K280" s="71"/>
    </row>
    <row r="281" spans="2:11">
      <c r="B281" s="71"/>
      <c r="E281" s="71"/>
      <c r="H281" s="71"/>
      <c r="K281" s="71"/>
    </row>
    <row r="282" spans="2:11">
      <c r="B282" s="71"/>
      <c r="E282" s="71"/>
      <c r="H282" s="71"/>
      <c r="K282" s="71"/>
    </row>
    <row r="283" spans="2:11">
      <c r="B283" s="71"/>
      <c r="E283" s="71"/>
      <c r="H283" s="71"/>
      <c r="K283" s="71"/>
    </row>
    <row r="284" spans="2:11">
      <c r="B284" s="71"/>
      <c r="E284" s="71"/>
      <c r="H284" s="71"/>
      <c r="K284" s="71"/>
    </row>
    <row r="285" spans="2:11">
      <c r="B285" s="71"/>
      <c r="E285" s="71"/>
      <c r="H285" s="71"/>
      <c r="K285" s="71"/>
    </row>
    <row r="286" spans="2:11">
      <c r="B286" s="71"/>
      <c r="E286" s="71"/>
      <c r="H286" s="71"/>
      <c r="K286" s="71"/>
    </row>
    <row r="287" spans="2:11">
      <c r="B287" s="71"/>
      <c r="E287" s="71"/>
      <c r="H287" s="71"/>
      <c r="K287" s="71"/>
    </row>
    <row r="288" spans="2:11">
      <c r="B288" s="71"/>
      <c r="E288" s="71"/>
      <c r="H288" s="71"/>
      <c r="K288" s="71"/>
    </row>
    <row r="289" spans="2:11">
      <c r="B289" s="71"/>
      <c r="E289" s="71"/>
      <c r="H289" s="71"/>
      <c r="K289" s="71"/>
    </row>
    <row r="290" spans="2:11">
      <c r="B290" s="71"/>
      <c r="E290" s="71"/>
      <c r="H290" s="71"/>
      <c r="K290" s="71"/>
    </row>
    <row r="291" spans="2:11">
      <c r="B291" s="71"/>
      <c r="E291" s="71"/>
      <c r="H291" s="71"/>
      <c r="K291" s="71"/>
    </row>
    <row r="292" spans="2:11">
      <c r="B292" s="71"/>
      <c r="E292" s="71"/>
      <c r="H292" s="71"/>
      <c r="K292" s="71"/>
    </row>
    <row r="293" spans="2:11">
      <c r="B293" s="71"/>
      <c r="E293" s="71"/>
      <c r="H293" s="71"/>
      <c r="K293" s="71"/>
    </row>
    <row r="294" spans="2:11">
      <c r="B294" s="71"/>
      <c r="E294" s="71"/>
      <c r="H294" s="71"/>
      <c r="K294" s="71"/>
    </row>
    <row r="295" spans="2:11">
      <c r="B295" s="71"/>
      <c r="E295" s="71"/>
      <c r="H295" s="71"/>
      <c r="K295" s="71"/>
    </row>
    <row r="296" spans="2:11">
      <c r="B296" s="71"/>
      <c r="E296" s="71"/>
      <c r="H296" s="71"/>
      <c r="K296" s="71"/>
    </row>
    <row r="297" spans="2:11">
      <c r="B297" s="71"/>
      <c r="E297" s="71"/>
      <c r="H297" s="71"/>
      <c r="K297" s="71"/>
    </row>
    <row r="298" spans="2:11">
      <c r="B298" s="71"/>
      <c r="E298" s="71"/>
      <c r="H298" s="71"/>
      <c r="K298" s="71"/>
    </row>
    <row r="299" spans="2:11">
      <c r="B299" s="71"/>
      <c r="E299" s="71"/>
      <c r="H299" s="71"/>
      <c r="K299" s="71"/>
    </row>
    <row r="300" spans="2:11">
      <c r="B300" s="71"/>
      <c r="E300" s="71"/>
      <c r="H300" s="71"/>
      <c r="K300" s="71"/>
    </row>
    <row r="301" spans="2:11">
      <c r="B301" s="71"/>
      <c r="E301" s="71"/>
      <c r="H301" s="71"/>
      <c r="K301" s="71"/>
    </row>
    <row r="302" spans="2:11">
      <c r="B302" s="71"/>
      <c r="E302" s="71"/>
      <c r="H302" s="71"/>
      <c r="K302" s="71"/>
    </row>
    <row r="303" spans="2:11">
      <c r="B303" s="71"/>
      <c r="E303" s="71"/>
      <c r="H303" s="71"/>
      <c r="K303" s="71"/>
    </row>
    <row r="304" spans="2:11">
      <c r="B304" s="71"/>
      <c r="E304" s="71"/>
      <c r="H304" s="71"/>
      <c r="K304" s="71"/>
    </row>
    <row r="305" spans="2:11">
      <c r="B305" s="71"/>
      <c r="E305" s="71"/>
      <c r="H305" s="71"/>
      <c r="K305" s="71"/>
    </row>
    <row r="306" spans="2:11">
      <c r="B306" s="71"/>
      <c r="E306" s="71"/>
      <c r="H306" s="71"/>
      <c r="K306" s="71"/>
    </row>
    <row r="307" spans="2:11">
      <c r="B307" s="71"/>
      <c r="E307" s="71"/>
      <c r="H307" s="71"/>
      <c r="K307" s="71"/>
    </row>
    <row r="308" spans="2:11">
      <c r="B308" s="71"/>
      <c r="E308" s="71"/>
      <c r="H308" s="71"/>
      <c r="K308" s="71"/>
    </row>
    <row r="309" spans="2:11">
      <c r="B309" s="71"/>
      <c r="E309" s="71"/>
      <c r="H309" s="71"/>
      <c r="K309" s="71"/>
    </row>
    <row r="310" spans="2:11">
      <c r="B310" s="71"/>
      <c r="E310" s="71"/>
      <c r="H310" s="71"/>
      <c r="K310" s="71"/>
    </row>
    <row r="311" spans="2:11">
      <c r="B311" s="71"/>
      <c r="E311" s="71"/>
      <c r="H311" s="71"/>
      <c r="K311" s="71"/>
    </row>
    <row r="312" spans="2:11">
      <c r="B312" s="71"/>
      <c r="E312" s="71"/>
      <c r="H312" s="71"/>
      <c r="K312" s="71"/>
    </row>
    <row r="313" spans="2:11">
      <c r="B313" s="71"/>
      <c r="E313" s="71"/>
      <c r="H313" s="71"/>
      <c r="K313" s="71"/>
    </row>
    <row r="314" spans="2:11">
      <c r="B314" s="71"/>
      <c r="E314" s="71"/>
      <c r="H314" s="71"/>
      <c r="K314" s="71"/>
    </row>
    <row r="315" spans="2:11">
      <c r="B315" s="71"/>
      <c r="E315" s="71"/>
      <c r="H315" s="71"/>
      <c r="K315" s="71"/>
    </row>
    <row r="316" spans="2:11">
      <c r="B316" s="71"/>
      <c r="E316" s="71"/>
      <c r="H316" s="71"/>
      <c r="K316" s="71"/>
    </row>
    <row r="317" spans="2:11">
      <c r="B317" s="71"/>
      <c r="E317" s="71"/>
      <c r="H317" s="71"/>
      <c r="K317" s="71"/>
    </row>
    <row r="318" spans="2:11">
      <c r="B318" s="71"/>
      <c r="E318" s="71"/>
      <c r="H318" s="71"/>
      <c r="K318" s="71"/>
    </row>
    <row r="319" spans="2:11">
      <c r="B319" s="71"/>
      <c r="E319" s="71"/>
      <c r="H319" s="71"/>
      <c r="K319" s="71"/>
    </row>
    <row r="320" spans="2:11">
      <c r="B320" s="71"/>
      <c r="E320" s="71"/>
      <c r="H320" s="71"/>
      <c r="K320" s="71"/>
    </row>
    <row r="321" spans="2:11">
      <c r="B321" s="71"/>
      <c r="E321" s="71"/>
      <c r="H321" s="71"/>
      <c r="K321" s="71"/>
    </row>
    <row r="322" spans="2:11">
      <c r="B322" s="71"/>
      <c r="E322" s="71"/>
      <c r="H322" s="71"/>
      <c r="K322" s="71"/>
    </row>
    <row r="323" spans="2:11">
      <c r="B323" s="71"/>
      <c r="E323" s="71"/>
      <c r="H323" s="71"/>
      <c r="K323" s="71"/>
    </row>
    <row r="324" spans="2:11">
      <c r="B324" s="71"/>
      <c r="E324" s="71"/>
      <c r="H324" s="71"/>
      <c r="K324" s="71"/>
    </row>
    <row r="325" spans="2:11">
      <c r="B325" s="71"/>
      <c r="E325" s="71"/>
      <c r="H325" s="71"/>
      <c r="K325" s="71"/>
    </row>
    <row r="326" spans="2:11">
      <c r="B326" s="71"/>
      <c r="E326" s="71"/>
      <c r="H326" s="71"/>
      <c r="K326" s="71"/>
    </row>
    <row r="327" spans="2:11">
      <c r="B327" s="71"/>
      <c r="E327" s="71"/>
      <c r="H327" s="71"/>
      <c r="K327" s="71"/>
    </row>
    <row r="328" spans="2:11">
      <c r="B328" s="71"/>
      <c r="E328" s="71"/>
      <c r="H328" s="71"/>
      <c r="K328" s="71"/>
    </row>
    <row r="329" spans="2:11">
      <c r="B329" s="71"/>
      <c r="E329" s="71"/>
      <c r="H329" s="71"/>
      <c r="K329" s="71"/>
    </row>
    <row r="330" spans="2:11">
      <c r="B330" s="71"/>
      <c r="E330" s="71"/>
      <c r="H330" s="71"/>
    </row>
    <row r="331" spans="2:11">
      <c r="B331" s="71"/>
      <c r="E331" s="71"/>
      <c r="H331" s="71"/>
      <c r="K331" s="71"/>
    </row>
    <row r="332" spans="2:11">
      <c r="B332" s="71"/>
      <c r="E332" s="71"/>
      <c r="H332" s="71"/>
      <c r="K332" s="71"/>
    </row>
    <row r="333" spans="2:11">
      <c r="B333" s="71"/>
      <c r="E333" s="71"/>
      <c r="H333" s="71"/>
      <c r="K333" s="71"/>
    </row>
    <row r="334" spans="2:11">
      <c r="B334" s="71"/>
      <c r="E334" s="71"/>
      <c r="H334" s="71"/>
      <c r="K334" s="71"/>
    </row>
    <row r="335" spans="2:11">
      <c r="B335" s="71"/>
      <c r="E335" s="71"/>
      <c r="H335" s="71"/>
      <c r="K335" s="71"/>
    </row>
    <row r="336" spans="2:11">
      <c r="B336" s="71"/>
      <c r="E336" s="71"/>
      <c r="H336" s="71"/>
      <c r="K336" s="71"/>
    </row>
    <row r="337" spans="2:11">
      <c r="B337" s="71"/>
      <c r="E337" s="71"/>
      <c r="H337" s="71"/>
      <c r="K337" s="71"/>
    </row>
    <row r="338" spans="2:11">
      <c r="B338" s="71"/>
      <c r="E338" s="71"/>
      <c r="H338" s="71"/>
      <c r="K338" s="71"/>
    </row>
    <row r="339" spans="2:11">
      <c r="B339" s="71"/>
      <c r="E339" s="71"/>
      <c r="H339" s="71"/>
      <c r="K339" s="71"/>
    </row>
    <row r="340" spans="2:11">
      <c r="B340" s="71"/>
      <c r="E340" s="71"/>
      <c r="H340" s="71"/>
      <c r="K340" s="71"/>
    </row>
    <row r="341" spans="2:11">
      <c r="B341" s="71"/>
      <c r="E341" s="71"/>
      <c r="H341" s="71"/>
      <c r="K341" s="71"/>
    </row>
    <row r="342" spans="2:11">
      <c r="B342" s="71"/>
      <c r="E342" s="71"/>
      <c r="H342" s="71"/>
      <c r="K342" s="71"/>
    </row>
    <row r="343" spans="2:11">
      <c r="B343" s="71"/>
      <c r="E343" s="71"/>
      <c r="H343" s="71"/>
      <c r="K343" s="71"/>
    </row>
    <row r="344" spans="2:11">
      <c r="B344" s="71"/>
      <c r="E344" s="71"/>
      <c r="H344" s="71"/>
      <c r="K344" s="71"/>
    </row>
    <row r="345" spans="2:11">
      <c r="B345" s="71"/>
      <c r="E345" s="71"/>
      <c r="H345" s="71"/>
      <c r="K345" s="71"/>
    </row>
    <row r="346" spans="2:11">
      <c r="B346" s="71"/>
      <c r="E346" s="71"/>
      <c r="H346" s="71"/>
      <c r="K346" s="71"/>
    </row>
    <row r="347" spans="2:11">
      <c r="B347" s="71"/>
      <c r="E347" s="71"/>
      <c r="H347" s="71"/>
      <c r="K347" s="71"/>
    </row>
    <row r="348" spans="2:11">
      <c r="B348" s="71"/>
      <c r="E348" s="71"/>
      <c r="H348" s="71"/>
      <c r="K348" s="71"/>
    </row>
    <row r="349" spans="2:11">
      <c r="B349" s="71"/>
      <c r="E349" s="71"/>
      <c r="H349" s="71"/>
      <c r="K349" s="71"/>
    </row>
    <row r="350" spans="2:11">
      <c r="B350" s="71"/>
      <c r="E350" s="71"/>
      <c r="H350" s="71"/>
      <c r="K350" s="71"/>
    </row>
    <row r="351" spans="2:11">
      <c r="B351" s="71"/>
      <c r="E351" s="71"/>
      <c r="H351" s="71"/>
      <c r="K351" s="71"/>
    </row>
    <row r="352" spans="2:11">
      <c r="B352" s="71"/>
      <c r="E352" s="71"/>
      <c r="H352" s="71"/>
      <c r="K352" s="71"/>
    </row>
    <row r="353" spans="2:11">
      <c r="B353" s="71"/>
      <c r="E353" s="71"/>
      <c r="H353" s="71"/>
      <c r="K353" s="71"/>
    </row>
    <row r="354" spans="2:11">
      <c r="B354" s="71"/>
      <c r="E354" s="71"/>
      <c r="H354" s="71"/>
      <c r="K354" s="71"/>
    </row>
    <row r="355" spans="2:11">
      <c r="B355" s="71"/>
      <c r="E355" s="71"/>
      <c r="H355" s="71"/>
      <c r="K355" s="71"/>
    </row>
    <row r="356" spans="2:11">
      <c r="B356" s="71"/>
      <c r="E356" s="71"/>
      <c r="H356" s="71"/>
      <c r="K356" s="71"/>
    </row>
    <row r="357" spans="2:11">
      <c r="B357" s="71"/>
      <c r="E357" s="71"/>
      <c r="H357" s="71"/>
      <c r="K357" s="71"/>
    </row>
    <row r="358" spans="2:11">
      <c r="B358" s="71"/>
      <c r="E358" s="71"/>
      <c r="H358" s="71"/>
      <c r="K358" s="71"/>
    </row>
    <row r="359" spans="2:11">
      <c r="B359" s="71"/>
      <c r="E359" s="71"/>
      <c r="H359" s="71"/>
      <c r="K359" s="71"/>
    </row>
    <row r="360" spans="2:11">
      <c r="B360" s="71"/>
      <c r="E360" s="71"/>
      <c r="H360" s="71"/>
      <c r="K360" s="71"/>
    </row>
    <row r="361" spans="2:11">
      <c r="B361" s="71"/>
      <c r="E361" s="71"/>
      <c r="H361" s="71"/>
      <c r="K361" s="71"/>
    </row>
    <row r="362" spans="2:11">
      <c r="B362" s="71"/>
      <c r="E362" s="71"/>
      <c r="H362" s="71"/>
      <c r="K362" s="71"/>
    </row>
    <row r="363" spans="2:11">
      <c r="B363" s="71"/>
      <c r="E363" s="71"/>
      <c r="H363" s="71"/>
      <c r="K363" s="71"/>
    </row>
    <row r="364" spans="2:11">
      <c r="B364" s="71"/>
      <c r="E364" s="71"/>
      <c r="H364" s="71"/>
      <c r="K364" s="71"/>
    </row>
    <row r="365" spans="2:11">
      <c r="B365" s="71"/>
      <c r="E365" s="71"/>
      <c r="H365" s="71"/>
      <c r="K365" s="71"/>
    </row>
    <row r="366" spans="2:11">
      <c r="B366" s="71"/>
      <c r="E366" s="71"/>
      <c r="H366" s="71"/>
      <c r="K366" s="71"/>
    </row>
    <row r="367" spans="2:11">
      <c r="B367" s="71"/>
      <c r="E367" s="71"/>
      <c r="H367" s="71"/>
      <c r="K367" s="71"/>
    </row>
    <row r="368" spans="2:11">
      <c r="B368" s="71"/>
      <c r="E368" s="71"/>
      <c r="H368" s="71"/>
      <c r="K368" s="71"/>
    </row>
    <row r="369" spans="2:11">
      <c r="B369" s="71"/>
      <c r="E369" s="71"/>
      <c r="H369" s="71"/>
      <c r="K369" s="71"/>
    </row>
    <row r="370" spans="2:11">
      <c r="B370" s="71"/>
      <c r="E370" s="71"/>
      <c r="H370" s="71"/>
      <c r="K370" s="71"/>
    </row>
    <row r="371" spans="2:11">
      <c r="B371" s="71"/>
      <c r="E371" s="71"/>
      <c r="H371" s="71"/>
      <c r="K371" s="71"/>
    </row>
    <row r="372" spans="2:11">
      <c r="B372" s="71"/>
      <c r="E372" s="71"/>
      <c r="H372" s="71"/>
      <c r="K372" s="71"/>
    </row>
    <row r="373" spans="2:11">
      <c r="B373" s="71"/>
      <c r="E373" s="71"/>
      <c r="H373" s="71"/>
      <c r="K373" s="71"/>
    </row>
    <row r="374" spans="2:11">
      <c r="B374" s="71"/>
      <c r="E374" s="71"/>
      <c r="H374" s="71"/>
      <c r="K374" s="71"/>
    </row>
    <row r="375" spans="2:11">
      <c r="B375" s="71"/>
      <c r="E375" s="71"/>
      <c r="H375" s="71"/>
      <c r="K375" s="71"/>
    </row>
    <row r="376" spans="2:11">
      <c r="B376" s="71"/>
      <c r="E376" s="71"/>
      <c r="H376" s="71"/>
      <c r="K376" s="71"/>
    </row>
    <row r="377" spans="2:11">
      <c r="B377" s="71"/>
      <c r="E377" s="71"/>
      <c r="H377" s="71"/>
      <c r="K377" s="71"/>
    </row>
    <row r="378" spans="2:11">
      <c r="B378" s="71"/>
      <c r="E378" s="71"/>
      <c r="H378" s="71"/>
      <c r="K378" s="71"/>
    </row>
    <row r="379" spans="2:11">
      <c r="B379" s="71"/>
      <c r="E379" s="71"/>
      <c r="H379" s="71"/>
      <c r="K379" s="71"/>
    </row>
    <row r="380" spans="2:11">
      <c r="B380" s="71"/>
      <c r="E380" s="71"/>
      <c r="H380" s="71"/>
      <c r="K380" s="71"/>
    </row>
    <row r="381" spans="2:11">
      <c r="B381" s="71"/>
      <c r="E381" s="71"/>
      <c r="H381" s="71"/>
      <c r="K381" s="71"/>
    </row>
    <row r="382" spans="2:11">
      <c r="B382" s="71"/>
      <c r="E382" s="71"/>
      <c r="H382" s="71"/>
      <c r="K382" s="71"/>
    </row>
    <row r="383" spans="2:11">
      <c r="B383" s="71"/>
      <c r="E383" s="71"/>
      <c r="H383" s="71"/>
      <c r="K383" s="71"/>
    </row>
    <row r="384" spans="2:11">
      <c r="B384" s="71"/>
      <c r="E384" s="71"/>
      <c r="H384" s="71"/>
      <c r="K384" s="71"/>
    </row>
    <row r="385" spans="2:11">
      <c r="B385" s="71"/>
      <c r="E385" s="71"/>
      <c r="H385" s="71"/>
      <c r="K385" s="71"/>
    </row>
    <row r="386" spans="2:11">
      <c r="B386" s="71"/>
      <c r="H386" s="71"/>
      <c r="K386" s="71"/>
    </row>
    <row r="387" spans="2:11">
      <c r="B387" s="71"/>
      <c r="E387" s="71"/>
      <c r="H387" s="71"/>
      <c r="K387" s="71"/>
    </row>
    <row r="388" spans="2:11">
      <c r="B388" s="71"/>
      <c r="E388" s="71"/>
      <c r="H388" s="71"/>
      <c r="K388" s="71"/>
    </row>
    <row r="389" spans="2:11">
      <c r="B389" s="71"/>
      <c r="E389" s="71"/>
      <c r="H389" s="71"/>
      <c r="K389" s="71"/>
    </row>
    <row r="390" spans="2:11">
      <c r="B390" s="71"/>
      <c r="E390" s="71"/>
      <c r="H390" s="71"/>
      <c r="K390" s="71"/>
    </row>
    <row r="391" spans="2:11">
      <c r="B391" s="71"/>
      <c r="E391" s="71"/>
      <c r="H391" s="71"/>
      <c r="K391" s="71"/>
    </row>
    <row r="392" spans="2:11">
      <c r="B392" s="71"/>
      <c r="E392" s="71"/>
      <c r="H392" s="71"/>
      <c r="K392" s="71"/>
    </row>
    <row r="393" spans="2:11">
      <c r="B393" s="71"/>
      <c r="E393" s="71"/>
      <c r="H393" s="71"/>
      <c r="K393" s="71"/>
    </row>
    <row r="394" spans="2:11">
      <c r="B394" s="71"/>
      <c r="E394" s="71"/>
      <c r="H394" s="71"/>
      <c r="K394" s="71"/>
    </row>
    <row r="395" spans="2:11">
      <c r="B395" s="71"/>
      <c r="E395" s="71"/>
      <c r="H395" s="71"/>
      <c r="K395" s="71"/>
    </row>
    <row r="396" spans="2:11">
      <c r="B396" s="71"/>
      <c r="E396" s="71"/>
      <c r="H396" s="71"/>
      <c r="K396" s="71"/>
    </row>
    <row r="397" spans="2:11">
      <c r="B397" s="71"/>
      <c r="E397" s="71"/>
      <c r="H397" s="71"/>
      <c r="K397" s="71"/>
    </row>
    <row r="398" spans="2:11">
      <c r="B398" s="71"/>
      <c r="E398" s="71"/>
      <c r="H398" s="71"/>
      <c r="K398" s="71"/>
    </row>
    <row r="399" spans="2:11">
      <c r="B399" s="71"/>
      <c r="E399" s="71"/>
      <c r="H399" s="71"/>
      <c r="K399" s="71"/>
    </row>
    <row r="400" spans="2:11">
      <c r="B400" s="71"/>
      <c r="E400" s="71"/>
      <c r="H400" s="71"/>
      <c r="K400" s="71"/>
    </row>
    <row r="401" spans="2:11">
      <c r="B401" s="71"/>
      <c r="E401" s="71"/>
      <c r="H401" s="71"/>
      <c r="K401" s="71"/>
    </row>
    <row r="402" spans="2:11">
      <c r="B402" s="71"/>
      <c r="E402" s="71"/>
      <c r="H402" s="71"/>
      <c r="K402" s="71"/>
    </row>
    <row r="403" spans="2:11">
      <c r="B403" s="71"/>
      <c r="E403" s="71"/>
      <c r="H403" s="71"/>
      <c r="K403" s="71"/>
    </row>
    <row r="404" spans="2:11">
      <c r="B404" s="71"/>
      <c r="E404" s="71"/>
      <c r="H404" s="71"/>
      <c r="K404" s="71"/>
    </row>
    <row r="405" spans="2:11">
      <c r="B405" s="71"/>
      <c r="E405" s="71"/>
      <c r="H405" s="71"/>
      <c r="K405" s="71"/>
    </row>
    <row r="406" spans="2:11">
      <c r="B406" s="71"/>
      <c r="E406" s="71"/>
      <c r="H406" s="71"/>
      <c r="K406" s="71"/>
    </row>
    <row r="407" spans="2:11">
      <c r="B407" s="71"/>
      <c r="E407" s="71"/>
      <c r="H407" s="71"/>
      <c r="K407" s="71"/>
    </row>
    <row r="408" spans="2:11">
      <c r="B408" s="71"/>
      <c r="E408" s="71"/>
      <c r="H408" s="71"/>
      <c r="K408" s="71"/>
    </row>
    <row r="409" spans="2:11">
      <c r="B409" s="71"/>
      <c r="E409" s="71"/>
      <c r="H409" s="71"/>
      <c r="K409" s="71"/>
    </row>
    <row r="410" spans="2:11">
      <c r="B410" s="71"/>
      <c r="E410" s="71"/>
      <c r="H410" s="71"/>
      <c r="K410" s="71"/>
    </row>
    <row r="411" spans="2:11">
      <c r="B411" s="71"/>
      <c r="E411" s="71"/>
      <c r="H411" s="71"/>
      <c r="K411" s="71"/>
    </row>
    <row r="412" spans="2:11">
      <c r="B412" s="71"/>
      <c r="E412" s="71"/>
      <c r="H412" s="71"/>
      <c r="K412" s="71"/>
    </row>
    <row r="413" spans="2:11">
      <c r="B413" s="71"/>
      <c r="E413" s="71"/>
      <c r="H413" s="71"/>
      <c r="K413" s="71"/>
    </row>
    <row r="414" spans="2:11">
      <c r="B414" s="71"/>
      <c r="E414" s="71"/>
      <c r="H414" s="71"/>
      <c r="K414" s="71"/>
    </row>
    <row r="415" spans="2:11">
      <c r="B415" s="71"/>
      <c r="E415" s="71"/>
      <c r="H415" s="71"/>
      <c r="K415" s="71"/>
    </row>
    <row r="416" spans="2:11">
      <c r="B416" s="71"/>
      <c r="E416" s="71"/>
      <c r="H416" s="71"/>
      <c r="K416" s="71"/>
    </row>
    <row r="417" spans="2:11">
      <c r="B417" s="71"/>
      <c r="E417" s="71"/>
      <c r="H417" s="71"/>
      <c r="K417" s="71"/>
    </row>
    <row r="418" spans="2:11">
      <c r="B418" s="71"/>
      <c r="E418" s="71"/>
      <c r="H418" s="71"/>
      <c r="K418" s="71"/>
    </row>
    <row r="419" spans="2:11">
      <c r="B419" s="71"/>
      <c r="E419" s="71"/>
      <c r="H419" s="71"/>
      <c r="K419" s="71"/>
    </row>
    <row r="420" spans="2:11">
      <c r="B420" s="71"/>
      <c r="E420" s="71"/>
      <c r="H420" s="71"/>
      <c r="K420" s="71"/>
    </row>
    <row r="421" spans="2:11">
      <c r="B421" s="71"/>
      <c r="E421" s="71"/>
      <c r="H421" s="71"/>
      <c r="K421" s="71"/>
    </row>
    <row r="422" spans="2:11">
      <c r="B422" s="71"/>
      <c r="E422" s="71"/>
      <c r="H422" s="71"/>
      <c r="K422" s="71"/>
    </row>
    <row r="423" spans="2:11">
      <c r="B423" s="71"/>
      <c r="E423" s="71"/>
      <c r="K423" s="71"/>
    </row>
    <row r="424" spans="2:11">
      <c r="B424" s="71"/>
      <c r="E424" s="71"/>
      <c r="H424" s="71"/>
      <c r="K424" s="71"/>
    </row>
    <row r="425" spans="2:11">
      <c r="B425" s="71"/>
      <c r="E425" s="71"/>
      <c r="H425" s="71"/>
      <c r="K425" s="71"/>
    </row>
    <row r="426" spans="2:11">
      <c r="B426" s="71"/>
      <c r="E426" s="71"/>
      <c r="H426" s="71"/>
      <c r="K426" s="71"/>
    </row>
    <row r="427" spans="2:11">
      <c r="B427" s="71"/>
      <c r="E427" s="71"/>
      <c r="H427" s="71"/>
      <c r="K427" s="71"/>
    </row>
    <row r="428" spans="2:11">
      <c r="B428" s="71"/>
      <c r="E428" s="71"/>
      <c r="H428" s="71"/>
      <c r="K428" s="71"/>
    </row>
    <row r="429" spans="2:11">
      <c r="B429" s="71"/>
      <c r="E429" s="71"/>
      <c r="H429" s="71"/>
      <c r="K429" s="71"/>
    </row>
    <row r="430" spans="2:11">
      <c r="B430" s="71"/>
      <c r="E430" s="71"/>
      <c r="H430" s="71"/>
      <c r="K430" s="71"/>
    </row>
    <row r="431" spans="2:11">
      <c r="B431" s="71"/>
      <c r="E431" s="71"/>
      <c r="H431" s="71"/>
      <c r="K431" s="71"/>
    </row>
    <row r="432" spans="2:11">
      <c r="B432" s="71"/>
      <c r="E432" s="71"/>
      <c r="H432" s="71"/>
      <c r="K432" s="71"/>
    </row>
    <row r="433" spans="2:11">
      <c r="B433" s="71"/>
      <c r="E433" s="71"/>
      <c r="H433" s="71"/>
      <c r="K433" s="71"/>
    </row>
    <row r="434" spans="2:11">
      <c r="B434" s="71"/>
      <c r="E434" s="71"/>
      <c r="H434" s="71"/>
      <c r="K434" s="71"/>
    </row>
    <row r="435" spans="2:11">
      <c r="B435" s="71"/>
      <c r="E435" s="71"/>
      <c r="H435" s="71"/>
      <c r="K435" s="71"/>
    </row>
    <row r="436" spans="2:11">
      <c r="B436" s="71"/>
      <c r="E436" s="71"/>
      <c r="H436" s="71"/>
      <c r="K436" s="71"/>
    </row>
    <row r="437" spans="2:11">
      <c r="B437" s="71"/>
      <c r="E437" s="71"/>
      <c r="H437" s="71"/>
      <c r="K437" s="71"/>
    </row>
    <row r="438" spans="2:11">
      <c r="B438" s="71"/>
      <c r="E438" s="71"/>
      <c r="H438" s="71"/>
      <c r="K438" s="71"/>
    </row>
    <row r="439" spans="2:11">
      <c r="B439" s="71"/>
      <c r="E439" s="71"/>
      <c r="H439" s="71"/>
      <c r="K439" s="71"/>
    </row>
    <row r="440" spans="2:11">
      <c r="B440" s="71"/>
      <c r="E440" s="71"/>
      <c r="H440" s="71"/>
      <c r="K440" s="71"/>
    </row>
    <row r="441" spans="2:11">
      <c r="B441" s="71"/>
      <c r="E441" s="71"/>
      <c r="H441" s="71"/>
      <c r="K441" s="71"/>
    </row>
    <row r="442" spans="2:11">
      <c r="B442" s="71"/>
      <c r="E442" s="71"/>
      <c r="H442" s="71"/>
      <c r="K442" s="71"/>
    </row>
    <row r="443" spans="2:11">
      <c r="B443" s="71"/>
      <c r="E443" s="71"/>
      <c r="H443" s="71"/>
      <c r="K443" s="71"/>
    </row>
    <row r="444" spans="2:11">
      <c r="B444" s="71"/>
      <c r="E444" s="71"/>
      <c r="H444" s="71"/>
      <c r="K444" s="71"/>
    </row>
    <row r="445" spans="2:11">
      <c r="B445" s="71"/>
      <c r="E445" s="71"/>
      <c r="H445" s="71"/>
      <c r="K445" s="71"/>
    </row>
    <row r="446" spans="2:11">
      <c r="B446" s="71"/>
      <c r="E446" s="71"/>
      <c r="H446" s="71"/>
      <c r="K446" s="71"/>
    </row>
    <row r="447" spans="2:11">
      <c r="B447" s="71"/>
      <c r="E447" s="71"/>
      <c r="H447" s="71"/>
      <c r="K447" s="71"/>
    </row>
    <row r="448" spans="2:11">
      <c r="B448" s="71"/>
      <c r="E448" s="71"/>
      <c r="H448" s="71"/>
      <c r="K448" s="71"/>
    </row>
    <row r="449" spans="2:11">
      <c r="B449" s="71"/>
      <c r="E449" s="71"/>
      <c r="H449" s="71"/>
      <c r="K449" s="71"/>
    </row>
    <row r="450" spans="2:11">
      <c r="B450" s="71"/>
      <c r="E450" s="71"/>
      <c r="H450" s="71"/>
      <c r="K450" s="71"/>
    </row>
    <row r="451" spans="2:11">
      <c r="B451" s="71"/>
      <c r="E451" s="71"/>
      <c r="H451" s="71"/>
      <c r="K451" s="71"/>
    </row>
    <row r="452" spans="2:11">
      <c r="B452" s="71"/>
      <c r="E452" s="71"/>
      <c r="H452" s="71"/>
      <c r="K452" s="71"/>
    </row>
    <row r="453" spans="2:11">
      <c r="B453" s="71"/>
      <c r="E453" s="71"/>
      <c r="H453" s="71"/>
      <c r="K453" s="71"/>
    </row>
    <row r="454" spans="2:11">
      <c r="B454" s="71"/>
      <c r="E454" s="71"/>
      <c r="H454" s="71"/>
      <c r="K454" s="71"/>
    </row>
    <row r="455" spans="2:11">
      <c r="B455" s="71"/>
      <c r="E455" s="71"/>
      <c r="H455" s="71"/>
      <c r="K455" s="71"/>
    </row>
    <row r="456" spans="2:11">
      <c r="B456" s="71"/>
      <c r="E456" s="71"/>
      <c r="H456" s="71"/>
      <c r="K456" s="71"/>
    </row>
    <row r="457" spans="2:11">
      <c r="B457" s="71"/>
      <c r="E457" s="71"/>
      <c r="H457" s="71"/>
      <c r="K457" s="71"/>
    </row>
    <row r="458" spans="2:11">
      <c r="B458" s="71"/>
      <c r="E458" s="71"/>
      <c r="H458" s="71"/>
      <c r="K458" s="71"/>
    </row>
    <row r="459" spans="2:11">
      <c r="B459" s="71"/>
      <c r="E459" s="71"/>
      <c r="H459" s="71"/>
      <c r="K459" s="71"/>
    </row>
    <row r="460" spans="2:11">
      <c r="B460" s="71"/>
      <c r="E460" s="71"/>
      <c r="H460" s="71"/>
      <c r="K460" s="71"/>
    </row>
    <row r="461" spans="2:11">
      <c r="B461" s="71"/>
      <c r="E461" s="71"/>
      <c r="H461" s="71"/>
      <c r="K461" s="71"/>
    </row>
    <row r="462" spans="2:11">
      <c r="B462" s="71"/>
      <c r="E462" s="71"/>
      <c r="H462" s="71"/>
      <c r="K462" s="71"/>
    </row>
    <row r="463" spans="2:11">
      <c r="B463" s="71"/>
      <c r="E463" s="71"/>
      <c r="H463" s="71"/>
      <c r="K463" s="71"/>
    </row>
    <row r="464" spans="2:11">
      <c r="B464" s="71"/>
      <c r="E464" s="71"/>
      <c r="H464" s="71"/>
      <c r="K464" s="71"/>
    </row>
    <row r="465" spans="2:11">
      <c r="B465" s="71"/>
      <c r="E465" s="71"/>
      <c r="H465" s="71"/>
      <c r="K465" s="71"/>
    </row>
    <row r="466" spans="2:11">
      <c r="B466" s="71"/>
      <c r="E466" s="71"/>
      <c r="H466" s="71"/>
      <c r="K466" s="71"/>
    </row>
    <row r="467" spans="2:11">
      <c r="B467" s="71"/>
      <c r="E467" s="71"/>
      <c r="H467" s="71"/>
      <c r="K467" s="71"/>
    </row>
    <row r="468" spans="2:11">
      <c r="B468" s="71"/>
      <c r="E468" s="71"/>
      <c r="H468" s="71"/>
      <c r="K468" s="71"/>
    </row>
    <row r="469" spans="2:11">
      <c r="B469" s="71"/>
      <c r="E469" s="71"/>
      <c r="H469" s="71"/>
      <c r="K469" s="71"/>
    </row>
    <row r="470" spans="2:11">
      <c r="B470" s="71"/>
      <c r="E470" s="71"/>
      <c r="H470" s="71"/>
      <c r="K470" s="71"/>
    </row>
    <row r="471" spans="2:11">
      <c r="B471" s="71"/>
      <c r="E471" s="71"/>
      <c r="H471" s="71"/>
      <c r="K471" s="71"/>
    </row>
    <row r="472" spans="2:11">
      <c r="B472" s="71"/>
      <c r="E472" s="71"/>
      <c r="H472" s="71"/>
      <c r="K472" s="71"/>
    </row>
    <row r="473" spans="2:11">
      <c r="B473" s="71"/>
      <c r="E473" s="71"/>
      <c r="H473" s="71"/>
      <c r="K473" s="71"/>
    </row>
    <row r="474" spans="2:11">
      <c r="B474" s="71"/>
      <c r="E474" s="71"/>
      <c r="H474" s="71"/>
      <c r="K474" s="71"/>
    </row>
    <row r="475" spans="2:11">
      <c r="B475" s="71"/>
      <c r="E475" s="71"/>
      <c r="H475" s="71"/>
      <c r="K475" s="71"/>
    </row>
    <row r="476" spans="2:11">
      <c r="B476" s="71"/>
      <c r="E476" s="71"/>
      <c r="H476" s="71"/>
      <c r="K476" s="71"/>
    </row>
    <row r="477" spans="2:11">
      <c r="B477" s="71"/>
      <c r="E477" s="71"/>
      <c r="H477" s="71"/>
      <c r="K477" s="71"/>
    </row>
    <row r="478" spans="2:11">
      <c r="B478" s="71"/>
      <c r="E478" s="71"/>
      <c r="H478" s="71"/>
      <c r="K478" s="71"/>
    </row>
    <row r="479" spans="2:11">
      <c r="B479" s="71"/>
      <c r="E479" s="71"/>
      <c r="H479" s="71"/>
      <c r="K479" s="71"/>
    </row>
    <row r="480" spans="2:11">
      <c r="B480" s="71"/>
      <c r="E480" s="71"/>
      <c r="H480" s="71"/>
      <c r="K480" s="71"/>
    </row>
    <row r="481" spans="2:11">
      <c r="B481" s="71"/>
      <c r="E481" s="71"/>
      <c r="H481" s="71"/>
      <c r="K481" s="71"/>
    </row>
    <row r="482" spans="2:11">
      <c r="B482" s="71"/>
      <c r="E482" s="71"/>
      <c r="H482" s="71"/>
      <c r="K482" s="71"/>
    </row>
    <row r="483" spans="2:11">
      <c r="B483" s="71"/>
      <c r="E483" s="71"/>
      <c r="H483" s="71"/>
      <c r="K483" s="71"/>
    </row>
    <row r="484" spans="2:11">
      <c r="B484" s="71"/>
      <c r="E484" s="71"/>
      <c r="H484" s="71"/>
      <c r="K484" s="71"/>
    </row>
    <row r="485" spans="2:11">
      <c r="B485" s="71"/>
      <c r="E485" s="71"/>
      <c r="H485" s="71"/>
      <c r="K485" s="71"/>
    </row>
    <row r="486" spans="2:11">
      <c r="B486" s="71"/>
      <c r="E486" s="71"/>
      <c r="H486" s="71"/>
      <c r="K486" s="71"/>
    </row>
    <row r="487" spans="2:11">
      <c r="B487" s="71"/>
      <c r="E487" s="71"/>
      <c r="H487" s="71"/>
      <c r="K487" s="71"/>
    </row>
    <row r="488" spans="2:11">
      <c r="B488" s="71"/>
      <c r="E488" s="71"/>
      <c r="H488" s="71"/>
      <c r="K488" s="71"/>
    </row>
    <row r="489" spans="2:11">
      <c r="B489" s="71"/>
      <c r="E489" s="71"/>
      <c r="H489" s="71"/>
      <c r="K489" s="71"/>
    </row>
    <row r="490" spans="2:11">
      <c r="B490" s="71"/>
      <c r="E490" s="71"/>
      <c r="H490" s="71"/>
      <c r="K490" s="71"/>
    </row>
    <row r="491" spans="2:11">
      <c r="B491" s="71"/>
      <c r="E491" s="71"/>
      <c r="H491" s="71"/>
      <c r="K491" s="71"/>
    </row>
    <row r="492" spans="2:11">
      <c r="B492" s="71"/>
      <c r="E492" s="71"/>
      <c r="H492" s="71"/>
      <c r="K492" s="71"/>
    </row>
    <row r="493" spans="2:11">
      <c r="B493" s="71"/>
      <c r="E493" s="71"/>
      <c r="H493" s="71"/>
      <c r="K493" s="71"/>
    </row>
    <row r="494" spans="2:11">
      <c r="B494" s="71"/>
      <c r="E494" s="71"/>
      <c r="H494" s="71"/>
      <c r="K494" s="71"/>
    </row>
    <row r="495" spans="2:11">
      <c r="B495" s="71"/>
      <c r="E495" s="71"/>
      <c r="H495" s="71"/>
      <c r="K495" s="71"/>
    </row>
    <row r="496" spans="2:11">
      <c r="B496" s="71"/>
      <c r="E496" s="71"/>
      <c r="H496" s="71"/>
      <c r="K496" s="71"/>
    </row>
    <row r="497" spans="2:11">
      <c r="B497" s="71"/>
      <c r="E497" s="71"/>
      <c r="H497" s="71"/>
      <c r="K497" s="71"/>
    </row>
    <row r="498" spans="2:11">
      <c r="B498" s="71"/>
      <c r="E498" s="71"/>
      <c r="H498" s="71"/>
      <c r="K498" s="71"/>
    </row>
    <row r="499" spans="2:11">
      <c r="B499" s="71"/>
      <c r="E499" s="71"/>
      <c r="H499" s="71"/>
      <c r="K499" s="71"/>
    </row>
    <row r="500" spans="2:11">
      <c r="B500" s="71"/>
      <c r="E500" s="71"/>
      <c r="H500" s="71"/>
      <c r="K500" s="71"/>
    </row>
    <row r="501" spans="2:11">
      <c r="B501" s="71"/>
      <c r="E501" s="71"/>
      <c r="H501" s="71"/>
      <c r="K501" s="71"/>
    </row>
    <row r="502" spans="2:11">
      <c r="B502" s="71"/>
      <c r="E502" s="71"/>
      <c r="H502" s="71"/>
      <c r="K502" s="71"/>
    </row>
    <row r="503" spans="2:11">
      <c r="B503" s="71"/>
      <c r="E503" s="71"/>
      <c r="H503" s="71"/>
      <c r="K503" s="71"/>
    </row>
    <row r="504" spans="2:11">
      <c r="B504" s="71"/>
      <c r="E504" s="71"/>
      <c r="H504" s="71"/>
      <c r="K504" s="71"/>
    </row>
    <row r="505" spans="2:11">
      <c r="B505" s="71"/>
      <c r="E505" s="71"/>
      <c r="H505" s="71"/>
      <c r="K505" s="71"/>
    </row>
    <row r="506" spans="2:11">
      <c r="B506" s="71"/>
      <c r="E506" s="71"/>
      <c r="H506" s="71"/>
      <c r="K506" s="71"/>
    </row>
    <row r="507" spans="2:11">
      <c r="B507" s="71"/>
      <c r="E507" s="71"/>
      <c r="H507" s="71"/>
      <c r="K507" s="71"/>
    </row>
    <row r="508" spans="2:11">
      <c r="B508" s="71"/>
      <c r="E508" s="71"/>
      <c r="H508" s="71"/>
      <c r="K508" s="71"/>
    </row>
    <row r="509" spans="2:11">
      <c r="B509" s="71"/>
      <c r="E509" s="71"/>
      <c r="H509" s="71"/>
      <c r="K509" s="71"/>
    </row>
    <row r="510" spans="2:11">
      <c r="B510" s="71"/>
      <c r="E510" s="71"/>
      <c r="H510" s="71"/>
      <c r="K510" s="71"/>
    </row>
    <row r="511" spans="2:11">
      <c r="B511" s="71"/>
      <c r="E511" s="71"/>
      <c r="H511" s="71"/>
      <c r="K511" s="71"/>
    </row>
    <row r="512" spans="2:11">
      <c r="B512" s="71"/>
      <c r="E512" s="71"/>
      <c r="H512" s="71"/>
      <c r="K512" s="71"/>
    </row>
    <row r="513" spans="2:11">
      <c r="B513" s="71"/>
      <c r="E513" s="71"/>
      <c r="H513" s="71"/>
      <c r="K513" s="71"/>
    </row>
    <row r="514" spans="2:11">
      <c r="B514" s="71"/>
      <c r="E514" s="71"/>
      <c r="H514" s="71"/>
      <c r="K514" s="71"/>
    </row>
    <row r="515" spans="2:11">
      <c r="B515" s="71"/>
      <c r="E515" s="71"/>
      <c r="H515" s="71"/>
      <c r="K515" s="71"/>
    </row>
    <row r="516" spans="2:11">
      <c r="B516" s="71"/>
      <c r="E516" s="71"/>
      <c r="H516" s="71"/>
      <c r="K516" s="71"/>
    </row>
    <row r="517" spans="2:11">
      <c r="B517" s="71"/>
      <c r="E517" s="71"/>
      <c r="H517" s="71"/>
      <c r="K517" s="71"/>
    </row>
    <row r="518" spans="2:11">
      <c r="B518" s="71"/>
      <c r="E518" s="71"/>
      <c r="H518" s="71"/>
      <c r="K518" s="71"/>
    </row>
    <row r="519" spans="2:11">
      <c r="B519" s="71"/>
      <c r="E519" s="71"/>
      <c r="H519" s="71"/>
      <c r="K519" s="71"/>
    </row>
    <row r="520" spans="2:11">
      <c r="B520" s="71"/>
      <c r="E520" s="71"/>
      <c r="H520" s="71"/>
      <c r="K520" s="71"/>
    </row>
    <row r="521" spans="2:11">
      <c r="B521" s="71"/>
      <c r="E521" s="71"/>
      <c r="H521" s="71"/>
      <c r="K521" s="71"/>
    </row>
    <row r="522" spans="2:11">
      <c r="B522" s="71"/>
      <c r="E522" s="71"/>
      <c r="H522" s="71"/>
      <c r="K522" s="71"/>
    </row>
    <row r="523" spans="2:11">
      <c r="B523" s="71"/>
      <c r="E523" s="71"/>
      <c r="H523" s="71"/>
      <c r="K523" s="71"/>
    </row>
    <row r="524" spans="2:11">
      <c r="B524" s="71"/>
      <c r="E524" s="71"/>
      <c r="H524" s="71"/>
      <c r="K524" s="71"/>
    </row>
    <row r="525" spans="2:11">
      <c r="B525" s="71"/>
      <c r="E525" s="71"/>
      <c r="H525" s="71"/>
      <c r="K525" s="71"/>
    </row>
    <row r="526" spans="2:11">
      <c r="B526" s="71"/>
      <c r="E526" s="71"/>
      <c r="H526" s="71"/>
      <c r="K526" s="71"/>
    </row>
    <row r="527" spans="2:11">
      <c r="B527" s="71"/>
      <c r="E527" s="71"/>
      <c r="H527" s="71"/>
      <c r="K527" s="71"/>
    </row>
    <row r="528" spans="2:11">
      <c r="B528" s="71"/>
      <c r="E528" s="71"/>
      <c r="H528" s="71"/>
      <c r="K528" s="71"/>
    </row>
    <row r="529" spans="2:11">
      <c r="B529" s="71"/>
      <c r="E529" s="71"/>
      <c r="H529" s="71"/>
      <c r="K529" s="71"/>
    </row>
    <row r="530" spans="2:11">
      <c r="B530" s="71"/>
      <c r="E530" s="71"/>
      <c r="H530" s="71"/>
      <c r="K530" s="71"/>
    </row>
    <row r="531" spans="2:11">
      <c r="B531" s="71"/>
      <c r="E531" s="71"/>
      <c r="H531" s="71"/>
      <c r="K531" s="71"/>
    </row>
    <row r="532" spans="2:11">
      <c r="B532" s="71"/>
      <c r="E532" s="71"/>
      <c r="H532" s="71"/>
      <c r="K532" s="71"/>
    </row>
    <row r="533" spans="2:11">
      <c r="B533" s="71"/>
      <c r="E533" s="71"/>
      <c r="H533" s="71"/>
      <c r="K533" s="71"/>
    </row>
    <row r="534" spans="2:11">
      <c r="B534" s="71"/>
      <c r="E534" s="71"/>
      <c r="H534" s="71"/>
      <c r="K534" s="71"/>
    </row>
    <row r="535" spans="2:11">
      <c r="B535" s="71"/>
      <c r="E535" s="71"/>
      <c r="H535" s="71"/>
      <c r="K535" s="71"/>
    </row>
    <row r="536" spans="2:11">
      <c r="B536" s="71"/>
      <c r="E536" s="71"/>
      <c r="H536" s="71"/>
      <c r="K536" s="71"/>
    </row>
    <row r="537" spans="2:11">
      <c r="B537" s="71"/>
      <c r="E537" s="71"/>
      <c r="H537" s="71"/>
      <c r="K537" s="71"/>
    </row>
    <row r="538" spans="2:11">
      <c r="B538" s="71"/>
      <c r="E538" s="71"/>
      <c r="H538" s="71"/>
      <c r="K538" s="71"/>
    </row>
    <row r="539" spans="2:11">
      <c r="B539" s="71"/>
      <c r="E539" s="71"/>
      <c r="H539" s="71"/>
      <c r="K539" s="71"/>
    </row>
    <row r="540" spans="2:11">
      <c r="B540" s="71"/>
      <c r="E540" s="71"/>
      <c r="H540" s="71"/>
      <c r="K540" s="71"/>
    </row>
    <row r="541" spans="2:11">
      <c r="B541" s="71"/>
      <c r="E541" s="71"/>
      <c r="H541" s="71"/>
      <c r="K541" s="71"/>
    </row>
    <row r="542" spans="2:11">
      <c r="B542" s="71"/>
      <c r="E542" s="71"/>
      <c r="H542" s="71"/>
      <c r="K542" s="71"/>
    </row>
    <row r="543" spans="2:11">
      <c r="B543" s="71"/>
      <c r="E543" s="71"/>
      <c r="H543" s="71"/>
      <c r="K543" s="71"/>
    </row>
    <row r="544" spans="2:11">
      <c r="B544" s="71"/>
      <c r="E544" s="71"/>
      <c r="H544" s="71"/>
      <c r="K544" s="71"/>
    </row>
    <row r="545" spans="2:11">
      <c r="B545" s="71"/>
      <c r="E545" s="71"/>
      <c r="H545" s="71"/>
      <c r="K545" s="71"/>
    </row>
    <row r="546" spans="2:11">
      <c r="B546" s="71"/>
      <c r="E546" s="71"/>
      <c r="H546" s="71"/>
      <c r="K546" s="71"/>
    </row>
    <row r="547" spans="2:11">
      <c r="B547" s="71"/>
      <c r="E547" s="71"/>
      <c r="H547" s="71"/>
      <c r="K547" s="71"/>
    </row>
    <row r="548" spans="2:11">
      <c r="B548" s="71"/>
      <c r="E548" s="71"/>
      <c r="H548" s="71"/>
      <c r="K548" s="71"/>
    </row>
    <row r="549" spans="2:11">
      <c r="B549" s="71"/>
      <c r="E549" s="71"/>
      <c r="H549" s="71"/>
      <c r="K549" s="71"/>
    </row>
    <row r="550" spans="2:11">
      <c r="B550" s="71"/>
      <c r="E550" s="71"/>
      <c r="H550" s="71"/>
      <c r="K550" s="71"/>
    </row>
    <row r="551" spans="2:11">
      <c r="B551" s="71"/>
      <c r="E551" s="71"/>
      <c r="K551" s="71"/>
    </row>
    <row r="552" spans="2:11">
      <c r="B552" s="71"/>
      <c r="E552" s="71"/>
      <c r="H552" s="71"/>
      <c r="K552" s="71"/>
    </row>
    <row r="553" spans="2:11">
      <c r="B553" s="71"/>
      <c r="E553" s="71"/>
      <c r="H553" s="71"/>
      <c r="K553" s="71"/>
    </row>
    <row r="554" spans="2:11">
      <c r="B554" s="71"/>
      <c r="E554" s="71"/>
      <c r="H554" s="71"/>
      <c r="K554" s="71"/>
    </row>
    <row r="555" spans="2:11">
      <c r="B555" s="71"/>
      <c r="E555" s="71"/>
      <c r="H555" s="71"/>
      <c r="K555" s="71"/>
    </row>
    <row r="556" spans="2:11">
      <c r="B556" s="71"/>
      <c r="E556" s="71"/>
      <c r="H556" s="71"/>
      <c r="K556" s="71"/>
    </row>
    <row r="557" spans="2:11">
      <c r="B557" s="71"/>
      <c r="E557" s="71"/>
      <c r="H557" s="71"/>
      <c r="K557" s="71"/>
    </row>
    <row r="558" spans="2:11">
      <c r="B558" s="71"/>
      <c r="E558" s="71"/>
      <c r="H558" s="71"/>
      <c r="K558" s="71"/>
    </row>
    <row r="559" spans="2:11">
      <c r="B559" s="71"/>
      <c r="E559" s="71"/>
      <c r="H559" s="71"/>
      <c r="K559" s="71"/>
    </row>
    <row r="560" spans="2:11">
      <c r="B560" s="71"/>
      <c r="E560" s="71"/>
      <c r="H560" s="71"/>
      <c r="K560" s="71"/>
    </row>
    <row r="561" spans="2:11">
      <c r="B561" s="71"/>
      <c r="E561" s="71"/>
      <c r="H561" s="71"/>
      <c r="K561" s="71"/>
    </row>
    <row r="562" spans="2:11">
      <c r="B562" s="71"/>
      <c r="E562" s="71"/>
      <c r="H562" s="71"/>
      <c r="K562" s="71"/>
    </row>
    <row r="563" spans="2:11">
      <c r="B563" s="71"/>
      <c r="E563" s="71"/>
      <c r="H563" s="71"/>
      <c r="K563" s="71"/>
    </row>
    <row r="564" spans="2:11">
      <c r="B564" s="71"/>
      <c r="E564" s="71"/>
      <c r="H564" s="71"/>
      <c r="K564" s="71"/>
    </row>
    <row r="565" spans="2:11">
      <c r="B565" s="71"/>
      <c r="E565" s="71"/>
      <c r="H565" s="71"/>
      <c r="K565" s="71"/>
    </row>
    <row r="566" spans="2:11">
      <c r="B566" s="71"/>
      <c r="E566" s="71"/>
      <c r="H566" s="71"/>
      <c r="K566" s="71"/>
    </row>
    <row r="567" spans="2:11">
      <c r="B567" s="71"/>
      <c r="E567" s="71"/>
      <c r="H567" s="71"/>
      <c r="K567" s="71"/>
    </row>
    <row r="568" spans="2:11">
      <c r="B568" s="71"/>
      <c r="E568" s="71"/>
      <c r="H568" s="71"/>
      <c r="K568" s="71"/>
    </row>
    <row r="569" spans="2:11">
      <c r="B569" s="71"/>
      <c r="E569" s="71"/>
      <c r="H569" s="71"/>
      <c r="K569" s="71"/>
    </row>
    <row r="570" spans="2:11">
      <c r="B570" s="71"/>
      <c r="E570" s="71"/>
      <c r="H570" s="71"/>
      <c r="K570" s="71"/>
    </row>
    <row r="571" spans="2:11">
      <c r="B571" s="71"/>
      <c r="E571" s="71"/>
      <c r="H571" s="71"/>
      <c r="K571" s="71"/>
    </row>
    <row r="572" spans="2:11">
      <c r="B572" s="71"/>
      <c r="E572" s="71"/>
      <c r="H572" s="71"/>
      <c r="K572" s="71"/>
    </row>
    <row r="573" spans="2:11">
      <c r="B573" s="71"/>
      <c r="E573" s="71"/>
      <c r="H573" s="71"/>
      <c r="K573" s="71"/>
    </row>
    <row r="574" spans="2:11">
      <c r="B574" s="71"/>
      <c r="E574" s="71"/>
      <c r="H574" s="71"/>
      <c r="K574" s="71"/>
    </row>
    <row r="575" spans="2:11">
      <c r="B575" s="71"/>
      <c r="E575" s="71"/>
      <c r="H575" s="71"/>
      <c r="K575" s="71"/>
    </row>
    <row r="576" spans="2:11">
      <c r="B576" s="71"/>
      <c r="E576" s="71"/>
      <c r="H576" s="71"/>
      <c r="K576" s="71"/>
    </row>
    <row r="577" spans="2:11">
      <c r="B577" s="71"/>
      <c r="E577" s="71"/>
      <c r="H577" s="71"/>
      <c r="K577" s="71"/>
    </row>
    <row r="578" spans="2:11">
      <c r="B578" s="71"/>
      <c r="E578" s="71"/>
      <c r="H578" s="71"/>
      <c r="K578" s="71"/>
    </row>
    <row r="579" spans="2:11">
      <c r="B579" s="71"/>
      <c r="E579" s="71"/>
      <c r="H579" s="71"/>
      <c r="K579" s="71"/>
    </row>
    <row r="580" spans="2:11">
      <c r="B580" s="71"/>
      <c r="E580" s="71"/>
      <c r="H580" s="71"/>
      <c r="K580" s="71"/>
    </row>
    <row r="581" spans="2:11">
      <c r="B581" s="71"/>
      <c r="E581" s="71"/>
      <c r="H581" s="71"/>
      <c r="K581" s="71"/>
    </row>
    <row r="582" spans="2:11">
      <c r="B582" s="71"/>
      <c r="E582" s="71"/>
      <c r="H582" s="71"/>
      <c r="K582" s="71"/>
    </row>
    <row r="583" spans="2:11">
      <c r="B583" s="71"/>
      <c r="E583" s="71"/>
      <c r="H583" s="71"/>
      <c r="K583" s="71"/>
    </row>
    <row r="584" spans="2:11">
      <c r="B584" s="71"/>
      <c r="E584" s="71"/>
      <c r="H584" s="71"/>
      <c r="K584" s="71"/>
    </row>
    <row r="585" spans="2:11">
      <c r="B585" s="71"/>
      <c r="E585" s="71"/>
      <c r="H585" s="71"/>
      <c r="K585" s="71"/>
    </row>
    <row r="586" spans="2:11">
      <c r="B586" s="71"/>
      <c r="E586" s="71"/>
      <c r="H586" s="71"/>
      <c r="K586" s="71"/>
    </row>
    <row r="587" spans="2:11">
      <c r="B587" s="71"/>
      <c r="E587" s="71"/>
      <c r="H587" s="71"/>
      <c r="K587" s="71"/>
    </row>
    <row r="588" spans="2:11">
      <c r="B588" s="71"/>
      <c r="E588" s="71"/>
      <c r="H588" s="71"/>
      <c r="K588" s="71"/>
    </row>
    <row r="589" spans="2:11">
      <c r="B589" s="71"/>
      <c r="E589" s="71"/>
      <c r="H589" s="71"/>
      <c r="K589" s="71"/>
    </row>
    <row r="590" spans="2:11">
      <c r="B590" s="71"/>
      <c r="E590" s="71"/>
      <c r="H590" s="71"/>
      <c r="K590" s="71"/>
    </row>
    <row r="591" spans="2:11">
      <c r="B591" s="71"/>
      <c r="E591" s="71"/>
      <c r="H591" s="71"/>
      <c r="K591" s="71"/>
    </row>
    <row r="592" spans="2:11">
      <c r="B592" s="71"/>
      <c r="E592" s="71"/>
      <c r="H592" s="71"/>
      <c r="K592" s="71"/>
    </row>
    <row r="593" spans="2:11">
      <c r="B593" s="71"/>
      <c r="E593" s="71"/>
      <c r="H593" s="71"/>
      <c r="K593" s="71"/>
    </row>
    <row r="594" spans="2:11">
      <c r="B594" s="71"/>
      <c r="E594" s="71"/>
      <c r="H594" s="71"/>
      <c r="K594" s="71"/>
    </row>
    <row r="595" spans="2:11">
      <c r="B595" s="71"/>
      <c r="E595" s="71"/>
      <c r="H595" s="71"/>
      <c r="K595" s="71"/>
    </row>
    <row r="596" spans="2:11">
      <c r="B596" s="71"/>
      <c r="E596" s="71"/>
      <c r="H596" s="71"/>
      <c r="K596" s="71"/>
    </row>
    <row r="597" spans="2:11">
      <c r="B597" s="71"/>
      <c r="E597" s="71"/>
      <c r="H597" s="71"/>
      <c r="K597" s="71"/>
    </row>
    <row r="598" spans="2:11">
      <c r="B598" s="71"/>
      <c r="E598" s="71"/>
      <c r="H598" s="71"/>
      <c r="K598" s="71"/>
    </row>
    <row r="599" spans="2:11">
      <c r="B599" s="71"/>
      <c r="E599" s="71"/>
      <c r="H599" s="71"/>
      <c r="K599" s="71"/>
    </row>
    <row r="600" spans="2:11">
      <c r="B600" s="71"/>
      <c r="E600" s="71"/>
      <c r="H600" s="71"/>
      <c r="K600" s="71"/>
    </row>
    <row r="601" spans="2:11">
      <c r="B601" s="71"/>
      <c r="E601" s="71"/>
      <c r="H601" s="71"/>
      <c r="K601" s="71"/>
    </row>
    <row r="602" spans="2:11">
      <c r="B602" s="71"/>
      <c r="E602" s="71"/>
      <c r="H602" s="71"/>
      <c r="K602" s="71"/>
    </row>
    <row r="603" spans="2:11">
      <c r="B603" s="71"/>
      <c r="E603" s="71"/>
      <c r="H603" s="71"/>
      <c r="K603" s="71"/>
    </row>
    <row r="604" spans="2:11">
      <c r="B604" s="71"/>
      <c r="E604" s="71"/>
      <c r="H604" s="71"/>
      <c r="K604" s="71"/>
    </row>
    <row r="605" spans="2:11">
      <c r="B605" s="71"/>
      <c r="E605" s="71"/>
      <c r="H605" s="71"/>
      <c r="K605" s="71"/>
    </row>
    <row r="606" spans="2:11">
      <c r="B606" s="71"/>
      <c r="E606" s="71"/>
      <c r="H606" s="71"/>
      <c r="K606" s="71"/>
    </row>
    <row r="607" spans="2:11">
      <c r="B607" s="71"/>
      <c r="E607" s="71"/>
      <c r="H607" s="71"/>
      <c r="K607" s="71"/>
    </row>
    <row r="608" spans="2:11">
      <c r="B608" s="71"/>
      <c r="E608" s="71"/>
      <c r="H608" s="71"/>
      <c r="K608" s="71"/>
    </row>
    <row r="609" spans="2:11">
      <c r="B609" s="71"/>
      <c r="E609" s="71"/>
      <c r="H609" s="71"/>
      <c r="K609" s="71"/>
    </row>
    <row r="610" spans="2:11">
      <c r="B610" s="71"/>
      <c r="E610" s="71"/>
      <c r="H610" s="71"/>
      <c r="K610" s="71"/>
    </row>
    <row r="611" spans="2:11">
      <c r="B611" s="71"/>
      <c r="E611" s="71"/>
      <c r="H611" s="71"/>
      <c r="K611" s="71"/>
    </row>
    <row r="612" spans="2:11">
      <c r="B612" s="71"/>
      <c r="E612" s="71"/>
      <c r="H612" s="71"/>
      <c r="K612" s="71"/>
    </row>
    <row r="613" spans="2:11">
      <c r="B613" s="71"/>
      <c r="E613" s="71"/>
      <c r="H613" s="71"/>
      <c r="K613" s="71"/>
    </row>
    <row r="614" spans="2:11">
      <c r="B614" s="71"/>
      <c r="E614" s="71"/>
      <c r="H614" s="71"/>
      <c r="K614" s="71"/>
    </row>
    <row r="615" spans="2:11">
      <c r="B615" s="71"/>
      <c r="E615" s="71"/>
      <c r="H615" s="71"/>
      <c r="K615" s="71"/>
    </row>
    <row r="616" spans="2:11">
      <c r="B616" s="71"/>
      <c r="E616" s="71"/>
      <c r="H616" s="71"/>
      <c r="K616" s="71"/>
    </row>
    <row r="617" spans="2:11">
      <c r="B617" s="71"/>
      <c r="E617" s="71"/>
      <c r="H617" s="71"/>
      <c r="K617" s="71"/>
    </row>
    <row r="618" spans="2:11">
      <c r="B618" s="71"/>
      <c r="E618" s="71"/>
      <c r="H618" s="71"/>
      <c r="K618" s="71"/>
    </row>
    <row r="619" spans="2:11">
      <c r="B619" s="71"/>
      <c r="E619" s="71"/>
      <c r="H619" s="71"/>
      <c r="K619" s="71"/>
    </row>
    <row r="620" spans="2:11">
      <c r="B620" s="71"/>
      <c r="E620" s="71"/>
      <c r="H620" s="71"/>
      <c r="K620" s="71"/>
    </row>
    <row r="621" spans="2:11">
      <c r="B621" s="71"/>
      <c r="E621" s="71"/>
      <c r="H621" s="71"/>
      <c r="K621" s="71"/>
    </row>
    <row r="622" spans="2:11">
      <c r="B622" s="71"/>
      <c r="E622" s="71"/>
      <c r="H622" s="71"/>
      <c r="K622" s="71"/>
    </row>
    <row r="623" spans="2:11">
      <c r="B623" s="71"/>
      <c r="E623" s="71"/>
      <c r="H623" s="71"/>
      <c r="K623" s="71"/>
    </row>
    <row r="624" spans="2:11">
      <c r="B624" s="71"/>
      <c r="E624" s="71"/>
      <c r="H624" s="71"/>
      <c r="K624" s="71"/>
    </row>
    <row r="625" spans="2:11">
      <c r="B625" s="71"/>
      <c r="E625" s="71"/>
      <c r="H625" s="71"/>
      <c r="K625" s="71"/>
    </row>
    <row r="626" spans="2:11">
      <c r="B626" s="71"/>
      <c r="E626" s="71"/>
      <c r="H626" s="71"/>
      <c r="K626" s="71"/>
    </row>
    <row r="627" spans="2:11">
      <c r="B627" s="71"/>
      <c r="E627" s="71"/>
      <c r="H627" s="71"/>
      <c r="K627" s="71"/>
    </row>
    <row r="628" spans="2:11">
      <c r="B628" s="71"/>
      <c r="E628" s="71"/>
      <c r="H628" s="71"/>
      <c r="K628" s="71"/>
    </row>
    <row r="629" spans="2:11">
      <c r="B629" s="71"/>
      <c r="E629" s="71"/>
      <c r="H629" s="71"/>
      <c r="K629" s="71"/>
    </row>
    <row r="630" spans="2:11">
      <c r="B630" s="71"/>
      <c r="E630" s="71"/>
      <c r="H630" s="71"/>
      <c r="K630" s="71"/>
    </row>
    <row r="631" spans="2:11">
      <c r="B631" s="71"/>
      <c r="E631" s="71"/>
      <c r="H631" s="71"/>
      <c r="K631" s="71"/>
    </row>
    <row r="632" spans="2:11">
      <c r="B632" s="71"/>
      <c r="E632" s="71"/>
      <c r="K632" s="71"/>
    </row>
    <row r="633" spans="2:11">
      <c r="B633" s="71"/>
      <c r="E633" s="71"/>
      <c r="H633" s="71"/>
      <c r="K633" s="71"/>
    </row>
    <row r="634" spans="2:11">
      <c r="B634" s="71"/>
      <c r="E634" s="71"/>
      <c r="H634" s="71"/>
      <c r="K634" s="71"/>
    </row>
    <row r="635" spans="2:11">
      <c r="B635" s="71"/>
      <c r="E635" s="71"/>
      <c r="H635" s="71"/>
      <c r="K635" s="71"/>
    </row>
    <row r="636" spans="2:11">
      <c r="B636" s="71"/>
      <c r="E636" s="71"/>
      <c r="H636" s="71"/>
      <c r="K636" s="71"/>
    </row>
    <row r="637" spans="2:11">
      <c r="B637" s="71"/>
      <c r="E637" s="71"/>
      <c r="H637" s="71"/>
      <c r="K637" s="71"/>
    </row>
    <row r="638" spans="2:11">
      <c r="B638" s="71"/>
      <c r="E638" s="71"/>
      <c r="H638" s="71"/>
      <c r="K638" s="71"/>
    </row>
    <row r="639" spans="2:11">
      <c r="B639" s="71"/>
      <c r="E639" s="71"/>
      <c r="H639" s="71"/>
      <c r="K639" s="71"/>
    </row>
    <row r="640" spans="2:11">
      <c r="B640" s="71"/>
      <c r="E640" s="71"/>
      <c r="H640" s="71"/>
      <c r="K640" s="71"/>
    </row>
    <row r="641" spans="2:11">
      <c r="B641" s="71"/>
      <c r="E641" s="71"/>
      <c r="H641" s="71"/>
      <c r="K641" s="71"/>
    </row>
    <row r="642" spans="2:11">
      <c r="B642" s="71"/>
      <c r="E642" s="71"/>
      <c r="H642" s="71"/>
      <c r="K642" s="71"/>
    </row>
    <row r="643" spans="2:11">
      <c r="B643" s="71"/>
      <c r="E643" s="71"/>
      <c r="H643" s="71"/>
      <c r="K643" s="71"/>
    </row>
    <row r="644" spans="2:11">
      <c r="B644" s="71"/>
      <c r="E644" s="71"/>
      <c r="H644" s="71"/>
      <c r="K644" s="71"/>
    </row>
    <row r="645" spans="2:11">
      <c r="B645" s="71"/>
      <c r="E645" s="71"/>
      <c r="H645" s="71"/>
      <c r="K645" s="71"/>
    </row>
    <row r="646" spans="2:11">
      <c r="B646" s="71"/>
      <c r="E646" s="71"/>
      <c r="H646" s="71"/>
      <c r="K646" s="71"/>
    </row>
    <row r="647" spans="2:11">
      <c r="B647" s="71"/>
      <c r="E647" s="71"/>
      <c r="H647" s="71"/>
      <c r="K647" s="71"/>
    </row>
    <row r="648" spans="2:11">
      <c r="B648" s="71"/>
      <c r="E648" s="71"/>
      <c r="H648" s="71"/>
      <c r="K648" s="71"/>
    </row>
    <row r="649" spans="2:11">
      <c r="B649" s="71"/>
      <c r="E649" s="71"/>
      <c r="H649" s="71"/>
      <c r="K649" s="71"/>
    </row>
    <row r="650" spans="2:11">
      <c r="B650" s="71"/>
      <c r="E650" s="71"/>
      <c r="H650" s="71"/>
      <c r="K650" s="71"/>
    </row>
    <row r="651" spans="2:11">
      <c r="B651" s="71"/>
      <c r="E651" s="71"/>
      <c r="H651" s="71"/>
      <c r="K651" s="71"/>
    </row>
    <row r="652" spans="2:11">
      <c r="B652" s="71"/>
      <c r="E652" s="71"/>
      <c r="H652" s="71"/>
      <c r="K652" s="71"/>
    </row>
    <row r="653" spans="2:11">
      <c r="B653" s="71"/>
      <c r="E653" s="71"/>
      <c r="H653" s="71"/>
      <c r="K653" s="71"/>
    </row>
    <row r="654" spans="2:11">
      <c r="B654" s="71"/>
      <c r="E654" s="71"/>
      <c r="H654" s="71"/>
      <c r="K654" s="71"/>
    </row>
    <row r="655" spans="2:11">
      <c r="B655" s="71"/>
      <c r="E655" s="71"/>
      <c r="H655" s="71"/>
      <c r="K655" s="71"/>
    </row>
    <row r="656" spans="2:11">
      <c r="B656" s="71"/>
      <c r="E656" s="71"/>
      <c r="H656" s="71"/>
      <c r="K656" s="71"/>
    </row>
    <row r="657" spans="2:11">
      <c r="B657" s="71"/>
      <c r="E657" s="71"/>
      <c r="H657" s="71"/>
      <c r="K657" s="71"/>
    </row>
    <row r="658" spans="2:11">
      <c r="B658" s="71"/>
      <c r="E658" s="71"/>
      <c r="H658" s="71"/>
      <c r="K658" s="71"/>
    </row>
    <row r="659" spans="2:11">
      <c r="B659" s="71"/>
      <c r="E659" s="71"/>
      <c r="H659" s="71"/>
      <c r="K659" s="71"/>
    </row>
    <row r="660" spans="2:11">
      <c r="B660" s="71"/>
      <c r="E660" s="71"/>
      <c r="H660" s="71"/>
      <c r="K660" s="71"/>
    </row>
    <row r="661" spans="2:11">
      <c r="B661" s="71"/>
      <c r="E661" s="71"/>
      <c r="H661" s="71"/>
      <c r="K661" s="71"/>
    </row>
    <row r="662" spans="2:11">
      <c r="B662" s="71"/>
      <c r="E662" s="71"/>
      <c r="H662" s="71"/>
      <c r="K662" s="71"/>
    </row>
    <row r="663" spans="2:11">
      <c r="B663" s="71"/>
      <c r="E663" s="71"/>
      <c r="H663" s="71"/>
      <c r="K663" s="71"/>
    </row>
    <row r="664" spans="2:11">
      <c r="B664" s="71"/>
      <c r="E664" s="71"/>
      <c r="H664" s="71"/>
      <c r="K664" s="71"/>
    </row>
    <row r="665" spans="2:11">
      <c r="B665" s="71"/>
      <c r="E665" s="71"/>
      <c r="H665" s="71"/>
      <c r="K665" s="71"/>
    </row>
    <row r="666" spans="2:11">
      <c r="B666" s="71"/>
      <c r="E666" s="71"/>
      <c r="H666" s="71"/>
      <c r="K666" s="71"/>
    </row>
    <row r="667" spans="2:11">
      <c r="B667" s="71"/>
      <c r="E667" s="71"/>
      <c r="H667" s="71"/>
      <c r="K667" s="71"/>
    </row>
    <row r="668" spans="2:11">
      <c r="B668" s="71"/>
      <c r="E668" s="71"/>
      <c r="H668" s="71"/>
      <c r="K668" s="71"/>
    </row>
    <row r="669" spans="2:11">
      <c r="B669" s="71"/>
      <c r="E669" s="71"/>
      <c r="H669" s="71"/>
      <c r="K669" s="71"/>
    </row>
    <row r="670" spans="2:11">
      <c r="B670" s="71"/>
      <c r="E670" s="71"/>
      <c r="H670" s="71"/>
      <c r="K670" s="71"/>
    </row>
    <row r="671" spans="2:11">
      <c r="B671" s="71"/>
      <c r="E671" s="71"/>
      <c r="H671" s="71"/>
      <c r="K671" s="71"/>
    </row>
    <row r="672" spans="2:11">
      <c r="B672" s="71"/>
      <c r="E672" s="71"/>
      <c r="H672" s="71"/>
      <c r="K672" s="71"/>
    </row>
    <row r="673" spans="2:11">
      <c r="B673" s="71"/>
      <c r="E673" s="71"/>
      <c r="H673" s="71"/>
      <c r="K673" s="71"/>
    </row>
    <row r="674" spans="2:11">
      <c r="B674" s="71"/>
      <c r="E674" s="71"/>
      <c r="H674" s="71"/>
      <c r="K674" s="71"/>
    </row>
    <row r="675" spans="2:11">
      <c r="B675" s="71"/>
      <c r="E675" s="71"/>
      <c r="H675" s="71"/>
      <c r="K675" s="71"/>
    </row>
    <row r="676" spans="2:11">
      <c r="B676" s="71"/>
      <c r="E676" s="71"/>
      <c r="H676" s="71"/>
      <c r="K676" s="71"/>
    </row>
    <row r="677" spans="2:11">
      <c r="E677" s="71"/>
      <c r="H677" s="71"/>
      <c r="K677" s="71"/>
    </row>
    <row r="678" spans="2:11">
      <c r="B678" s="71"/>
      <c r="E678" s="71"/>
      <c r="H678" s="71"/>
      <c r="K678" s="71"/>
    </row>
    <row r="679" spans="2:11">
      <c r="B679" s="71"/>
      <c r="E679" s="71"/>
      <c r="H679" s="71"/>
      <c r="K679" s="71"/>
    </row>
    <row r="680" spans="2:11">
      <c r="B680" s="71"/>
      <c r="E680" s="71"/>
      <c r="H680" s="71"/>
      <c r="K680" s="71"/>
    </row>
    <row r="681" spans="2:11">
      <c r="B681" s="71"/>
      <c r="E681" s="71"/>
      <c r="H681" s="71"/>
      <c r="K681" s="71"/>
    </row>
    <row r="682" spans="2:11">
      <c r="B682" s="71"/>
      <c r="E682" s="71"/>
      <c r="H682" s="71"/>
      <c r="K682" s="71"/>
    </row>
    <row r="683" spans="2:11">
      <c r="B683" s="71"/>
      <c r="E683" s="71"/>
      <c r="K683" s="71"/>
    </row>
    <row r="684" spans="2:11">
      <c r="B684" s="71"/>
      <c r="E684" s="71"/>
      <c r="H684" s="71"/>
      <c r="K684" s="71"/>
    </row>
    <row r="685" spans="2:11">
      <c r="B685" s="71"/>
      <c r="E685" s="71"/>
      <c r="H685" s="71"/>
      <c r="K685" s="71"/>
    </row>
    <row r="686" spans="2:11">
      <c r="B686" s="71"/>
      <c r="E686" s="71"/>
      <c r="H686" s="71"/>
      <c r="K686" s="71"/>
    </row>
    <row r="687" spans="2:11">
      <c r="B687" s="71"/>
      <c r="E687" s="71"/>
      <c r="H687" s="71"/>
      <c r="K687" s="71"/>
    </row>
    <row r="688" spans="2:11">
      <c r="B688" s="71"/>
      <c r="E688" s="71"/>
      <c r="H688" s="71"/>
      <c r="K688" s="71"/>
    </row>
    <row r="689" spans="2:11">
      <c r="B689" s="71"/>
      <c r="E689" s="71"/>
      <c r="H689" s="71"/>
      <c r="K689" s="71"/>
    </row>
    <row r="690" spans="2:11">
      <c r="B690" s="71"/>
      <c r="E690" s="71"/>
      <c r="H690" s="71"/>
      <c r="K690" s="71"/>
    </row>
    <row r="691" spans="2:11">
      <c r="B691" s="71"/>
      <c r="E691" s="71"/>
      <c r="H691" s="71"/>
      <c r="K691" s="71"/>
    </row>
    <row r="692" spans="2:11">
      <c r="B692" s="71"/>
      <c r="E692" s="71"/>
      <c r="H692" s="71"/>
      <c r="K692" s="71"/>
    </row>
    <row r="693" spans="2:11">
      <c r="B693" s="71"/>
      <c r="E693" s="71"/>
      <c r="H693" s="71"/>
      <c r="K693" s="71"/>
    </row>
    <row r="694" spans="2:11">
      <c r="B694" s="71"/>
      <c r="E694" s="71"/>
      <c r="H694" s="71"/>
      <c r="K694" s="71"/>
    </row>
    <row r="695" spans="2:11">
      <c r="B695" s="71"/>
      <c r="E695" s="71"/>
      <c r="H695" s="71"/>
      <c r="K695" s="71"/>
    </row>
    <row r="696" spans="2:11">
      <c r="B696" s="71"/>
      <c r="E696" s="71"/>
      <c r="H696" s="71"/>
      <c r="K696" s="71"/>
    </row>
    <row r="697" spans="2:11">
      <c r="B697" s="71"/>
      <c r="E697" s="71"/>
      <c r="H697" s="71"/>
      <c r="K697" s="71"/>
    </row>
    <row r="698" spans="2:11">
      <c r="B698" s="71"/>
      <c r="E698" s="71"/>
      <c r="H698" s="71"/>
      <c r="K698" s="71"/>
    </row>
    <row r="699" spans="2:11">
      <c r="B699" s="71"/>
      <c r="E699" s="71"/>
      <c r="H699" s="71"/>
      <c r="K699" s="71"/>
    </row>
    <row r="700" spans="2:11">
      <c r="B700" s="71"/>
      <c r="E700" s="71"/>
      <c r="H700" s="71"/>
      <c r="K700" s="71"/>
    </row>
    <row r="701" spans="2:11">
      <c r="B701" s="71"/>
      <c r="E701" s="71"/>
      <c r="H701" s="71"/>
      <c r="K701" s="71"/>
    </row>
    <row r="702" spans="2:11">
      <c r="B702" s="71"/>
      <c r="E702" s="71"/>
      <c r="H702" s="71"/>
      <c r="K702" s="71"/>
    </row>
    <row r="703" spans="2:11">
      <c r="B703" s="71"/>
      <c r="E703" s="71"/>
      <c r="H703" s="71"/>
      <c r="K703" s="71"/>
    </row>
    <row r="704" spans="2:11">
      <c r="B704" s="71"/>
      <c r="E704" s="71"/>
      <c r="H704" s="71"/>
      <c r="K704" s="71"/>
    </row>
    <row r="705" spans="2:11">
      <c r="B705" s="71"/>
      <c r="E705" s="71"/>
      <c r="H705" s="71"/>
      <c r="K705" s="71"/>
    </row>
    <row r="706" spans="2:11">
      <c r="B706" s="71"/>
      <c r="E706" s="71"/>
      <c r="H706" s="71"/>
      <c r="K706" s="71"/>
    </row>
    <row r="707" spans="2:11">
      <c r="B707" s="71"/>
      <c r="E707" s="71"/>
      <c r="H707" s="71"/>
      <c r="K707" s="71"/>
    </row>
    <row r="708" spans="2:11">
      <c r="B708" s="71"/>
      <c r="E708" s="71"/>
      <c r="H708" s="71"/>
      <c r="K708" s="71"/>
    </row>
    <row r="709" spans="2:11">
      <c r="B709" s="71"/>
      <c r="E709" s="71"/>
      <c r="H709" s="71"/>
      <c r="K709" s="71"/>
    </row>
    <row r="710" spans="2:11">
      <c r="B710" s="71"/>
      <c r="E710" s="71"/>
      <c r="H710" s="71"/>
      <c r="K710" s="71"/>
    </row>
    <row r="711" spans="2:11">
      <c r="B711" s="71"/>
      <c r="E711" s="71"/>
      <c r="H711" s="71"/>
      <c r="K711" s="71"/>
    </row>
    <row r="712" spans="2:11">
      <c r="B712" s="71"/>
      <c r="E712" s="71"/>
      <c r="H712" s="71"/>
      <c r="K712" s="71"/>
    </row>
    <row r="713" spans="2:11">
      <c r="B713" s="71"/>
      <c r="E713" s="71"/>
      <c r="H713" s="71"/>
      <c r="K713" s="71"/>
    </row>
    <row r="714" spans="2:11">
      <c r="B714" s="71"/>
      <c r="E714" s="71"/>
      <c r="H714" s="71"/>
      <c r="K714" s="71"/>
    </row>
    <row r="715" spans="2:11">
      <c r="B715" s="71"/>
      <c r="E715" s="71"/>
      <c r="H715" s="71"/>
      <c r="K715" s="71"/>
    </row>
    <row r="716" spans="2:11">
      <c r="B716" s="71"/>
      <c r="E716" s="71"/>
      <c r="H716" s="71"/>
      <c r="K716" s="71"/>
    </row>
    <row r="717" spans="2:11">
      <c r="B717" s="71"/>
      <c r="E717" s="71"/>
      <c r="H717" s="71"/>
      <c r="K717" s="71"/>
    </row>
    <row r="718" spans="2:11">
      <c r="B718" s="71"/>
      <c r="E718" s="71"/>
      <c r="H718" s="71"/>
      <c r="K718" s="71"/>
    </row>
    <row r="719" spans="2:11">
      <c r="B719" s="71"/>
      <c r="E719" s="71"/>
      <c r="H719" s="71"/>
      <c r="K719" s="71"/>
    </row>
    <row r="720" spans="2:11">
      <c r="B720" s="71"/>
      <c r="E720" s="71"/>
      <c r="H720" s="71"/>
      <c r="K720" s="71"/>
    </row>
    <row r="721" spans="2:11">
      <c r="B721" s="71"/>
      <c r="E721" s="71"/>
      <c r="H721" s="71"/>
      <c r="K721" s="71"/>
    </row>
    <row r="722" spans="2:11">
      <c r="B722" s="71"/>
      <c r="E722" s="71"/>
      <c r="H722" s="71"/>
      <c r="K722" s="71"/>
    </row>
    <row r="723" spans="2:11">
      <c r="B723" s="71"/>
      <c r="E723" s="71"/>
      <c r="H723" s="71"/>
      <c r="K723" s="71"/>
    </row>
    <row r="724" spans="2:11">
      <c r="B724" s="71"/>
      <c r="E724" s="71"/>
      <c r="H724" s="71"/>
      <c r="K724" s="71"/>
    </row>
    <row r="725" spans="2:11">
      <c r="B725" s="71"/>
      <c r="E725" s="71"/>
      <c r="H725" s="71"/>
      <c r="K725" s="71"/>
    </row>
    <row r="726" spans="2:11">
      <c r="B726" s="71"/>
      <c r="E726" s="71"/>
      <c r="H726" s="71"/>
      <c r="K726" s="71"/>
    </row>
    <row r="727" spans="2:11">
      <c r="B727" s="71"/>
      <c r="E727" s="71"/>
      <c r="H727" s="71"/>
      <c r="K727" s="71"/>
    </row>
    <row r="728" spans="2:11">
      <c r="B728" s="71"/>
      <c r="E728" s="71"/>
      <c r="H728" s="71"/>
      <c r="K728" s="71"/>
    </row>
    <row r="729" spans="2:11">
      <c r="B729" s="71"/>
      <c r="E729" s="71"/>
      <c r="H729" s="71"/>
      <c r="K729" s="71"/>
    </row>
    <row r="730" spans="2:11">
      <c r="B730" s="71"/>
      <c r="E730" s="71"/>
      <c r="H730" s="71"/>
      <c r="K730" s="71"/>
    </row>
    <row r="731" spans="2:11">
      <c r="B731" s="71"/>
      <c r="E731" s="71"/>
      <c r="H731" s="71"/>
      <c r="K731" s="71"/>
    </row>
    <row r="732" spans="2:11">
      <c r="B732" s="71"/>
      <c r="E732" s="71"/>
      <c r="H732" s="71"/>
      <c r="K732" s="71"/>
    </row>
    <row r="733" spans="2:11">
      <c r="B733" s="71"/>
      <c r="E733" s="71"/>
      <c r="H733" s="71"/>
      <c r="K733" s="71"/>
    </row>
    <row r="734" spans="2:11">
      <c r="B734" s="71"/>
      <c r="E734" s="71"/>
      <c r="H734" s="71"/>
      <c r="K734" s="71"/>
    </row>
    <row r="735" spans="2:11">
      <c r="B735" s="71"/>
      <c r="E735" s="71"/>
      <c r="H735" s="71"/>
      <c r="K735" s="71"/>
    </row>
    <row r="736" spans="2:11">
      <c r="B736" s="71"/>
      <c r="E736" s="71"/>
      <c r="H736" s="71"/>
      <c r="K736" s="71"/>
    </row>
    <row r="737" spans="2:11">
      <c r="B737" s="71"/>
      <c r="E737" s="71"/>
      <c r="H737" s="71"/>
      <c r="K737" s="71"/>
    </row>
    <row r="738" spans="2:11">
      <c r="B738" s="71"/>
      <c r="E738" s="71"/>
      <c r="H738" s="71"/>
      <c r="K738" s="71"/>
    </row>
    <row r="739" spans="2:11">
      <c r="B739" s="71"/>
      <c r="E739" s="71"/>
      <c r="H739" s="71"/>
      <c r="K739" s="71"/>
    </row>
    <row r="740" spans="2:11">
      <c r="B740" s="71"/>
      <c r="E740" s="71"/>
      <c r="H740" s="71"/>
      <c r="K740" s="71"/>
    </row>
    <row r="741" spans="2:11">
      <c r="B741" s="71"/>
      <c r="E741" s="71"/>
      <c r="H741" s="71"/>
      <c r="K741" s="71"/>
    </row>
    <row r="742" spans="2:11">
      <c r="B742" s="71"/>
      <c r="E742" s="71"/>
      <c r="H742" s="71"/>
      <c r="K742" s="71"/>
    </row>
    <row r="743" spans="2:11">
      <c r="B743" s="71"/>
      <c r="E743" s="71"/>
      <c r="H743" s="71"/>
      <c r="K743" s="71"/>
    </row>
    <row r="744" spans="2:11">
      <c r="B744" s="71"/>
      <c r="E744" s="71"/>
      <c r="H744" s="71"/>
      <c r="K744" s="71"/>
    </row>
    <row r="745" spans="2:11">
      <c r="B745" s="71"/>
      <c r="E745" s="71"/>
      <c r="H745" s="71"/>
      <c r="K745" s="71"/>
    </row>
    <row r="746" spans="2:11">
      <c r="B746" s="71"/>
      <c r="E746" s="71"/>
      <c r="H746" s="71"/>
      <c r="K746" s="71"/>
    </row>
    <row r="747" spans="2:11">
      <c r="B747" s="71"/>
      <c r="E747" s="71"/>
      <c r="H747" s="71"/>
      <c r="K747" s="71"/>
    </row>
    <row r="748" spans="2:11">
      <c r="B748" s="71"/>
      <c r="E748" s="71"/>
      <c r="H748" s="71"/>
      <c r="K748" s="71"/>
    </row>
    <row r="749" spans="2:11">
      <c r="B749" s="71"/>
      <c r="E749" s="71"/>
      <c r="H749" s="71"/>
      <c r="K749" s="71"/>
    </row>
    <row r="750" spans="2:11">
      <c r="B750" s="71"/>
      <c r="E750" s="71"/>
      <c r="H750" s="71"/>
      <c r="K750" s="71"/>
    </row>
    <row r="751" spans="2:11">
      <c r="B751" s="71"/>
      <c r="E751" s="71"/>
      <c r="H751" s="71"/>
      <c r="K751" s="71"/>
    </row>
    <row r="752" spans="2:11">
      <c r="B752" s="71"/>
      <c r="E752" s="71"/>
      <c r="H752" s="71"/>
      <c r="K752" s="71"/>
    </row>
    <row r="753" spans="2:11">
      <c r="B753" s="71"/>
      <c r="E753" s="71"/>
      <c r="H753" s="71"/>
      <c r="K753" s="71"/>
    </row>
    <row r="754" spans="2:11">
      <c r="B754" s="71"/>
      <c r="E754" s="71"/>
      <c r="H754" s="71"/>
      <c r="K754" s="71"/>
    </row>
    <row r="755" spans="2:11">
      <c r="B755" s="71"/>
      <c r="E755" s="71"/>
      <c r="H755" s="71"/>
      <c r="K755" s="71"/>
    </row>
    <row r="756" spans="2:11">
      <c r="B756" s="71"/>
      <c r="E756" s="71"/>
      <c r="H756" s="71"/>
      <c r="K756" s="71"/>
    </row>
    <row r="757" spans="2:11">
      <c r="B757" s="71"/>
      <c r="E757" s="71"/>
      <c r="H757" s="71"/>
      <c r="K757" s="71"/>
    </row>
    <row r="758" spans="2:11">
      <c r="B758" s="71"/>
      <c r="E758" s="71"/>
      <c r="H758" s="71"/>
      <c r="K758" s="71"/>
    </row>
    <row r="759" spans="2:11">
      <c r="B759" s="71"/>
      <c r="E759" s="71"/>
      <c r="H759" s="71"/>
      <c r="K759" s="71"/>
    </row>
    <row r="760" spans="2:11">
      <c r="B760" s="71"/>
      <c r="E760" s="71"/>
      <c r="H760" s="71"/>
      <c r="K760" s="71"/>
    </row>
    <row r="761" spans="2:11">
      <c r="B761" s="71"/>
      <c r="E761" s="71"/>
      <c r="H761" s="71"/>
      <c r="K761" s="71"/>
    </row>
    <row r="762" spans="2:11">
      <c r="B762" s="71"/>
      <c r="E762" s="71"/>
      <c r="H762" s="71"/>
      <c r="K762" s="71"/>
    </row>
    <row r="763" spans="2:11">
      <c r="B763" s="71"/>
      <c r="E763" s="71"/>
      <c r="H763" s="71"/>
      <c r="K763" s="71"/>
    </row>
    <row r="764" spans="2:11">
      <c r="B764" s="71"/>
      <c r="E764" s="71"/>
      <c r="H764" s="71"/>
      <c r="K764" s="71"/>
    </row>
    <row r="765" spans="2:11">
      <c r="B765" s="71"/>
      <c r="E765" s="71"/>
      <c r="H765" s="71"/>
      <c r="K765" s="71"/>
    </row>
    <row r="766" spans="2:11">
      <c r="B766" s="71"/>
      <c r="E766" s="71"/>
      <c r="H766" s="71"/>
      <c r="K766" s="71"/>
    </row>
    <row r="767" spans="2:11">
      <c r="B767" s="71"/>
      <c r="E767" s="71"/>
      <c r="H767" s="71"/>
      <c r="K767" s="71"/>
    </row>
    <row r="768" spans="2:11">
      <c r="B768" s="71"/>
      <c r="E768" s="71"/>
      <c r="H768" s="71"/>
      <c r="K768" s="71"/>
    </row>
    <row r="769" spans="2:11">
      <c r="B769" s="71"/>
      <c r="E769" s="71"/>
      <c r="H769" s="71"/>
      <c r="K769" s="71"/>
    </row>
    <row r="770" spans="2:11">
      <c r="B770" s="71"/>
      <c r="E770" s="71"/>
      <c r="H770" s="71"/>
      <c r="K770" s="71"/>
    </row>
    <row r="771" spans="2:11">
      <c r="B771" s="71"/>
      <c r="E771" s="71"/>
      <c r="H771" s="71"/>
      <c r="K771" s="71"/>
    </row>
    <row r="772" spans="2:11">
      <c r="B772" s="71"/>
      <c r="E772" s="71"/>
      <c r="H772" s="71"/>
      <c r="K772" s="71"/>
    </row>
    <row r="773" spans="2:11">
      <c r="B773" s="71"/>
      <c r="E773" s="71"/>
      <c r="H773" s="71"/>
      <c r="K773" s="71"/>
    </row>
    <row r="774" spans="2:11">
      <c r="B774" s="71"/>
      <c r="E774" s="71"/>
      <c r="H774" s="71"/>
      <c r="K774" s="71"/>
    </row>
    <row r="775" spans="2:11">
      <c r="B775" s="71"/>
      <c r="E775" s="71"/>
      <c r="H775" s="71"/>
      <c r="K775" s="71"/>
    </row>
    <row r="776" spans="2:11">
      <c r="B776" s="71"/>
      <c r="E776" s="71"/>
      <c r="H776" s="71"/>
      <c r="K776" s="71"/>
    </row>
    <row r="777" spans="2:11">
      <c r="B777" s="71"/>
      <c r="E777" s="71"/>
      <c r="H777" s="71"/>
      <c r="K777" s="71"/>
    </row>
    <row r="778" spans="2:11">
      <c r="B778" s="71"/>
      <c r="E778" s="71"/>
      <c r="H778" s="71"/>
      <c r="K778" s="71"/>
    </row>
    <row r="779" spans="2:11">
      <c r="B779" s="71"/>
      <c r="E779" s="71"/>
      <c r="H779" s="71"/>
      <c r="K779" s="71"/>
    </row>
    <row r="780" spans="2:11">
      <c r="B780" s="71"/>
      <c r="E780" s="71"/>
      <c r="H780" s="71"/>
      <c r="K780" s="71"/>
    </row>
    <row r="781" spans="2:11">
      <c r="B781" s="71"/>
      <c r="E781" s="71"/>
      <c r="H781" s="71"/>
      <c r="K781" s="71"/>
    </row>
    <row r="782" spans="2:11">
      <c r="B782" s="71"/>
      <c r="E782" s="71"/>
      <c r="H782" s="71"/>
      <c r="K782" s="71"/>
    </row>
    <row r="783" spans="2:11">
      <c r="B783" s="71"/>
      <c r="E783" s="71"/>
      <c r="H783" s="71"/>
      <c r="K783" s="71"/>
    </row>
    <row r="784" spans="2:11">
      <c r="B784" s="71"/>
      <c r="E784" s="71"/>
      <c r="H784" s="71"/>
      <c r="K784" s="71"/>
    </row>
    <row r="785" spans="2:11">
      <c r="B785" s="71"/>
      <c r="E785" s="71"/>
      <c r="H785" s="71"/>
      <c r="K785" s="71"/>
    </row>
    <row r="786" spans="2:11">
      <c r="B786" s="71"/>
      <c r="E786" s="71"/>
      <c r="H786" s="71"/>
      <c r="K786" s="71"/>
    </row>
    <row r="787" spans="2:11">
      <c r="B787" s="71"/>
      <c r="E787" s="71"/>
      <c r="H787" s="71"/>
      <c r="K787" s="71"/>
    </row>
    <row r="788" spans="2:11">
      <c r="B788" s="71"/>
      <c r="E788" s="71"/>
      <c r="H788" s="71"/>
      <c r="K788" s="71"/>
    </row>
    <row r="789" spans="2:11">
      <c r="B789" s="71"/>
      <c r="E789" s="71"/>
      <c r="H789" s="71"/>
      <c r="K789" s="71"/>
    </row>
    <row r="790" spans="2:11">
      <c r="B790" s="71"/>
      <c r="E790" s="71"/>
      <c r="H790" s="71"/>
      <c r="K790" s="71"/>
    </row>
    <row r="791" spans="2:11">
      <c r="B791" s="71"/>
      <c r="E791" s="71"/>
      <c r="H791" s="71"/>
      <c r="K791" s="71"/>
    </row>
    <row r="792" spans="2:11">
      <c r="B792" s="71"/>
      <c r="E792" s="71"/>
      <c r="H792" s="71"/>
      <c r="K792" s="71"/>
    </row>
    <row r="793" spans="2:11">
      <c r="B793" s="71"/>
      <c r="E793" s="71"/>
      <c r="H793" s="71"/>
      <c r="K793" s="71"/>
    </row>
    <row r="794" spans="2:11">
      <c r="B794" s="71"/>
      <c r="E794" s="71"/>
      <c r="H794" s="71"/>
      <c r="K794" s="71"/>
    </row>
    <row r="795" spans="2:11">
      <c r="B795" s="71"/>
      <c r="E795" s="71"/>
      <c r="H795" s="71"/>
      <c r="K795" s="71"/>
    </row>
    <row r="796" spans="2:11">
      <c r="B796" s="71"/>
      <c r="E796" s="71"/>
      <c r="H796" s="71"/>
      <c r="K796" s="71"/>
    </row>
    <row r="797" spans="2:11">
      <c r="B797" s="71"/>
      <c r="E797" s="71"/>
      <c r="H797" s="71"/>
      <c r="K797" s="71"/>
    </row>
    <row r="798" spans="2:11">
      <c r="B798" s="71"/>
      <c r="E798" s="71"/>
      <c r="H798" s="71"/>
      <c r="K798" s="71"/>
    </row>
    <row r="799" spans="2:11">
      <c r="B799" s="71"/>
      <c r="E799" s="71"/>
      <c r="H799" s="71"/>
      <c r="K799" s="71"/>
    </row>
    <row r="800" spans="2:11">
      <c r="B800" s="71"/>
      <c r="E800" s="71"/>
      <c r="H800" s="71"/>
      <c r="K800" s="71"/>
    </row>
    <row r="801" spans="2:11">
      <c r="B801" s="71"/>
      <c r="E801" s="71"/>
      <c r="H801" s="71"/>
      <c r="K801" s="71"/>
    </row>
    <row r="802" spans="2:11">
      <c r="B802" s="71"/>
      <c r="E802" s="71"/>
      <c r="H802" s="71"/>
      <c r="K802" s="71"/>
    </row>
    <row r="803" spans="2:11">
      <c r="B803" s="71"/>
      <c r="E803" s="71"/>
      <c r="H803" s="71"/>
      <c r="K803" s="71"/>
    </row>
    <row r="804" spans="2:11">
      <c r="B804" s="71"/>
      <c r="E804" s="71"/>
      <c r="H804" s="71"/>
      <c r="K804" s="71"/>
    </row>
    <row r="805" spans="2:11">
      <c r="E805" s="71"/>
      <c r="H805" s="71"/>
      <c r="K805" s="71"/>
    </row>
    <row r="806" spans="2:11">
      <c r="B806" s="71"/>
      <c r="E806" s="71"/>
      <c r="H806" s="71"/>
      <c r="K806" s="71"/>
    </row>
    <row r="807" spans="2:11">
      <c r="B807" s="71"/>
      <c r="E807" s="71"/>
      <c r="H807" s="71"/>
      <c r="K807" s="71"/>
    </row>
    <row r="808" spans="2:11">
      <c r="B808" s="71"/>
      <c r="E808" s="71"/>
      <c r="H808" s="71"/>
      <c r="K808" s="71"/>
    </row>
    <row r="809" spans="2:11">
      <c r="B809" s="71"/>
      <c r="E809" s="71"/>
      <c r="H809" s="71"/>
      <c r="K809" s="71"/>
    </row>
    <row r="810" spans="2:11">
      <c r="B810" s="71"/>
      <c r="E810" s="71"/>
      <c r="H810" s="71"/>
      <c r="K810" s="71"/>
    </row>
    <row r="811" spans="2:11">
      <c r="B811" s="71"/>
      <c r="E811" s="71"/>
      <c r="H811" s="71"/>
      <c r="K811" s="71"/>
    </row>
    <row r="812" spans="2:11">
      <c r="B812" s="71"/>
      <c r="E812" s="71"/>
      <c r="H812" s="71"/>
      <c r="K812" s="71"/>
    </row>
    <row r="813" spans="2:11">
      <c r="B813" s="71"/>
      <c r="E813" s="71"/>
      <c r="H813" s="71"/>
      <c r="K813" s="71"/>
    </row>
    <row r="814" spans="2:11">
      <c r="B814" s="71"/>
      <c r="E814" s="71"/>
      <c r="H814" s="71"/>
      <c r="K814" s="71"/>
    </row>
    <row r="815" spans="2:11">
      <c r="B815" s="71"/>
      <c r="E815" s="71"/>
      <c r="H815" s="71"/>
      <c r="K815" s="71"/>
    </row>
    <row r="816" spans="2:11">
      <c r="B816" s="71"/>
      <c r="E816" s="71"/>
      <c r="H816" s="71"/>
      <c r="K816" s="71"/>
    </row>
    <row r="817" spans="2:11">
      <c r="B817" s="71"/>
      <c r="E817" s="71"/>
      <c r="H817" s="71"/>
      <c r="K817" s="71"/>
    </row>
    <row r="818" spans="2:11">
      <c r="B818" s="71"/>
      <c r="E818" s="71"/>
      <c r="H818" s="71"/>
      <c r="K818" s="71"/>
    </row>
    <row r="819" spans="2:11">
      <c r="B819" s="71"/>
      <c r="E819" s="71"/>
      <c r="H819" s="71"/>
      <c r="K819" s="71"/>
    </row>
    <row r="820" spans="2:11">
      <c r="B820" s="71"/>
      <c r="E820" s="71"/>
      <c r="H820" s="71"/>
      <c r="K820" s="71"/>
    </row>
    <row r="821" spans="2:11">
      <c r="B821" s="71"/>
      <c r="E821" s="71"/>
      <c r="H821" s="71"/>
      <c r="K821" s="71"/>
    </row>
    <row r="822" spans="2:11">
      <c r="B822" s="71"/>
      <c r="E822" s="71"/>
      <c r="H822" s="71"/>
      <c r="K822" s="71"/>
    </row>
    <row r="823" spans="2:11">
      <c r="B823" s="71"/>
      <c r="E823" s="71"/>
      <c r="H823" s="71"/>
      <c r="K823" s="71"/>
    </row>
    <row r="824" spans="2:11">
      <c r="B824" s="71"/>
      <c r="E824" s="71"/>
      <c r="H824" s="71"/>
      <c r="K824" s="71"/>
    </row>
    <row r="825" spans="2:11">
      <c r="B825" s="71"/>
      <c r="E825" s="71"/>
      <c r="H825" s="71"/>
      <c r="K825" s="71"/>
    </row>
    <row r="826" spans="2:11">
      <c r="B826" s="71"/>
      <c r="E826" s="71"/>
      <c r="H826" s="71"/>
      <c r="K826" s="71"/>
    </row>
    <row r="827" spans="2:11">
      <c r="B827" s="71"/>
      <c r="E827" s="71"/>
      <c r="H827" s="71"/>
      <c r="K827" s="71"/>
    </row>
    <row r="828" spans="2:11">
      <c r="B828" s="71"/>
      <c r="E828" s="71"/>
      <c r="H828" s="71"/>
      <c r="K828" s="71"/>
    </row>
    <row r="829" spans="2:11">
      <c r="B829" s="71"/>
      <c r="E829" s="71"/>
      <c r="H829" s="71"/>
      <c r="K829" s="71"/>
    </row>
    <row r="830" spans="2:11">
      <c r="B830" s="71"/>
      <c r="E830" s="71"/>
      <c r="H830" s="71"/>
      <c r="K830" s="71"/>
    </row>
    <row r="831" spans="2:11">
      <c r="B831" s="71"/>
      <c r="E831" s="71"/>
      <c r="H831" s="71"/>
      <c r="K831" s="71"/>
    </row>
    <row r="832" spans="2:11">
      <c r="B832" s="71"/>
      <c r="E832" s="71"/>
      <c r="H832" s="71"/>
      <c r="K832" s="71"/>
    </row>
    <row r="833" spans="2:11">
      <c r="B833" s="71"/>
      <c r="E833" s="71"/>
      <c r="H833" s="71"/>
      <c r="K833" s="71"/>
    </row>
    <row r="834" spans="2:11">
      <c r="B834" s="71"/>
      <c r="E834" s="71"/>
      <c r="H834" s="71"/>
      <c r="K834" s="71"/>
    </row>
    <row r="835" spans="2:11">
      <c r="B835" s="71"/>
      <c r="E835" s="71"/>
      <c r="H835" s="71"/>
      <c r="K835" s="71"/>
    </row>
    <row r="836" spans="2:11">
      <c r="B836" s="71"/>
      <c r="E836" s="71"/>
      <c r="H836" s="71"/>
      <c r="K836" s="71"/>
    </row>
    <row r="837" spans="2:11">
      <c r="B837" s="71"/>
      <c r="E837" s="71"/>
      <c r="H837" s="71"/>
      <c r="K837" s="71"/>
    </row>
    <row r="838" spans="2:11">
      <c r="B838" s="71"/>
      <c r="E838" s="71"/>
      <c r="H838" s="71"/>
      <c r="K838" s="71"/>
    </row>
    <row r="839" spans="2:11">
      <c r="B839" s="71"/>
      <c r="E839" s="71"/>
      <c r="H839" s="71"/>
      <c r="K839" s="71"/>
    </row>
    <row r="840" spans="2:11">
      <c r="B840" s="71"/>
      <c r="E840" s="71"/>
      <c r="H840" s="71"/>
      <c r="K840" s="71"/>
    </row>
    <row r="841" spans="2:11">
      <c r="B841" s="71"/>
      <c r="E841" s="71"/>
      <c r="H841" s="71"/>
      <c r="K841" s="71"/>
    </row>
    <row r="842" spans="2:11">
      <c r="B842" s="71"/>
      <c r="E842" s="71"/>
      <c r="H842" s="71"/>
      <c r="K842" s="71"/>
    </row>
    <row r="843" spans="2:11">
      <c r="B843" s="71"/>
      <c r="E843" s="71"/>
      <c r="K843" s="71"/>
    </row>
    <row r="844" spans="2:11">
      <c r="B844" s="71"/>
      <c r="E844" s="71"/>
      <c r="H844" s="71"/>
      <c r="K844" s="71"/>
    </row>
    <row r="845" spans="2:11">
      <c r="B845" s="71"/>
      <c r="E845" s="71"/>
      <c r="H845" s="71"/>
      <c r="K845" s="71"/>
    </row>
    <row r="846" spans="2:11">
      <c r="B846" s="71"/>
      <c r="E846" s="71"/>
      <c r="H846" s="71"/>
      <c r="K846" s="71"/>
    </row>
    <row r="847" spans="2:11">
      <c r="B847" s="71"/>
      <c r="E847" s="71"/>
      <c r="H847" s="71"/>
      <c r="K847" s="71"/>
    </row>
    <row r="848" spans="2:11">
      <c r="B848" s="71"/>
      <c r="E848" s="71"/>
      <c r="H848" s="71"/>
      <c r="K848" s="71"/>
    </row>
    <row r="849" spans="2:11">
      <c r="B849" s="71"/>
      <c r="E849" s="71"/>
      <c r="H849" s="71"/>
      <c r="K849" s="71"/>
    </row>
    <row r="850" spans="2:11">
      <c r="B850" s="71"/>
      <c r="E850" s="71"/>
      <c r="H850" s="71"/>
      <c r="K850" s="71"/>
    </row>
    <row r="851" spans="2:11">
      <c r="B851" s="71"/>
      <c r="E851" s="71"/>
      <c r="H851" s="71"/>
      <c r="K851" s="71"/>
    </row>
    <row r="852" spans="2:11">
      <c r="B852" s="71"/>
      <c r="E852" s="71"/>
      <c r="H852" s="71"/>
      <c r="K852" s="71"/>
    </row>
    <row r="853" spans="2:11">
      <c r="B853" s="71"/>
      <c r="E853" s="71"/>
      <c r="H853" s="71"/>
      <c r="K853" s="71"/>
    </row>
    <row r="854" spans="2:11">
      <c r="B854" s="71"/>
      <c r="E854" s="71"/>
      <c r="H854" s="71"/>
      <c r="K854" s="71"/>
    </row>
    <row r="855" spans="2:11">
      <c r="B855" s="71"/>
      <c r="E855" s="71"/>
      <c r="H855" s="71"/>
      <c r="K855" s="71"/>
    </row>
    <row r="856" spans="2:11">
      <c r="B856" s="71"/>
      <c r="E856" s="71"/>
      <c r="H856" s="71"/>
      <c r="K856" s="71"/>
    </row>
    <row r="857" spans="2:11">
      <c r="B857" s="71"/>
      <c r="E857" s="71"/>
      <c r="H857" s="71"/>
      <c r="K857" s="71"/>
    </row>
    <row r="858" spans="2:11">
      <c r="B858" s="71"/>
      <c r="E858" s="71"/>
      <c r="H858" s="71"/>
      <c r="K858" s="71"/>
    </row>
    <row r="859" spans="2:11">
      <c r="B859" s="71"/>
      <c r="E859" s="71"/>
      <c r="H859" s="71"/>
      <c r="K859" s="71"/>
    </row>
    <row r="860" spans="2:11">
      <c r="B860" s="71"/>
      <c r="E860" s="71"/>
      <c r="H860" s="71"/>
      <c r="K860" s="71"/>
    </row>
    <row r="861" spans="2:11">
      <c r="B861" s="71"/>
      <c r="E861" s="71"/>
      <c r="H861" s="71"/>
      <c r="K861" s="71"/>
    </row>
    <row r="862" spans="2:11">
      <c r="B862" s="71"/>
      <c r="E862" s="71"/>
      <c r="H862" s="71"/>
      <c r="K862" s="71"/>
    </row>
    <row r="863" spans="2:11">
      <c r="B863" s="71"/>
      <c r="E863" s="71"/>
      <c r="H863" s="71"/>
      <c r="K863" s="71"/>
    </row>
    <row r="864" spans="2:11">
      <c r="B864" s="71"/>
      <c r="E864" s="71"/>
      <c r="H864" s="71"/>
      <c r="K864" s="71"/>
    </row>
    <row r="865" spans="2:11">
      <c r="B865" s="71"/>
      <c r="E865" s="71"/>
      <c r="H865" s="71"/>
      <c r="K865" s="71"/>
    </row>
    <row r="866" spans="2:11">
      <c r="B866" s="71"/>
      <c r="E866" s="71"/>
      <c r="H866" s="71"/>
      <c r="K866" s="71"/>
    </row>
    <row r="867" spans="2:11">
      <c r="B867" s="71"/>
      <c r="E867" s="71"/>
      <c r="H867" s="71"/>
      <c r="K867" s="71"/>
    </row>
    <row r="868" spans="2:11">
      <c r="B868" s="71"/>
      <c r="E868" s="71"/>
      <c r="H868" s="71"/>
      <c r="K868" s="71"/>
    </row>
    <row r="869" spans="2:11">
      <c r="B869" s="71"/>
      <c r="E869" s="71"/>
      <c r="H869" s="71"/>
      <c r="K869" s="71"/>
    </row>
    <row r="870" spans="2:11">
      <c r="B870" s="71"/>
      <c r="E870" s="71"/>
      <c r="H870" s="71"/>
      <c r="K870" s="71"/>
    </row>
    <row r="871" spans="2:11">
      <c r="B871" s="71"/>
      <c r="E871" s="71"/>
      <c r="H871" s="71"/>
      <c r="K871" s="71"/>
    </row>
    <row r="872" spans="2:11">
      <c r="B872" s="71"/>
      <c r="E872" s="71"/>
      <c r="H872" s="71"/>
      <c r="K872" s="71"/>
    </row>
    <row r="873" spans="2:11">
      <c r="B873" s="71"/>
      <c r="E873" s="71"/>
      <c r="H873" s="71"/>
      <c r="K873" s="71"/>
    </row>
    <row r="874" spans="2:11">
      <c r="B874" s="71"/>
      <c r="E874" s="71"/>
      <c r="H874" s="71"/>
      <c r="K874" s="71"/>
    </row>
    <row r="875" spans="2:11">
      <c r="B875" s="71"/>
      <c r="E875" s="71"/>
      <c r="H875" s="71"/>
      <c r="K875" s="71"/>
    </row>
    <row r="876" spans="2:11">
      <c r="B876" s="71"/>
      <c r="E876" s="71"/>
      <c r="H876" s="71"/>
      <c r="K876" s="71"/>
    </row>
    <row r="877" spans="2:11">
      <c r="B877" s="71"/>
      <c r="E877" s="71"/>
      <c r="H877" s="71"/>
      <c r="K877" s="71"/>
    </row>
    <row r="878" spans="2:11">
      <c r="B878" s="71"/>
      <c r="E878" s="71"/>
      <c r="H878" s="71"/>
      <c r="K878" s="71"/>
    </row>
    <row r="879" spans="2:11">
      <c r="B879" s="71"/>
      <c r="E879" s="71"/>
      <c r="H879" s="71"/>
      <c r="K879" s="71"/>
    </row>
    <row r="880" spans="2:11">
      <c r="B880" s="71"/>
      <c r="E880" s="71"/>
      <c r="H880" s="71"/>
      <c r="K880" s="71"/>
    </row>
    <row r="881" spans="2:11">
      <c r="B881" s="71"/>
      <c r="E881" s="71"/>
      <c r="H881" s="71"/>
      <c r="K881" s="71"/>
    </row>
    <row r="882" spans="2:11">
      <c r="B882" s="71"/>
      <c r="E882" s="71"/>
      <c r="H882" s="71"/>
      <c r="K882" s="71"/>
    </row>
    <row r="883" spans="2:11">
      <c r="B883" s="71"/>
      <c r="E883" s="71"/>
      <c r="H883" s="71"/>
      <c r="K883" s="71"/>
    </row>
    <row r="884" spans="2:11">
      <c r="B884" s="71"/>
      <c r="E884" s="71"/>
      <c r="H884" s="71"/>
      <c r="K884" s="71"/>
    </row>
    <row r="885" spans="2:11">
      <c r="B885" s="71"/>
      <c r="E885" s="71"/>
      <c r="H885" s="71"/>
      <c r="K885" s="71"/>
    </row>
    <row r="886" spans="2:11">
      <c r="B886" s="71"/>
      <c r="E886" s="71"/>
      <c r="H886" s="71"/>
      <c r="K886" s="71"/>
    </row>
    <row r="887" spans="2:11">
      <c r="B887" s="71"/>
      <c r="E887" s="71"/>
      <c r="H887" s="71"/>
      <c r="K887" s="71"/>
    </row>
    <row r="888" spans="2:11">
      <c r="B888" s="71"/>
      <c r="E888" s="71"/>
      <c r="H888" s="71"/>
      <c r="K888" s="71"/>
    </row>
    <row r="889" spans="2:11">
      <c r="B889" s="71"/>
      <c r="E889" s="71"/>
      <c r="H889" s="71"/>
      <c r="K889" s="71"/>
    </row>
    <row r="890" spans="2:11">
      <c r="B890" s="71"/>
      <c r="E890" s="71"/>
      <c r="H890" s="71"/>
      <c r="K890" s="71"/>
    </row>
    <row r="891" spans="2:11">
      <c r="B891" s="71"/>
      <c r="E891" s="71"/>
      <c r="H891" s="71"/>
      <c r="K891" s="71"/>
    </row>
    <row r="892" spans="2:11">
      <c r="B892" s="71"/>
      <c r="E892" s="71"/>
      <c r="H892" s="71"/>
      <c r="K892" s="71"/>
    </row>
    <row r="893" spans="2:11">
      <c r="B893" s="71"/>
      <c r="E893" s="71"/>
      <c r="H893" s="71"/>
      <c r="K893" s="71"/>
    </row>
    <row r="894" spans="2:11">
      <c r="B894" s="71"/>
      <c r="E894" s="71"/>
      <c r="H894" s="71"/>
      <c r="K894" s="71"/>
    </row>
    <row r="895" spans="2:11">
      <c r="B895" s="71"/>
      <c r="E895" s="71"/>
      <c r="H895" s="71"/>
      <c r="K895" s="71"/>
    </row>
    <row r="896" spans="2:11">
      <c r="B896" s="71"/>
      <c r="E896" s="71"/>
      <c r="H896" s="71"/>
      <c r="K896" s="71"/>
    </row>
    <row r="897" spans="2:11">
      <c r="B897" s="71"/>
      <c r="E897" s="71"/>
      <c r="H897" s="71"/>
      <c r="K897" s="71"/>
    </row>
    <row r="898" spans="2:11">
      <c r="B898" s="71"/>
      <c r="E898" s="71"/>
      <c r="H898" s="71"/>
      <c r="K898" s="71"/>
    </row>
    <row r="899" spans="2:11">
      <c r="B899" s="71"/>
      <c r="E899" s="71"/>
      <c r="H899" s="71"/>
      <c r="K899" s="71"/>
    </row>
    <row r="900" spans="2:11">
      <c r="B900" s="71"/>
      <c r="E900" s="71"/>
      <c r="H900" s="71"/>
      <c r="K900" s="71"/>
    </row>
    <row r="901" spans="2:11">
      <c r="B901" s="71"/>
      <c r="E901" s="71"/>
      <c r="H901" s="71"/>
      <c r="K901" s="71"/>
    </row>
    <row r="902" spans="2:11">
      <c r="B902" s="71"/>
      <c r="E902" s="71"/>
      <c r="H902" s="71"/>
      <c r="K902" s="71"/>
    </row>
    <row r="903" spans="2:11">
      <c r="B903" s="71"/>
      <c r="E903" s="71"/>
      <c r="H903" s="71"/>
      <c r="K903" s="71"/>
    </row>
    <row r="904" spans="2:11">
      <c r="B904" s="71"/>
      <c r="E904" s="71"/>
      <c r="H904" s="71"/>
      <c r="K904" s="71"/>
    </row>
    <row r="905" spans="2:11">
      <c r="B905" s="71"/>
      <c r="E905" s="71"/>
      <c r="H905" s="71"/>
      <c r="K905" s="71"/>
    </row>
    <row r="906" spans="2:11">
      <c r="B906" s="71"/>
      <c r="E906" s="71"/>
      <c r="H906" s="71"/>
      <c r="K906" s="71"/>
    </row>
    <row r="907" spans="2:11">
      <c r="B907" s="71"/>
      <c r="E907" s="71"/>
      <c r="H907" s="71"/>
      <c r="K907" s="71"/>
    </row>
    <row r="908" spans="2:11">
      <c r="B908" s="71"/>
      <c r="E908" s="71"/>
      <c r="H908" s="71"/>
      <c r="K908" s="71"/>
    </row>
    <row r="909" spans="2:11">
      <c r="B909" s="71"/>
      <c r="E909" s="71"/>
      <c r="H909" s="71"/>
      <c r="K909" s="71"/>
    </row>
    <row r="910" spans="2:11">
      <c r="B910" s="71"/>
      <c r="E910" s="71"/>
      <c r="H910" s="71"/>
      <c r="K910" s="71"/>
    </row>
    <row r="911" spans="2:11">
      <c r="B911" s="71"/>
      <c r="E911" s="71"/>
      <c r="H911" s="71"/>
      <c r="K911" s="71"/>
    </row>
    <row r="912" spans="2:11">
      <c r="B912" s="71"/>
      <c r="E912" s="71"/>
      <c r="H912" s="71"/>
      <c r="K912" s="71"/>
    </row>
    <row r="913" spans="2:11">
      <c r="B913" s="71"/>
      <c r="E913" s="71"/>
      <c r="H913" s="71"/>
      <c r="K913" s="71"/>
    </row>
    <row r="914" spans="2:11">
      <c r="B914" s="71"/>
      <c r="E914" s="71"/>
      <c r="H914" s="71"/>
      <c r="K914" s="71"/>
    </row>
    <row r="915" spans="2:11">
      <c r="B915" s="71"/>
      <c r="E915" s="71"/>
      <c r="H915" s="71"/>
      <c r="K915" s="71"/>
    </row>
    <row r="916" spans="2:11">
      <c r="B916" s="71"/>
      <c r="E916" s="71"/>
      <c r="H916" s="71"/>
      <c r="K916" s="71"/>
    </row>
    <row r="917" spans="2:11">
      <c r="B917" s="71"/>
      <c r="E917" s="71"/>
      <c r="H917" s="71"/>
      <c r="K917" s="71"/>
    </row>
    <row r="918" spans="2:11">
      <c r="B918" s="71"/>
      <c r="E918" s="71"/>
      <c r="H918" s="71"/>
      <c r="K918" s="71"/>
    </row>
    <row r="919" spans="2:11">
      <c r="B919" s="71"/>
      <c r="E919" s="71"/>
      <c r="H919" s="71"/>
      <c r="K919" s="71"/>
    </row>
    <row r="920" spans="2:11">
      <c r="B920" s="71"/>
      <c r="E920" s="71"/>
      <c r="H920" s="71"/>
      <c r="K920" s="71"/>
    </row>
    <row r="921" spans="2:11">
      <c r="B921" s="71"/>
      <c r="E921" s="71"/>
      <c r="H921" s="71"/>
      <c r="K921" s="71"/>
    </row>
    <row r="922" spans="2:11">
      <c r="B922" s="71"/>
      <c r="E922" s="71"/>
      <c r="H922" s="71"/>
      <c r="K922" s="71"/>
    </row>
    <row r="923" spans="2:11">
      <c r="B923" s="71"/>
      <c r="E923" s="71"/>
      <c r="H923" s="71"/>
      <c r="K923" s="71"/>
    </row>
    <row r="924" spans="2:11">
      <c r="B924" s="71"/>
      <c r="E924" s="71"/>
      <c r="H924" s="71"/>
      <c r="K924" s="71"/>
    </row>
    <row r="925" spans="2:11">
      <c r="B925" s="71"/>
      <c r="E925" s="71"/>
      <c r="H925" s="71"/>
      <c r="K925" s="71"/>
    </row>
    <row r="926" spans="2:11">
      <c r="B926" s="71"/>
      <c r="E926" s="71"/>
      <c r="H926" s="71"/>
      <c r="K926" s="71"/>
    </row>
    <row r="927" spans="2:11">
      <c r="B927" s="71"/>
      <c r="E927" s="71"/>
      <c r="H927" s="71"/>
      <c r="K927" s="71"/>
    </row>
    <row r="928" spans="2:11">
      <c r="B928" s="71"/>
      <c r="E928" s="71"/>
      <c r="H928" s="71"/>
      <c r="K928" s="71"/>
    </row>
    <row r="929" spans="2:11">
      <c r="B929" s="71"/>
      <c r="E929" s="71"/>
      <c r="H929" s="71"/>
      <c r="K929" s="71"/>
    </row>
    <row r="930" spans="2:11">
      <c r="B930" s="71"/>
      <c r="E930" s="71"/>
      <c r="H930" s="71"/>
      <c r="K930" s="71"/>
    </row>
    <row r="931" spans="2:11">
      <c r="B931" s="71"/>
      <c r="E931" s="71"/>
      <c r="H931" s="71"/>
      <c r="K931" s="71"/>
    </row>
    <row r="932" spans="2:11">
      <c r="B932" s="71"/>
      <c r="E932" s="71"/>
      <c r="H932" s="71"/>
      <c r="K932" s="71"/>
    </row>
    <row r="933" spans="2:11">
      <c r="B933" s="71"/>
      <c r="E933" s="71"/>
      <c r="H933" s="71"/>
      <c r="K933" s="71"/>
    </row>
    <row r="934" spans="2:11">
      <c r="B934" s="71"/>
      <c r="E934" s="71"/>
      <c r="H934" s="71"/>
      <c r="K934" s="71"/>
    </row>
    <row r="935" spans="2:11">
      <c r="B935" s="71"/>
      <c r="E935" s="71"/>
      <c r="H935" s="71"/>
      <c r="K935" s="71"/>
    </row>
    <row r="936" spans="2:11">
      <c r="B936" s="71"/>
      <c r="E936" s="71"/>
      <c r="H936" s="71"/>
      <c r="K936" s="71"/>
    </row>
    <row r="937" spans="2:11">
      <c r="B937" s="71"/>
      <c r="E937" s="71"/>
      <c r="H937" s="71"/>
      <c r="K937" s="71"/>
    </row>
    <row r="938" spans="2:11">
      <c r="B938" s="71"/>
      <c r="E938" s="71"/>
      <c r="H938" s="71"/>
      <c r="K938" s="71"/>
    </row>
    <row r="939" spans="2:11">
      <c r="B939" s="71"/>
      <c r="E939" s="71"/>
      <c r="H939" s="71"/>
      <c r="K939" s="71"/>
    </row>
    <row r="940" spans="2:11">
      <c r="B940" s="71"/>
      <c r="E940" s="71"/>
      <c r="H940" s="71"/>
      <c r="K940" s="71"/>
    </row>
    <row r="941" spans="2:11">
      <c r="B941" s="71"/>
      <c r="E941" s="71"/>
      <c r="H941" s="71"/>
      <c r="K941" s="71"/>
    </row>
    <row r="942" spans="2:11">
      <c r="B942" s="71"/>
      <c r="E942" s="71"/>
      <c r="H942" s="71"/>
      <c r="K942" s="71"/>
    </row>
    <row r="943" spans="2:11">
      <c r="B943" s="71"/>
      <c r="E943" s="71"/>
      <c r="H943" s="71"/>
      <c r="K943" s="71"/>
    </row>
    <row r="944" spans="2:11">
      <c r="B944" s="71"/>
      <c r="E944" s="71"/>
      <c r="H944" s="71"/>
      <c r="K944" s="71"/>
    </row>
    <row r="945" spans="2:11">
      <c r="B945" s="71"/>
      <c r="E945" s="71"/>
      <c r="H945" s="71"/>
      <c r="K945" s="71"/>
    </row>
    <row r="946" spans="2:11">
      <c r="B946" s="71"/>
      <c r="E946" s="71"/>
      <c r="H946" s="71"/>
      <c r="K946" s="71"/>
    </row>
    <row r="947" spans="2:11">
      <c r="B947" s="71"/>
      <c r="E947" s="71"/>
      <c r="H947" s="71"/>
      <c r="K947" s="71"/>
    </row>
    <row r="948" spans="2:11">
      <c r="B948" s="71"/>
      <c r="E948" s="71"/>
      <c r="H948" s="71"/>
      <c r="K948" s="71"/>
    </row>
    <row r="949" spans="2:11">
      <c r="B949" s="71"/>
      <c r="E949" s="71"/>
      <c r="H949" s="71"/>
      <c r="K949" s="71"/>
    </row>
    <row r="950" spans="2:11">
      <c r="B950" s="71"/>
      <c r="E950" s="71"/>
      <c r="H950" s="71"/>
      <c r="K950" s="71"/>
    </row>
    <row r="951" spans="2:11">
      <c r="B951" s="71"/>
      <c r="E951" s="71"/>
      <c r="H951" s="71"/>
      <c r="K951" s="71"/>
    </row>
    <row r="952" spans="2:11">
      <c r="B952" s="71"/>
      <c r="E952" s="71"/>
      <c r="H952" s="71"/>
      <c r="K952" s="71"/>
    </row>
    <row r="953" spans="2:11">
      <c r="B953" s="71"/>
      <c r="E953" s="71"/>
      <c r="H953" s="71"/>
      <c r="K953" s="71"/>
    </row>
    <row r="954" spans="2:11">
      <c r="B954" s="71"/>
      <c r="E954" s="71"/>
      <c r="H954" s="71"/>
      <c r="K954" s="71"/>
    </row>
    <row r="955" spans="2:11">
      <c r="B955" s="71"/>
      <c r="E955" s="71"/>
      <c r="H955" s="71"/>
      <c r="K955" s="71"/>
    </row>
    <row r="956" spans="2:11">
      <c r="B956" s="71"/>
      <c r="E956" s="71"/>
      <c r="H956" s="71"/>
      <c r="K956" s="71"/>
    </row>
    <row r="957" spans="2:11">
      <c r="B957" s="71"/>
      <c r="E957" s="71"/>
      <c r="H957" s="71"/>
      <c r="K957" s="71"/>
    </row>
    <row r="958" spans="2:11">
      <c r="B958" s="71"/>
      <c r="E958" s="71"/>
      <c r="H958" s="71"/>
      <c r="K958" s="71"/>
    </row>
    <row r="959" spans="2:11">
      <c r="B959" s="71"/>
      <c r="E959" s="71"/>
      <c r="H959" s="71"/>
      <c r="K959" s="71"/>
    </row>
    <row r="960" spans="2:11">
      <c r="B960" s="71"/>
      <c r="E960" s="71"/>
      <c r="H960" s="71"/>
      <c r="K960" s="71"/>
    </row>
    <row r="961" spans="2:11">
      <c r="B961" s="71"/>
      <c r="E961" s="71"/>
      <c r="H961" s="71"/>
      <c r="K961" s="71"/>
    </row>
    <row r="962" spans="2:11">
      <c r="B962" s="71"/>
      <c r="E962" s="71"/>
      <c r="H962" s="71"/>
      <c r="K962" s="71"/>
    </row>
    <row r="963" spans="2:11">
      <c r="B963" s="71"/>
      <c r="E963" s="71"/>
      <c r="H963" s="71"/>
      <c r="K963" s="71"/>
    </row>
    <row r="964" spans="2:11">
      <c r="B964" s="71"/>
      <c r="E964" s="71"/>
      <c r="H964" s="71"/>
      <c r="K964" s="71"/>
    </row>
    <row r="965" spans="2:11">
      <c r="B965" s="71"/>
      <c r="E965" s="71"/>
      <c r="H965" s="71"/>
      <c r="K965" s="71"/>
    </row>
    <row r="966" spans="2:11">
      <c r="B966" s="71"/>
      <c r="E966" s="71"/>
      <c r="H966" s="71"/>
      <c r="K966" s="71"/>
    </row>
    <row r="967" spans="2:11">
      <c r="B967" s="71"/>
      <c r="E967" s="71"/>
      <c r="H967" s="71"/>
      <c r="K967" s="71"/>
    </row>
    <row r="968" spans="2:11">
      <c r="B968" s="71"/>
      <c r="E968" s="71"/>
      <c r="H968" s="71"/>
      <c r="K968" s="71"/>
    </row>
    <row r="969" spans="2:11">
      <c r="B969" s="71"/>
      <c r="E969" s="71"/>
      <c r="H969" s="71"/>
      <c r="K969" s="71"/>
    </row>
    <row r="970" spans="2:11">
      <c r="B970" s="71"/>
      <c r="E970" s="71"/>
      <c r="H970" s="71"/>
      <c r="K970" s="71"/>
    </row>
    <row r="971" spans="2:11">
      <c r="B971" s="71"/>
      <c r="E971" s="71"/>
      <c r="H971" s="71"/>
      <c r="K971" s="71"/>
    </row>
    <row r="972" spans="2:11">
      <c r="B972" s="71"/>
      <c r="E972" s="71"/>
      <c r="H972" s="71"/>
      <c r="K972" s="71"/>
    </row>
    <row r="973" spans="2:11">
      <c r="B973" s="71"/>
      <c r="E973" s="71"/>
      <c r="H973" s="71"/>
      <c r="K973" s="71"/>
    </row>
    <row r="974" spans="2:11">
      <c r="B974" s="71"/>
      <c r="E974" s="71"/>
      <c r="H974" s="71"/>
      <c r="K974" s="71"/>
    </row>
    <row r="975" spans="2:11">
      <c r="B975" s="71"/>
      <c r="E975" s="71"/>
      <c r="H975" s="71"/>
      <c r="K975" s="71"/>
    </row>
    <row r="976" spans="2:11">
      <c r="B976" s="71"/>
      <c r="E976" s="71"/>
      <c r="H976" s="71"/>
      <c r="K976" s="71"/>
    </row>
    <row r="977" spans="2:11">
      <c r="B977" s="71"/>
      <c r="E977" s="71"/>
      <c r="H977" s="71"/>
      <c r="K977" s="71"/>
    </row>
    <row r="978" spans="2:11">
      <c r="B978" s="71"/>
      <c r="E978" s="71"/>
      <c r="H978" s="71"/>
      <c r="K978" s="71"/>
    </row>
    <row r="979" spans="2:11">
      <c r="B979" s="71"/>
      <c r="E979" s="71"/>
      <c r="H979" s="71"/>
      <c r="K979" s="71"/>
    </row>
    <row r="980" spans="2:11">
      <c r="B980" s="71"/>
      <c r="E980" s="71"/>
      <c r="H980" s="71"/>
      <c r="K980" s="71"/>
    </row>
    <row r="981" spans="2:11">
      <c r="B981" s="71"/>
      <c r="E981" s="71"/>
      <c r="H981" s="71"/>
      <c r="K981" s="71"/>
    </row>
    <row r="982" spans="2:11">
      <c r="B982" s="71"/>
      <c r="E982" s="71"/>
      <c r="H982" s="71"/>
      <c r="K982" s="71"/>
    </row>
    <row r="983" spans="2:11">
      <c r="B983" s="71"/>
      <c r="E983" s="71"/>
      <c r="H983" s="71"/>
      <c r="K983" s="71"/>
    </row>
    <row r="984" spans="2:11">
      <c r="B984" s="71"/>
      <c r="E984" s="71"/>
      <c r="H984" s="71"/>
      <c r="K984" s="71"/>
    </row>
    <row r="985" spans="2:11">
      <c r="B985" s="71"/>
      <c r="E985" s="71"/>
      <c r="H985" s="71"/>
      <c r="K985" s="71"/>
    </row>
    <row r="986" spans="2:11">
      <c r="B986" s="71"/>
      <c r="E986" s="71"/>
      <c r="H986" s="71"/>
      <c r="K986" s="71"/>
    </row>
    <row r="987" spans="2:11">
      <c r="B987" s="71"/>
      <c r="E987" s="71"/>
      <c r="H987" s="71"/>
      <c r="K987" s="71"/>
    </row>
    <row r="988" spans="2:11">
      <c r="B988" s="71"/>
      <c r="E988" s="71"/>
      <c r="H988" s="71"/>
      <c r="K988" s="71"/>
    </row>
    <row r="989" spans="2:11">
      <c r="B989" s="71"/>
      <c r="E989" s="71"/>
      <c r="H989" s="71"/>
      <c r="K989" s="71"/>
    </row>
    <row r="990" spans="2:11">
      <c r="B990" s="71"/>
      <c r="E990" s="71"/>
      <c r="H990" s="71"/>
      <c r="K990" s="71"/>
    </row>
    <row r="991" spans="2:11">
      <c r="B991" s="71"/>
      <c r="E991" s="71"/>
      <c r="H991" s="71"/>
      <c r="K991" s="71"/>
    </row>
    <row r="992" spans="2:11">
      <c r="B992" s="71"/>
      <c r="E992" s="71"/>
      <c r="H992" s="71"/>
      <c r="K992" s="71"/>
    </row>
    <row r="993" spans="2:11">
      <c r="B993" s="71"/>
      <c r="E993" s="71"/>
      <c r="H993" s="71"/>
      <c r="K993" s="71"/>
    </row>
    <row r="994" spans="2:11">
      <c r="B994" s="71"/>
      <c r="E994" s="71"/>
      <c r="H994" s="71"/>
      <c r="K994" s="71"/>
    </row>
    <row r="995" spans="2:11">
      <c r="B995" s="71"/>
      <c r="E995" s="71"/>
      <c r="H995" s="71"/>
      <c r="K995" s="71"/>
    </row>
    <row r="996" spans="2:11">
      <c r="B996" s="71"/>
      <c r="E996" s="71"/>
      <c r="H996" s="71"/>
      <c r="K996" s="71"/>
    </row>
    <row r="997" spans="2:11">
      <c r="B997" s="71"/>
      <c r="E997" s="71"/>
      <c r="H997" s="71"/>
      <c r="K997" s="71"/>
    </row>
    <row r="998" spans="2:11">
      <c r="B998" s="71"/>
      <c r="E998" s="71"/>
      <c r="H998" s="71"/>
      <c r="K998" s="71"/>
    </row>
    <row r="999" spans="2:11">
      <c r="B999" s="71"/>
      <c r="E999" s="71"/>
      <c r="H999" s="71"/>
      <c r="K999" s="71"/>
    </row>
    <row r="1000" spans="2:11">
      <c r="B1000" s="71"/>
      <c r="E1000" s="71"/>
      <c r="H1000" s="71"/>
      <c r="K1000" s="71"/>
    </row>
    <row r="1001" spans="2:11">
      <c r="B1001" s="71"/>
      <c r="E1001" s="71"/>
      <c r="H1001" s="71"/>
      <c r="K1001" s="71"/>
    </row>
    <row r="1002" spans="2:11">
      <c r="B1002" s="71"/>
      <c r="E1002" s="71"/>
      <c r="H1002" s="71"/>
      <c r="K1002" s="71"/>
    </row>
    <row r="1003" spans="2:11">
      <c r="B1003" s="71"/>
      <c r="E1003" s="71"/>
      <c r="H1003" s="71"/>
      <c r="K1003" s="71"/>
    </row>
    <row r="1004" spans="2:11">
      <c r="B1004" s="71"/>
      <c r="E1004" s="71"/>
      <c r="H1004" s="71"/>
      <c r="K1004" s="71"/>
    </row>
    <row r="1005" spans="2:11">
      <c r="B1005" s="71"/>
      <c r="E1005" s="71"/>
      <c r="H1005" s="71"/>
      <c r="K1005" s="71"/>
    </row>
    <row r="1006" spans="2:11">
      <c r="B1006" s="71"/>
      <c r="E1006" s="71"/>
      <c r="H1006" s="71"/>
      <c r="K1006" s="71"/>
    </row>
    <row r="1007" spans="2:11">
      <c r="B1007" s="71"/>
      <c r="E1007" s="71"/>
      <c r="H1007" s="71"/>
      <c r="K1007" s="71"/>
    </row>
    <row r="1008" spans="2:11">
      <c r="B1008" s="71"/>
      <c r="E1008" s="71"/>
      <c r="H1008" s="71"/>
      <c r="K1008" s="71"/>
    </row>
    <row r="1009" spans="2:11">
      <c r="B1009" s="71"/>
      <c r="E1009" s="71"/>
      <c r="H1009" s="71"/>
      <c r="K1009" s="71"/>
    </row>
    <row r="1010" spans="2:11">
      <c r="B1010" s="71"/>
      <c r="E1010" s="71"/>
      <c r="H1010" s="71"/>
      <c r="K1010" s="71"/>
    </row>
    <row r="1011" spans="2:11">
      <c r="B1011" s="71"/>
      <c r="E1011" s="71"/>
      <c r="H1011" s="71"/>
      <c r="K1011" s="71"/>
    </row>
    <row r="1012" spans="2:11">
      <c r="B1012" s="71"/>
      <c r="E1012" s="71"/>
      <c r="H1012" s="71"/>
      <c r="K1012" s="71"/>
    </row>
    <row r="1013" spans="2:11">
      <c r="B1013" s="71"/>
      <c r="E1013" s="71"/>
      <c r="H1013" s="71"/>
      <c r="K1013" s="71"/>
    </row>
    <row r="1014" spans="2:11">
      <c r="B1014" s="71"/>
      <c r="E1014" s="71"/>
      <c r="H1014" s="71"/>
      <c r="K1014" s="71"/>
    </row>
    <row r="1015" spans="2:11">
      <c r="B1015" s="71"/>
      <c r="E1015" s="71"/>
      <c r="H1015" s="71"/>
      <c r="K1015" s="71"/>
    </row>
    <row r="1016" spans="2:11">
      <c r="B1016" s="71"/>
      <c r="E1016" s="71"/>
      <c r="H1016" s="71"/>
      <c r="K1016" s="71"/>
    </row>
    <row r="1017" spans="2:11">
      <c r="B1017" s="71"/>
      <c r="E1017" s="71"/>
      <c r="H1017" s="71"/>
      <c r="K1017" s="71"/>
    </row>
    <row r="1018" spans="2:11">
      <c r="B1018" s="71"/>
      <c r="E1018" s="71"/>
      <c r="H1018" s="71"/>
      <c r="K1018" s="71"/>
    </row>
    <row r="1019" spans="2:11">
      <c r="B1019" s="71"/>
      <c r="E1019" s="71"/>
      <c r="H1019" s="71"/>
      <c r="K1019" s="71"/>
    </row>
    <row r="1020" spans="2:11">
      <c r="B1020" s="71"/>
      <c r="E1020" s="71"/>
      <c r="H1020" s="71"/>
      <c r="K1020" s="71"/>
    </row>
    <row r="1021" spans="2:11">
      <c r="B1021" s="71"/>
      <c r="E1021" s="71"/>
      <c r="H1021" s="71"/>
      <c r="K1021" s="71"/>
    </row>
    <row r="1022" spans="2:11">
      <c r="B1022" s="71"/>
      <c r="E1022" s="71"/>
      <c r="H1022" s="71"/>
      <c r="K1022" s="71"/>
    </row>
    <row r="1023" spans="2:11">
      <c r="B1023" s="71"/>
      <c r="E1023" s="71"/>
      <c r="H1023" s="71"/>
      <c r="K1023" s="71"/>
    </row>
    <row r="1024" spans="2:11">
      <c r="B1024" s="71"/>
      <c r="E1024" s="71"/>
      <c r="H1024" s="71"/>
      <c r="K1024" s="71"/>
    </row>
    <row r="1025" spans="2:11">
      <c r="B1025" s="71"/>
      <c r="E1025" s="71"/>
      <c r="H1025" s="71"/>
      <c r="K1025" s="71"/>
    </row>
    <row r="1026" spans="2:11">
      <c r="B1026" s="71"/>
      <c r="E1026" s="71"/>
      <c r="H1026" s="71"/>
      <c r="K1026" s="71"/>
    </row>
    <row r="1027" spans="2:11">
      <c r="B1027" s="71"/>
      <c r="E1027" s="71"/>
      <c r="H1027" s="71"/>
      <c r="K1027" s="71"/>
    </row>
    <row r="1028" spans="2:11">
      <c r="B1028" s="71"/>
      <c r="E1028" s="71"/>
      <c r="H1028" s="71"/>
      <c r="K1028" s="71"/>
    </row>
    <row r="1029" spans="2:11">
      <c r="B1029" s="71"/>
      <c r="E1029" s="71"/>
      <c r="H1029" s="71"/>
      <c r="K1029" s="71"/>
    </row>
    <row r="1030" spans="2:11">
      <c r="B1030" s="71"/>
      <c r="E1030" s="71"/>
      <c r="H1030" s="71"/>
      <c r="K1030" s="71"/>
    </row>
    <row r="1031" spans="2:11">
      <c r="B1031" s="71"/>
      <c r="E1031" s="71"/>
      <c r="H1031" s="71"/>
      <c r="K1031" s="71"/>
    </row>
    <row r="1032" spans="2:11">
      <c r="B1032" s="71"/>
      <c r="E1032" s="71"/>
      <c r="H1032" s="71"/>
      <c r="K1032" s="71"/>
    </row>
    <row r="1033" spans="2:11">
      <c r="B1033" s="71"/>
      <c r="E1033" s="71"/>
      <c r="H1033" s="71"/>
      <c r="K1033" s="71"/>
    </row>
    <row r="1034" spans="2:11">
      <c r="B1034" s="71"/>
      <c r="E1034" s="71"/>
      <c r="H1034" s="71"/>
      <c r="K1034" s="71"/>
    </row>
    <row r="1035" spans="2:11">
      <c r="B1035" s="71"/>
      <c r="E1035" s="71"/>
      <c r="H1035" s="71"/>
      <c r="K1035" s="71"/>
    </row>
    <row r="1036" spans="2:11">
      <c r="B1036" s="71"/>
      <c r="E1036" s="71"/>
      <c r="H1036" s="71"/>
      <c r="K1036" s="71"/>
    </row>
    <row r="1037" spans="2:11">
      <c r="B1037" s="71"/>
      <c r="E1037" s="71"/>
      <c r="H1037" s="71"/>
      <c r="K1037" s="71"/>
    </row>
    <row r="1038" spans="2:11">
      <c r="B1038" s="71"/>
      <c r="E1038" s="71"/>
      <c r="H1038" s="71"/>
      <c r="K1038" s="71"/>
    </row>
    <row r="1039" spans="2:11">
      <c r="B1039" s="71"/>
      <c r="E1039" s="71"/>
      <c r="H1039" s="71"/>
      <c r="K1039" s="71"/>
    </row>
    <row r="1040" spans="2:11">
      <c r="B1040" s="71"/>
      <c r="E1040" s="71"/>
      <c r="H1040" s="71"/>
      <c r="K1040" s="71"/>
    </row>
    <row r="1041" spans="2:11">
      <c r="B1041" s="71"/>
      <c r="E1041" s="71"/>
      <c r="H1041" s="71"/>
      <c r="K1041" s="71"/>
    </row>
    <row r="1042" spans="2:11">
      <c r="B1042" s="71"/>
      <c r="E1042" s="71"/>
      <c r="H1042" s="71"/>
      <c r="K1042" s="71"/>
    </row>
    <row r="1043" spans="2:11">
      <c r="B1043" s="71"/>
      <c r="E1043" s="71"/>
      <c r="H1043" s="71"/>
      <c r="K1043" s="71"/>
    </row>
    <row r="1044" spans="2:11">
      <c r="B1044" s="71"/>
      <c r="E1044" s="71"/>
      <c r="H1044" s="71"/>
      <c r="K1044" s="71"/>
    </row>
    <row r="1045" spans="2:11">
      <c r="B1045" s="71"/>
      <c r="E1045" s="71"/>
      <c r="H1045" s="71"/>
      <c r="K1045" s="71"/>
    </row>
    <row r="1046" spans="2:11">
      <c r="B1046" s="71"/>
      <c r="E1046" s="71"/>
      <c r="H1046" s="71"/>
      <c r="K1046" s="71"/>
    </row>
    <row r="1047" spans="2:11">
      <c r="B1047" s="71"/>
      <c r="E1047" s="71"/>
      <c r="H1047" s="71"/>
      <c r="K1047" s="71"/>
    </row>
    <row r="1048" spans="2:11">
      <c r="B1048" s="71"/>
      <c r="E1048" s="71"/>
      <c r="H1048" s="71"/>
      <c r="K1048" s="71"/>
    </row>
    <row r="1049" spans="2:11">
      <c r="B1049" s="71"/>
      <c r="E1049" s="71"/>
      <c r="H1049" s="71"/>
      <c r="K1049" s="71"/>
    </row>
    <row r="1050" spans="2:11">
      <c r="B1050" s="71"/>
      <c r="E1050" s="71"/>
      <c r="H1050" s="71"/>
    </row>
    <row r="1051" spans="2:11">
      <c r="B1051" s="71"/>
      <c r="E1051" s="71"/>
      <c r="H1051" s="71"/>
      <c r="K1051" s="71"/>
    </row>
    <row r="1052" spans="2:11">
      <c r="B1052" s="71"/>
      <c r="E1052" s="71"/>
      <c r="H1052" s="71"/>
      <c r="K1052" s="71"/>
    </row>
    <row r="1053" spans="2:11">
      <c r="B1053" s="71"/>
      <c r="E1053" s="71"/>
      <c r="H1053" s="71"/>
      <c r="K1053" s="71"/>
    </row>
    <row r="1054" spans="2:11">
      <c r="B1054" s="71"/>
      <c r="E1054" s="71"/>
      <c r="H1054" s="71"/>
      <c r="K1054" s="71"/>
    </row>
    <row r="1055" spans="2:11">
      <c r="B1055" s="71"/>
      <c r="E1055" s="71"/>
      <c r="H1055" s="71"/>
      <c r="K1055" s="71"/>
    </row>
    <row r="1056" spans="2:11">
      <c r="B1056" s="71"/>
      <c r="E1056" s="71"/>
      <c r="H1056" s="71"/>
      <c r="K1056" s="71"/>
    </row>
    <row r="1057" spans="2:11">
      <c r="B1057" s="71"/>
      <c r="E1057" s="71"/>
      <c r="H1057" s="71"/>
      <c r="K1057" s="71"/>
    </row>
    <row r="1058" spans="2:11">
      <c r="B1058" s="71"/>
      <c r="E1058" s="71"/>
      <c r="H1058" s="71"/>
      <c r="K1058" s="71"/>
    </row>
    <row r="1059" spans="2:11">
      <c r="B1059" s="71"/>
      <c r="E1059" s="71"/>
      <c r="H1059" s="71"/>
      <c r="K1059" s="71"/>
    </row>
    <row r="1060" spans="2:11">
      <c r="B1060" s="71"/>
      <c r="E1060" s="71"/>
      <c r="H1060" s="71"/>
      <c r="K1060" s="71"/>
    </row>
    <row r="1061" spans="2:11">
      <c r="B1061" s="71"/>
      <c r="E1061" s="71"/>
      <c r="H1061" s="71"/>
      <c r="K1061" s="71"/>
    </row>
    <row r="1062" spans="2:11">
      <c r="B1062" s="71"/>
      <c r="E1062" s="71"/>
      <c r="H1062" s="71"/>
      <c r="K1062" s="71"/>
    </row>
    <row r="1063" spans="2:11">
      <c r="B1063" s="71"/>
      <c r="E1063" s="71"/>
      <c r="H1063" s="71"/>
      <c r="K1063" s="71"/>
    </row>
    <row r="1064" spans="2:11">
      <c r="B1064" s="71"/>
      <c r="E1064" s="71"/>
      <c r="H1064" s="71"/>
      <c r="K1064" s="71"/>
    </row>
    <row r="1065" spans="2:11">
      <c r="B1065" s="71"/>
      <c r="E1065" s="71"/>
      <c r="H1065" s="71"/>
      <c r="K1065" s="71"/>
    </row>
    <row r="1066" spans="2:11">
      <c r="B1066" s="71"/>
      <c r="E1066" s="71"/>
      <c r="H1066" s="71"/>
      <c r="K1066" s="71"/>
    </row>
    <row r="1067" spans="2:11">
      <c r="B1067" s="71"/>
      <c r="E1067" s="71"/>
      <c r="H1067" s="71"/>
      <c r="K1067" s="71"/>
    </row>
    <row r="1068" spans="2:11">
      <c r="B1068" s="71"/>
      <c r="E1068" s="71"/>
      <c r="H1068" s="71"/>
      <c r="K1068" s="71"/>
    </row>
    <row r="1069" spans="2:11">
      <c r="B1069" s="71"/>
      <c r="E1069" s="71"/>
      <c r="H1069" s="71"/>
      <c r="K1069" s="71"/>
    </row>
    <row r="1070" spans="2:11">
      <c r="B1070" s="71"/>
      <c r="E1070" s="71"/>
      <c r="H1070" s="71"/>
      <c r="K1070" s="71"/>
    </row>
    <row r="1071" spans="2:11">
      <c r="B1071" s="71"/>
      <c r="E1071" s="71"/>
      <c r="H1071" s="71"/>
      <c r="K1071" s="71"/>
    </row>
    <row r="1072" spans="2:11">
      <c r="B1072" s="71"/>
      <c r="E1072" s="71"/>
      <c r="H1072" s="71"/>
      <c r="K1072" s="71"/>
    </row>
    <row r="1073" spans="2:11">
      <c r="B1073" s="71"/>
      <c r="E1073" s="71"/>
      <c r="H1073" s="71"/>
      <c r="K1073" s="71"/>
    </row>
    <row r="1074" spans="2:11">
      <c r="B1074" s="71"/>
      <c r="E1074" s="71"/>
      <c r="H1074" s="71"/>
      <c r="K1074" s="71"/>
    </row>
    <row r="1075" spans="2:11">
      <c r="B1075" s="71"/>
      <c r="E1075" s="71"/>
      <c r="H1075" s="71"/>
      <c r="K1075" s="71"/>
    </row>
    <row r="1076" spans="2:11">
      <c r="B1076" s="71"/>
      <c r="E1076" s="71"/>
      <c r="H1076" s="71"/>
      <c r="K1076" s="71"/>
    </row>
    <row r="1077" spans="2:11">
      <c r="B1077" s="71"/>
      <c r="E1077" s="71"/>
      <c r="H1077" s="71"/>
      <c r="K1077" s="71"/>
    </row>
    <row r="1078" spans="2:11">
      <c r="B1078" s="71"/>
      <c r="E1078" s="71"/>
      <c r="H1078" s="71"/>
      <c r="K1078" s="71"/>
    </row>
    <row r="1079" spans="2:11">
      <c r="B1079" s="71"/>
      <c r="E1079" s="71"/>
      <c r="H1079" s="71"/>
      <c r="K1079" s="71"/>
    </row>
    <row r="1080" spans="2:11">
      <c r="B1080" s="71"/>
      <c r="E1080" s="71"/>
      <c r="H1080" s="71"/>
      <c r="K1080" s="71"/>
    </row>
    <row r="1081" spans="2:11">
      <c r="B1081" s="71"/>
      <c r="E1081" s="71"/>
      <c r="H1081" s="71"/>
      <c r="K1081" s="71"/>
    </row>
    <row r="1082" spans="2:11">
      <c r="B1082" s="71"/>
      <c r="E1082" s="71"/>
      <c r="H1082" s="71"/>
      <c r="K1082" s="71"/>
    </row>
    <row r="1083" spans="2:11">
      <c r="B1083" s="71"/>
      <c r="E1083" s="71"/>
      <c r="H1083" s="71"/>
      <c r="K1083" s="71"/>
    </row>
    <row r="1084" spans="2:11">
      <c r="B1084" s="71"/>
      <c r="E1084" s="71"/>
      <c r="H1084" s="71"/>
      <c r="K1084" s="71"/>
    </row>
    <row r="1085" spans="2:11">
      <c r="B1085" s="71"/>
      <c r="E1085" s="71"/>
      <c r="H1085" s="71"/>
      <c r="K1085" s="71"/>
    </row>
    <row r="1086" spans="2:11">
      <c r="B1086" s="71"/>
      <c r="E1086" s="71"/>
      <c r="H1086" s="71"/>
      <c r="K1086" s="71"/>
    </row>
    <row r="1087" spans="2:11">
      <c r="B1087" s="71"/>
      <c r="E1087" s="71"/>
      <c r="H1087" s="71"/>
      <c r="K1087" s="71"/>
    </row>
    <row r="1088" spans="2:11">
      <c r="B1088" s="71"/>
      <c r="E1088" s="71"/>
      <c r="H1088" s="71"/>
      <c r="K1088" s="71"/>
    </row>
    <row r="1089" spans="2:11">
      <c r="B1089" s="71"/>
      <c r="E1089" s="71"/>
      <c r="H1089" s="71"/>
      <c r="K1089" s="71"/>
    </row>
    <row r="1090" spans="2:11">
      <c r="B1090" s="71"/>
      <c r="E1090" s="71"/>
      <c r="H1090" s="71"/>
      <c r="K1090" s="71"/>
    </row>
    <row r="1091" spans="2:11">
      <c r="B1091" s="71"/>
      <c r="E1091" s="71"/>
      <c r="H1091" s="71"/>
      <c r="K1091" s="71"/>
    </row>
    <row r="1092" spans="2:11">
      <c r="B1092" s="71"/>
      <c r="E1092" s="71"/>
      <c r="H1092" s="71"/>
      <c r="K1092" s="71"/>
    </row>
    <row r="1093" spans="2:11">
      <c r="B1093" s="71"/>
      <c r="E1093" s="71"/>
      <c r="H1093" s="71"/>
      <c r="K1093" s="71"/>
    </row>
    <row r="1094" spans="2:11">
      <c r="B1094" s="71"/>
      <c r="E1094" s="71"/>
      <c r="H1094" s="71"/>
      <c r="K1094" s="71"/>
    </row>
    <row r="1095" spans="2:11">
      <c r="B1095" s="71"/>
      <c r="E1095" s="71"/>
      <c r="H1095" s="71"/>
      <c r="K1095" s="71"/>
    </row>
    <row r="1096" spans="2:11">
      <c r="B1096" s="71"/>
      <c r="E1096" s="71"/>
      <c r="H1096" s="71"/>
      <c r="K1096" s="71"/>
    </row>
    <row r="1097" spans="2:11">
      <c r="B1097" s="71"/>
      <c r="E1097" s="71"/>
      <c r="H1097" s="71"/>
      <c r="K1097" s="71"/>
    </row>
    <row r="1098" spans="2:11">
      <c r="B1098" s="71"/>
      <c r="E1098" s="71"/>
      <c r="H1098" s="71"/>
      <c r="K1098" s="71"/>
    </row>
    <row r="1099" spans="2:11">
      <c r="B1099" s="71"/>
      <c r="E1099" s="71"/>
      <c r="H1099" s="71"/>
      <c r="K1099" s="71"/>
    </row>
    <row r="1100" spans="2:11">
      <c r="B1100" s="71"/>
      <c r="E1100" s="71"/>
      <c r="H1100" s="71"/>
      <c r="K1100" s="71"/>
    </row>
    <row r="1101" spans="2:11">
      <c r="B1101" s="71"/>
      <c r="E1101" s="71"/>
      <c r="H1101" s="71"/>
      <c r="K1101" s="71"/>
    </row>
    <row r="1102" spans="2:11">
      <c r="B1102" s="71"/>
      <c r="E1102" s="71"/>
      <c r="H1102" s="71"/>
      <c r="K1102" s="71"/>
    </row>
    <row r="1103" spans="2:11">
      <c r="B1103" s="71"/>
      <c r="E1103" s="71"/>
      <c r="H1103" s="71"/>
      <c r="K1103" s="71"/>
    </row>
    <row r="1104" spans="2:11">
      <c r="B1104" s="71"/>
      <c r="E1104" s="71"/>
      <c r="H1104" s="71"/>
      <c r="K1104" s="71"/>
    </row>
    <row r="1105" spans="2:11">
      <c r="B1105" s="71"/>
      <c r="E1105" s="71"/>
      <c r="H1105" s="71"/>
      <c r="K1105" s="71"/>
    </row>
    <row r="1106" spans="2:11">
      <c r="B1106" s="71"/>
      <c r="E1106" s="71"/>
      <c r="H1106" s="71"/>
      <c r="K1106" s="71"/>
    </row>
    <row r="1107" spans="2:11">
      <c r="B1107" s="71"/>
      <c r="E1107" s="71"/>
      <c r="H1107" s="71"/>
      <c r="K1107" s="71"/>
    </row>
    <row r="1108" spans="2:11">
      <c r="B1108" s="71"/>
      <c r="E1108" s="71"/>
      <c r="H1108" s="71"/>
      <c r="K1108" s="71"/>
    </row>
    <row r="1109" spans="2:11">
      <c r="B1109" s="71"/>
      <c r="E1109" s="71"/>
      <c r="H1109" s="71"/>
      <c r="K1109" s="71"/>
    </row>
    <row r="1110" spans="2:11">
      <c r="B1110" s="71"/>
      <c r="E1110" s="71"/>
      <c r="H1110" s="71"/>
      <c r="K1110" s="71"/>
    </row>
    <row r="1111" spans="2:11">
      <c r="B1111" s="71"/>
      <c r="E1111" s="71"/>
      <c r="H1111" s="71"/>
      <c r="K1111" s="71"/>
    </row>
    <row r="1112" spans="2:11">
      <c r="B1112" s="71"/>
      <c r="E1112" s="71"/>
      <c r="H1112" s="71"/>
      <c r="K1112" s="71"/>
    </row>
    <row r="1113" spans="2:11">
      <c r="B1113" s="71"/>
      <c r="E1113" s="71"/>
      <c r="H1113" s="71"/>
      <c r="K1113" s="71"/>
    </row>
    <row r="1114" spans="2:11">
      <c r="B1114" s="71"/>
      <c r="E1114" s="71"/>
      <c r="H1114" s="71"/>
      <c r="K1114" s="71"/>
    </row>
    <row r="1115" spans="2:11">
      <c r="B1115" s="71"/>
      <c r="E1115" s="71"/>
      <c r="H1115" s="71"/>
      <c r="K1115" s="71"/>
    </row>
    <row r="1116" spans="2:11">
      <c r="B1116" s="71"/>
      <c r="E1116" s="71"/>
      <c r="H1116" s="71"/>
      <c r="K1116" s="71"/>
    </row>
    <row r="1117" spans="2:11">
      <c r="B1117" s="71"/>
      <c r="E1117" s="71"/>
      <c r="H1117" s="71"/>
      <c r="K1117" s="71"/>
    </row>
    <row r="1118" spans="2:11">
      <c r="B1118" s="71"/>
      <c r="E1118" s="71"/>
      <c r="H1118" s="71"/>
      <c r="K1118" s="71"/>
    </row>
    <row r="1119" spans="2:11">
      <c r="B1119" s="71"/>
      <c r="E1119" s="71"/>
      <c r="H1119" s="71"/>
      <c r="K1119" s="71"/>
    </row>
    <row r="1120" spans="2:11">
      <c r="B1120" s="71"/>
      <c r="E1120" s="71"/>
      <c r="H1120" s="71"/>
      <c r="K1120" s="71"/>
    </row>
    <row r="1121" spans="2:11">
      <c r="B1121" s="71"/>
      <c r="E1121" s="71"/>
      <c r="H1121" s="71"/>
      <c r="K1121" s="71"/>
    </row>
    <row r="1122" spans="2:11">
      <c r="B1122" s="71"/>
      <c r="E1122" s="71"/>
      <c r="H1122" s="71"/>
      <c r="K1122" s="71"/>
    </row>
    <row r="1123" spans="2:11">
      <c r="B1123" s="71"/>
      <c r="E1123" s="71"/>
      <c r="H1123" s="71"/>
      <c r="K1123" s="71"/>
    </row>
    <row r="1124" spans="2:11">
      <c r="B1124" s="71"/>
      <c r="E1124" s="71"/>
      <c r="H1124" s="71"/>
      <c r="K1124" s="71"/>
    </row>
    <row r="1125" spans="2:11">
      <c r="B1125" s="71"/>
      <c r="E1125" s="71"/>
      <c r="H1125" s="71"/>
      <c r="K1125" s="71"/>
    </row>
    <row r="1126" spans="2:11">
      <c r="B1126" s="71"/>
      <c r="E1126" s="71"/>
      <c r="H1126" s="71"/>
      <c r="K1126" s="71"/>
    </row>
    <row r="1127" spans="2:11">
      <c r="B1127" s="71"/>
      <c r="E1127" s="71"/>
      <c r="H1127" s="71"/>
      <c r="K1127" s="71"/>
    </row>
    <row r="1128" spans="2:11">
      <c r="B1128" s="71"/>
      <c r="E1128" s="71"/>
      <c r="H1128" s="71"/>
      <c r="K1128" s="71"/>
    </row>
    <row r="1129" spans="2:11">
      <c r="B1129" s="71"/>
      <c r="E1129" s="71"/>
      <c r="H1129" s="71"/>
      <c r="K1129" s="71"/>
    </row>
    <row r="1130" spans="2:11">
      <c r="B1130" s="71"/>
      <c r="E1130" s="71"/>
      <c r="H1130" s="71"/>
      <c r="K1130" s="71"/>
    </row>
    <row r="1131" spans="2:11">
      <c r="B1131" s="71"/>
      <c r="E1131" s="71"/>
      <c r="H1131" s="71"/>
      <c r="K1131" s="71"/>
    </row>
    <row r="1132" spans="2:11">
      <c r="B1132" s="71"/>
      <c r="E1132" s="71"/>
      <c r="H1132" s="71"/>
      <c r="K1132" s="71"/>
    </row>
    <row r="1133" spans="2:11">
      <c r="B1133" s="71"/>
      <c r="E1133" s="71"/>
      <c r="H1133" s="71"/>
      <c r="K1133" s="71"/>
    </row>
    <row r="1134" spans="2:11">
      <c r="B1134" s="71"/>
      <c r="E1134" s="71"/>
      <c r="H1134" s="71"/>
      <c r="K1134" s="71"/>
    </row>
    <row r="1135" spans="2:11">
      <c r="B1135" s="71"/>
      <c r="E1135" s="71"/>
      <c r="H1135" s="71"/>
      <c r="K1135" s="71"/>
    </row>
    <row r="1136" spans="2:11">
      <c r="B1136" s="71"/>
      <c r="E1136" s="71"/>
      <c r="H1136" s="71"/>
      <c r="K1136" s="71"/>
    </row>
    <row r="1137" spans="2:11">
      <c r="B1137" s="71"/>
      <c r="E1137" s="71"/>
      <c r="H1137" s="71"/>
      <c r="K1137" s="71"/>
    </row>
    <row r="1138" spans="2:11">
      <c r="B1138" s="71"/>
      <c r="E1138" s="71"/>
      <c r="H1138" s="71"/>
      <c r="K1138" s="71"/>
    </row>
    <row r="1139" spans="2:11">
      <c r="B1139" s="71"/>
      <c r="E1139" s="71"/>
      <c r="H1139" s="71"/>
      <c r="K1139" s="71"/>
    </row>
    <row r="1140" spans="2:11">
      <c r="B1140" s="71"/>
      <c r="E1140" s="71"/>
      <c r="H1140" s="71"/>
      <c r="K1140" s="71"/>
    </row>
    <row r="1141" spans="2:11">
      <c r="B1141" s="71"/>
      <c r="E1141" s="71"/>
      <c r="H1141" s="71"/>
      <c r="K1141" s="71"/>
    </row>
    <row r="1142" spans="2:11">
      <c r="B1142" s="71"/>
      <c r="E1142" s="71"/>
      <c r="H1142" s="71"/>
      <c r="K1142" s="71"/>
    </row>
    <row r="1143" spans="2:11">
      <c r="B1143" s="71"/>
      <c r="E1143" s="71"/>
      <c r="H1143" s="71"/>
      <c r="K1143" s="71"/>
    </row>
    <row r="1144" spans="2:11">
      <c r="B1144" s="71"/>
      <c r="E1144" s="71"/>
      <c r="H1144" s="71"/>
      <c r="K1144" s="71"/>
    </row>
    <row r="1145" spans="2:11">
      <c r="B1145" s="71"/>
      <c r="E1145" s="71"/>
      <c r="H1145" s="71"/>
      <c r="K1145" s="71"/>
    </row>
    <row r="1146" spans="2:11">
      <c r="B1146" s="71"/>
      <c r="E1146" s="71"/>
      <c r="H1146" s="71"/>
      <c r="K1146" s="71"/>
    </row>
    <row r="1147" spans="2:11">
      <c r="B1147" s="71"/>
      <c r="E1147" s="71"/>
      <c r="H1147" s="71"/>
      <c r="K1147" s="71"/>
    </row>
    <row r="1148" spans="2:11">
      <c r="B1148" s="71"/>
      <c r="E1148" s="71"/>
      <c r="H1148" s="71"/>
      <c r="K1148" s="71"/>
    </row>
    <row r="1149" spans="2:11">
      <c r="B1149" s="71"/>
      <c r="E1149" s="71"/>
      <c r="H1149" s="71"/>
      <c r="K1149" s="71"/>
    </row>
    <row r="1150" spans="2:11">
      <c r="B1150" s="71"/>
      <c r="E1150" s="71"/>
      <c r="H1150" s="71"/>
      <c r="K1150" s="71"/>
    </row>
    <row r="1151" spans="2:11">
      <c r="B1151" s="71"/>
      <c r="E1151" s="71"/>
      <c r="H1151" s="71"/>
      <c r="K1151" s="71"/>
    </row>
    <row r="1152" spans="2:11">
      <c r="B1152" s="71"/>
      <c r="E1152" s="71"/>
      <c r="H1152" s="71"/>
      <c r="K1152" s="71"/>
    </row>
    <row r="1153" spans="2:11">
      <c r="B1153" s="71"/>
      <c r="E1153" s="71"/>
      <c r="H1153" s="71"/>
      <c r="K1153" s="71"/>
    </row>
    <row r="1154" spans="2:11">
      <c r="B1154" s="71"/>
      <c r="E1154" s="71"/>
      <c r="H1154" s="71"/>
      <c r="K1154" s="71"/>
    </row>
    <row r="1155" spans="2:11">
      <c r="B1155" s="71"/>
      <c r="E1155" s="71"/>
      <c r="H1155" s="71"/>
      <c r="K1155" s="71"/>
    </row>
    <row r="1156" spans="2:11">
      <c r="B1156" s="71"/>
      <c r="E1156" s="71"/>
      <c r="H1156" s="71"/>
      <c r="K1156" s="71"/>
    </row>
    <row r="1157" spans="2:11">
      <c r="B1157" s="71"/>
      <c r="E1157" s="71"/>
      <c r="H1157" s="71"/>
      <c r="K1157" s="71"/>
    </row>
    <row r="1158" spans="2:11">
      <c r="B1158" s="71"/>
      <c r="E1158" s="71"/>
      <c r="H1158" s="71"/>
      <c r="K1158" s="71"/>
    </row>
    <row r="1159" spans="2:11">
      <c r="B1159" s="71"/>
      <c r="E1159" s="71"/>
      <c r="H1159" s="71"/>
      <c r="K1159" s="71"/>
    </row>
    <row r="1160" spans="2:11">
      <c r="B1160" s="71"/>
      <c r="E1160" s="71"/>
      <c r="H1160" s="71"/>
      <c r="K1160" s="71"/>
    </row>
    <row r="1161" spans="2:11">
      <c r="B1161" s="71"/>
      <c r="E1161" s="71"/>
      <c r="H1161" s="71"/>
      <c r="K1161" s="71"/>
    </row>
    <row r="1162" spans="2:11">
      <c r="B1162" s="71"/>
      <c r="E1162" s="71"/>
      <c r="H1162" s="71"/>
      <c r="K1162" s="71"/>
    </row>
    <row r="1163" spans="2:11">
      <c r="B1163" s="71"/>
      <c r="E1163" s="71"/>
      <c r="H1163" s="71"/>
      <c r="K1163" s="71"/>
    </row>
    <row r="1164" spans="2:11">
      <c r="B1164" s="71"/>
      <c r="E1164" s="71"/>
      <c r="H1164" s="71"/>
      <c r="K1164" s="71"/>
    </row>
    <row r="1165" spans="2:11">
      <c r="B1165" s="71"/>
      <c r="E1165" s="71"/>
      <c r="H1165" s="71"/>
      <c r="K1165" s="71"/>
    </row>
    <row r="1166" spans="2:11">
      <c r="B1166" s="71"/>
      <c r="E1166" s="71"/>
      <c r="H1166" s="71"/>
      <c r="K1166" s="71"/>
    </row>
    <row r="1167" spans="2:11">
      <c r="B1167" s="71"/>
      <c r="E1167" s="71"/>
      <c r="H1167" s="71"/>
      <c r="K1167" s="71"/>
    </row>
    <row r="1168" spans="2:11">
      <c r="B1168" s="71"/>
      <c r="E1168" s="71"/>
      <c r="H1168" s="71"/>
      <c r="K1168" s="71"/>
    </row>
    <row r="1169" spans="2:11">
      <c r="B1169" s="71"/>
      <c r="E1169" s="71"/>
      <c r="H1169" s="71"/>
      <c r="K1169" s="71"/>
    </row>
    <row r="1170" spans="2:11">
      <c r="B1170" s="71"/>
      <c r="E1170" s="71"/>
      <c r="H1170" s="71"/>
      <c r="K1170" s="71"/>
    </row>
    <row r="1171" spans="2:11">
      <c r="B1171" s="71"/>
      <c r="E1171" s="71"/>
      <c r="H1171" s="71"/>
      <c r="K1171" s="71"/>
    </row>
    <row r="1172" spans="2:11">
      <c r="B1172" s="71"/>
      <c r="E1172" s="71"/>
      <c r="H1172" s="71"/>
      <c r="K1172" s="71"/>
    </row>
    <row r="1173" spans="2:11">
      <c r="B1173" s="71"/>
      <c r="E1173" s="71"/>
      <c r="H1173" s="71"/>
      <c r="K1173" s="71"/>
    </row>
    <row r="1174" spans="2:11">
      <c r="B1174" s="71"/>
      <c r="E1174" s="71"/>
      <c r="H1174" s="71"/>
      <c r="K1174" s="71"/>
    </row>
    <row r="1175" spans="2:11">
      <c r="B1175" s="71"/>
      <c r="E1175" s="71"/>
      <c r="H1175" s="71"/>
      <c r="K1175" s="71"/>
    </row>
    <row r="1176" spans="2:11">
      <c r="B1176" s="71"/>
      <c r="E1176" s="71"/>
      <c r="H1176" s="71"/>
      <c r="K1176" s="71"/>
    </row>
    <row r="1177" spans="2:11">
      <c r="B1177" s="71"/>
      <c r="E1177" s="71"/>
      <c r="H1177" s="71"/>
      <c r="K1177" s="71"/>
    </row>
    <row r="1178" spans="2:11">
      <c r="B1178" s="71"/>
      <c r="E1178" s="71"/>
      <c r="H1178" s="71"/>
      <c r="K1178" s="71"/>
    </row>
    <row r="1179" spans="2:11">
      <c r="B1179" s="71"/>
      <c r="E1179" s="71"/>
      <c r="H1179" s="71"/>
      <c r="K1179" s="71"/>
    </row>
    <row r="1180" spans="2:11">
      <c r="B1180" s="71"/>
      <c r="E1180" s="71"/>
      <c r="H1180" s="71"/>
      <c r="K1180" s="71"/>
    </row>
    <row r="1181" spans="2:11">
      <c r="B1181" s="71"/>
      <c r="E1181" s="71"/>
      <c r="H1181" s="71"/>
      <c r="K1181" s="71"/>
    </row>
    <row r="1182" spans="2:11">
      <c r="B1182" s="71"/>
      <c r="E1182" s="71"/>
      <c r="H1182" s="71"/>
      <c r="K1182" s="71"/>
    </row>
    <row r="1183" spans="2:11">
      <c r="B1183" s="71"/>
      <c r="E1183" s="71"/>
      <c r="H1183" s="71"/>
      <c r="K1183" s="71"/>
    </row>
    <row r="1184" spans="2:11">
      <c r="B1184" s="71"/>
      <c r="E1184" s="71"/>
      <c r="H1184" s="71"/>
      <c r="K1184" s="71"/>
    </row>
    <row r="1185" spans="2:11">
      <c r="B1185" s="71"/>
      <c r="E1185" s="71"/>
      <c r="H1185" s="71"/>
      <c r="K1185" s="71"/>
    </row>
    <row r="1186" spans="2:11">
      <c r="B1186" s="71"/>
      <c r="E1186" s="71"/>
      <c r="H1186" s="71"/>
      <c r="K1186" s="71"/>
    </row>
    <row r="1187" spans="2:11">
      <c r="B1187" s="71"/>
      <c r="E1187" s="71"/>
      <c r="H1187" s="71"/>
      <c r="K1187" s="71"/>
    </row>
    <row r="1188" spans="2:11">
      <c r="B1188" s="71"/>
      <c r="E1188" s="71"/>
      <c r="H1188" s="71"/>
      <c r="K1188" s="71"/>
    </row>
    <row r="1189" spans="2:11">
      <c r="B1189" s="71"/>
      <c r="E1189" s="71"/>
      <c r="H1189" s="71"/>
      <c r="K1189" s="71"/>
    </row>
    <row r="1190" spans="2:11">
      <c r="B1190" s="71"/>
      <c r="E1190" s="71"/>
      <c r="H1190" s="71"/>
    </row>
    <row r="1191" spans="2:11">
      <c r="B1191" s="71"/>
      <c r="E1191" s="71"/>
      <c r="H1191" s="71"/>
      <c r="K1191" s="71"/>
    </row>
    <row r="1192" spans="2:11">
      <c r="B1192" s="71"/>
      <c r="E1192" s="71"/>
      <c r="H1192" s="71"/>
      <c r="K1192" s="71"/>
    </row>
    <row r="1193" spans="2:11">
      <c r="B1193" s="71"/>
      <c r="E1193" s="71"/>
      <c r="H1193" s="71"/>
      <c r="K1193" s="71"/>
    </row>
    <row r="1194" spans="2:11">
      <c r="B1194" s="71"/>
      <c r="E1194" s="71"/>
      <c r="H1194" s="71"/>
      <c r="K1194" s="71"/>
    </row>
    <row r="1195" spans="2:11">
      <c r="B1195" s="71"/>
      <c r="E1195" s="71"/>
      <c r="H1195" s="71"/>
      <c r="K1195" s="71"/>
    </row>
    <row r="1196" spans="2:11">
      <c r="B1196" s="71"/>
      <c r="E1196" s="71"/>
      <c r="H1196" s="71"/>
      <c r="K1196" s="71"/>
    </row>
    <row r="1197" spans="2:11">
      <c r="B1197" s="71"/>
      <c r="E1197" s="71"/>
      <c r="H1197" s="71"/>
      <c r="K1197" s="71"/>
    </row>
    <row r="1198" spans="2:11">
      <c r="B1198" s="71"/>
      <c r="E1198" s="71"/>
      <c r="H1198" s="71"/>
      <c r="K1198" s="71"/>
    </row>
    <row r="1199" spans="2:11">
      <c r="B1199" s="71"/>
      <c r="E1199" s="71"/>
      <c r="H1199" s="71"/>
      <c r="K1199" s="71"/>
    </row>
    <row r="1200" spans="2:11">
      <c r="B1200" s="71"/>
      <c r="E1200" s="71"/>
      <c r="H1200" s="71"/>
      <c r="K1200" s="71"/>
    </row>
    <row r="1201" spans="2:11">
      <c r="B1201" s="71"/>
      <c r="E1201" s="71"/>
      <c r="H1201" s="71"/>
      <c r="K1201" s="71"/>
    </row>
    <row r="1202" spans="2:11">
      <c r="B1202" s="71"/>
      <c r="E1202" s="71"/>
      <c r="H1202" s="71"/>
      <c r="K1202" s="71"/>
    </row>
    <row r="1203" spans="2:11">
      <c r="B1203" s="71"/>
      <c r="E1203" s="71"/>
      <c r="H1203" s="71"/>
      <c r="K1203" s="71"/>
    </row>
    <row r="1204" spans="2:11">
      <c r="B1204" s="71"/>
      <c r="E1204" s="71"/>
      <c r="H1204" s="71"/>
      <c r="K1204" s="71"/>
    </row>
    <row r="1205" spans="2:11">
      <c r="B1205" s="71"/>
      <c r="E1205" s="71"/>
      <c r="H1205" s="71"/>
      <c r="K1205" s="71"/>
    </row>
    <row r="1206" spans="2:11">
      <c r="B1206" s="71"/>
      <c r="E1206" s="71"/>
      <c r="H1206" s="71"/>
      <c r="K1206" s="71"/>
    </row>
    <row r="1207" spans="2:11">
      <c r="B1207" s="71"/>
      <c r="E1207" s="71"/>
      <c r="H1207" s="71"/>
      <c r="K1207" s="71"/>
    </row>
    <row r="1208" spans="2:11">
      <c r="B1208" s="71"/>
      <c r="E1208" s="71"/>
      <c r="H1208" s="71"/>
      <c r="K1208" s="71"/>
    </row>
    <row r="1209" spans="2:11">
      <c r="B1209" s="71"/>
      <c r="E1209" s="71"/>
      <c r="H1209" s="71"/>
      <c r="K1209" s="71"/>
    </row>
    <row r="1210" spans="2:11">
      <c r="B1210" s="71"/>
      <c r="E1210" s="71"/>
      <c r="H1210" s="71"/>
      <c r="K1210" s="71"/>
    </row>
    <row r="1211" spans="2:11">
      <c r="B1211" s="71"/>
      <c r="E1211" s="71"/>
      <c r="H1211" s="71"/>
      <c r="K1211" s="71"/>
    </row>
    <row r="1212" spans="2:11">
      <c r="B1212" s="71"/>
      <c r="E1212" s="71"/>
      <c r="H1212" s="71"/>
      <c r="K1212" s="71"/>
    </row>
    <row r="1213" spans="2:11">
      <c r="B1213" s="71"/>
      <c r="E1213" s="71"/>
      <c r="H1213" s="71"/>
      <c r="K1213" s="71"/>
    </row>
    <row r="1214" spans="2:11">
      <c r="B1214" s="71"/>
      <c r="E1214" s="71"/>
      <c r="H1214" s="71"/>
      <c r="K1214" s="71"/>
    </row>
    <row r="1215" spans="2:11">
      <c r="B1215" s="71"/>
      <c r="E1215" s="71"/>
      <c r="H1215" s="71"/>
      <c r="K1215" s="71"/>
    </row>
    <row r="1216" spans="2:11">
      <c r="B1216" s="71"/>
      <c r="E1216" s="71"/>
      <c r="H1216" s="71"/>
      <c r="K1216" s="71"/>
    </row>
    <row r="1217" spans="2:11">
      <c r="B1217" s="71"/>
      <c r="E1217" s="71"/>
      <c r="H1217" s="71"/>
      <c r="K1217" s="71"/>
    </row>
    <row r="1218" spans="2:11">
      <c r="B1218" s="71"/>
      <c r="E1218" s="71"/>
      <c r="H1218" s="71"/>
      <c r="K1218" s="71"/>
    </row>
    <row r="1219" spans="2:11">
      <c r="B1219" s="71"/>
      <c r="E1219" s="71"/>
      <c r="H1219" s="71"/>
      <c r="K1219" s="71"/>
    </row>
    <row r="1220" spans="2:11">
      <c r="B1220" s="71"/>
      <c r="E1220" s="71"/>
      <c r="H1220" s="71"/>
      <c r="K1220" s="71"/>
    </row>
    <row r="1221" spans="2:11">
      <c r="B1221" s="71"/>
      <c r="E1221" s="71"/>
      <c r="H1221" s="71"/>
      <c r="K1221" s="71"/>
    </row>
    <row r="1222" spans="2:11">
      <c r="B1222" s="71"/>
      <c r="E1222" s="71"/>
      <c r="H1222" s="71"/>
      <c r="K1222" s="71"/>
    </row>
    <row r="1223" spans="2:11">
      <c r="E1223" s="71"/>
      <c r="H1223" s="71"/>
      <c r="K1223" s="71"/>
    </row>
    <row r="1224" spans="2:11">
      <c r="B1224" s="71"/>
      <c r="E1224" s="71"/>
      <c r="H1224" s="71"/>
      <c r="K1224" s="71"/>
    </row>
    <row r="1225" spans="2:11">
      <c r="B1225" s="71"/>
      <c r="E1225" s="71"/>
      <c r="H1225" s="71"/>
      <c r="K1225" s="71"/>
    </row>
    <row r="1226" spans="2:11">
      <c r="B1226" s="71"/>
      <c r="E1226" s="71"/>
      <c r="H1226" s="71"/>
      <c r="K1226" s="71"/>
    </row>
    <row r="1227" spans="2:11">
      <c r="B1227" s="71"/>
      <c r="E1227" s="71"/>
      <c r="H1227" s="71"/>
      <c r="K1227" s="71"/>
    </row>
    <row r="1228" spans="2:11">
      <c r="B1228" s="71"/>
      <c r="E1228" s="71"/>
      <c r="H1228" s="71"/>
      <c r="K1228" s="71"/>
    </row>
    <row r="1229" spans="2:11">
      <c r="B1229" s="71"/>
      <c r="E1229" s="71"/>
      <c r="H1229" s="71"/>
      <c r="K1229" s="71"/>
    </row>
    <row r="1230" spans="2:11">
      <c r="B1230" s="71"/>
      <c r="E1230" s="71"/>
      <c r="H1230" s="71"/>
      <c r="K1230" s="71"/>
    </row>
    <row r="1231" spans="2:11">
      <c r="B1231" s="71"/>
      <c r="E1231" s="71"/>
      <c r="H1231" s="71"/>
      <c r="K1231" s="71"/>
    </row>
    <row r="1232" spans="2:11">
      <c r="B1232" s="71"/>
      <c r="E1232" s="71"/>
      <c r="H1232" s="71"/>
      <c r="K1232" s="71"/>
    </row>
    <row r="1233" spans="2:11">
      <c r="B1233" s="71"/>
      <c r="E1233" s="71"/>
      <c r="H1233" s="71"/>
      <c r="K1233" s="71"/>
    </row>
    <row r="1234" spans="2:11">
      <c r="B1234" s="71"/>
      <c r="E1234" s="71"/>
      <c r="H1234" s="71"/>
      <c r="K1234" s="71"/>
    </row>
    <row r="1235" spans="2:11">
      <c r="B1235" s="71"/>
      <c r="E1235" s="71"/>
      <c r="H1235" s="71"/>
      <c r="K1235" s="71"/>
    </row>
    <row r="1236" spans="2:11">
      <c r="B1236" s="71"/>
      <c r="E1236" s="71"/>
      <c r="H1236" s="71"/>
      <c r="K1236" s="71"/>
    </row>
    <row r="1237" spans="2:11">
      <c r="B1237" s="71"/>
      <c r="E1237" s="71"/>
      <c r="H1237" s="71"/>
      <c r="K1237" s="71"/>
    </row>
    <row r="1238" spans="2:11">
      <c r="B1238" s="71"/>
      <c r="E1238" s="71"/>
      <c r="H1238" s="71"/>
      <c r="K1238" s="71"/>
    </row>
    <row r="1239" spans="2:11">
      <c r="B1239" s="71"/>
      <c r="E1239" s="71"/>
      <c r="H1239" s="71"/>
      <c r="K1239" s="71"/>
    </row>
    <row r="1240" spans="2:11">
      <c r="B1240" s="71"/>
      <c r="E1240" s="71"/>
      <c r="H1240" s="71"/>
      <c r="K1240" s="71"/>
    </row>
    <row r="1241" spans="2:11">
      <c r="B1241" s="71"/>
      <c r="E1241" s="71"/>
      <c r="H1241" s="71"/>
    </row>
    <row r="1242" spans="2:11">
      <c r="B1242" s="71"/>
      <c r="E1242" s="71"/>
      <c r="H1242" s="71"/>
      <c r="K1242" s="71"/>
    </row>
    <row r="1243" spans="2:11">
      <c r="B1243" s="71"/>
      <c r="E1243" s="71"/>
      <c r="H1243" s="71"/>
      <c r="K1243" s="71"/>
    </row>
    <row r="1244" spans="2:11">
      <c r="B1244" s="71"/>
      <c r="E1244" s="71"/>
      <c r="H1244" s="71"/>
      <c r="K1244" s="71"/>
    </row>
    <row r="1245" spans="2:11">
      <c r="B1245" s="71"/>
      <c r="E1245" s="71"/>
      <c r="H1245" s="71"/>
      <c r="K1245" s="71"/>
    </row>
    <row r="1246" spans="2:11">
      <c r="B1246" s="71"/>
      <c r="E1246" s="71"/>
      <c r="H1246" s="71"/>
      <c r="K1246" s="71"/>
    </row>
    <row r="1247" spans="2:11">
      <c r="B1247" s="71"/>
      <c r="E1247" s="71"/>
      <c r="H1247" s="71"/>
      <c r="K1247" s="71"/>
    </row>
    <row r="1248" spans="2:11">
      <c r="B1248" s="71"/>
      <c r="E1248" s="71"/>
      <c r="H1248" s="71"/>
      <c r="K1248" s="71"/>
    </row>
    <row r="1249" spans="2:11">
      <c r="B1249" s="71"/>
      <c r="E1249" s="71"/>
      <c r="H1249" s="71"/>
      <c r="K1249" s="71"/>
    </row>
    <row r="1250" spans="2:11">
      <c r="B1250" s="71"/>
      <c r="E1250" s="71"/>
      <c r="H1250" s="71"/>
      <c r="K1250" s="71"/>
    </row>
    <row r="1251" spans="2:11">
      <c r="B1251" s="71"/>
      <c r="E1251" s="71"/>
      <c r="H1251" s="71"/>
      <c r="K1251" s="71"/>
    </row>
    <row r="1252" spans="2:11">
      <c r="B1252" s="71"/>
      <c r="E1252" s="71"/>
      <c r="H1252" s="71"/>
      <c r="K1252" s="71"/>
    </row>
    <row r="1253" spans="2:11">
      <c r="B1253" s="71"/>
      <c r="E1253" s="71"/>
      <c r="H1253" s="71"/>
      <c r="K1253" s="71"/>
    </row>
    <row r="1254" spans="2:11">
      <c r="B1254" s="71"/>
      <c r="E1254" s="71"/>
      <c r="H1254" s="71"/>
      <c r="K1254" s="71"/>
    </row>
    <row r="1255" spans="2:11">
      <c r="B1255" s="71"/>
      <c r="E1255" s="71"/>
      <c r="H1255" s="71"/>
      <c r="K1255" s="71"/>
    </row>
    <row r="1256" spans="2:11">
      <c r="B1256" s="71"/>
      <c r="E1256" s="71"/>
      <c r="H1256" s="71"/>
      <c r="K1256" s="71"/>
    </row>
    <row r="1257" spans="2:11">
      <c r="B1257" s="71"/>
      <c r="E1257" s="71"/>
      <c r="H1257" s="71"/>
      <c r="K1257" s="71"/>
    </row>
    <row r="1258" spans="2:11">
      <c r="B1258" s="71"/>
      <c r="E1258" s="71"/>
      <c r="H1258" s="71"/>
      <c r="K1258" s="71"/>
    </row>
    <row r="1259" spans="2:11">
      <c r="B1259" s="71"/>
      <c r="E1259" s="71"/>
      <c r="H1259" s="71"/>
      <c r="K1259" s="71"/>
    </row>
    <row r="1260" spans="2:11">
      <c r="B1260" s="71"/>
      <c r="E1260" s="71"/>
      <c r="K1260" s="71"/>
    </row>
    <row r="1261" spans="2:11">
      <c r="B1261" s="71"/>
      <c r="E1261" s="71"/>
      <c r="H1261" s="71"/>
      <c r="K1261" s="71"/>
    </row>
    <row r="1262" spans="2:11">
      <c r="B1262" s="71"/>
      <c r="E1262" s="71"/>
      <c r="H1262" s="71"/>
      <c r="K1262" s="71"/>
    </row>
    <row r="1263" spans="2:11">
      <c r="B1263" s="71"/>
      <c r="E1263" s="71"/>
      <c r="H1263" s="71"/>
      <c r="K1263" s="71"/>
    </row>
    <row r="1264" spans="2:11">
      <c r="B1264" s="71"/>
      <c r="E1264" s="71"/>
      <c r="H1264" s="71"/>
      <c r="K1264" s="71"/>
    </row>
    <row r="1265" spans="2:11">
      <c r="B1265" s="71"/>
      <c r="E1265" s="71"/>
      <c r="H1265" s="71"/>
      <c r="K1265" s="71"/>
    </row>
    <row r="1266" spans="2:11">
      <c r="B1266" s="71"/>
      <c r="E1266" s="71"/>
      <c r="H1266" s="71"/>
      <c r="K1266" s="71"/>
    </row>
    <row r="1267" spans="2:11">
      <c r="B1267" s="71"/>
      <c r="E1267" s="71"/>
      <c r="H1267" s="71"/>
      <c r="K1267" s="71"/>
    </row>
    <row r="1268" spans="2:11">
      <c r="B1268" s="71"/>
      <c r="E1268" s="71"/>
      <c r="H1268" s="71"/>
      <c r="K1268" s="71"/>
    </row>
    <row r="1269" spans="2:11">
      <c r="B1269" s="71"/>
      <c r="E1269" s="71"/>
      <c r="H1269" s="71"/>
      <c r="K1269" s="71"/>
    </row>
    <row r="1270" spans="2:11">
      <c r="B1270" s="71"/>
      <c r="E1270" s="71"/>
      <c r="H1270" s="71"/>
      <c r="K1270" s="71"/>
    </row>
    <row r="1271" spans="2:11">
      <c r="B1271" s="71"/>
      <c r="E1271" s="71"/>
      <c r="H1271" s="71"/>
      <c r="K1271" s="71"/>
    </row>
    <row r="1272" spans="2:11">
      <c r="B1272" s="71"/>
      <c r="E1272" s="71"/>
      <c r="H1272" s="71"/>
      <c r="K1272" s="71"/>
    </row>
    <row r="1273" spans="2:11">
      <c r="B1273" s="71"/>
      <c r="E1273" s="71"/>
      <c r="H1273" s="71"/>
      <c r="K1273" s="71"/>
    </row>
    <row r="1274" spans="2:11">
      <c r="B1274" s="71"/>
      <c r="E1274" s="71"/>
      <c r="H1274" s="71"/>
      <c r="K1274" s="71"/>
    </row>
    <row r="1275" spans="2:11">
      <c r="B1275" s="71"/>
      <c r="E1275" s="71"/>
      <c r="H1275" s="71"/>
      <c r="K1275" s="71"/>
    </row>
    <row r="1276" spans="2:11">
      <c r="B1276" s="71"/>
      <c r="E1276" s="71"/>
      <c r="H1276" s="71"/>
      <c r="K1276" s="71"/>
    </row>
    <row r="1277" spans="2:11">
      <c r="B1277" s="71"/>
      <c r="E1277" s="71"/>
      <c r="H1277" s="71"/>
      <c r="K1277" s="71"/>
    </row>
    <row r="1278" spans="2:11">
      <c r="B1278" s="71"/>
      <c r="E1278" s="71"/>
      <c r="H1278" s="71"/>
      <c r="K1278" s="71"/>
    </row>
    <row r="1279" spans="2:11">
      <c r="B1279" s="71"/>
      <c r="E1279" s="71"/>
      <c r="H1279" s="71"/>
      <c r="K1279" s="71"/>
    </row>
    <row r="1280" spans="2:11">
      <c r="B1280" s="71"/>
      <c r="E1280" s="71"/>
      <c r="H1280" s="71"/>
      <c r="K1280" s="71"/>
    </row>
    <row r="1281" spans="2:11">
      <c r="B1281" s="71"/>
      <c r="E1281" s="71"/>
      <c r="H1281" s="71"/>
      <c r="K1281" s="71"/>
    </row>
    <row r="1282" spans="2:11">
      <c r="B1282" s="71"/>
      <c r="E1282" s="71"/>
      <c r="H1282" s="71"/>
      <c r="K1282" s="71"/>
    </row>
    <row r="1283" spans="2:11">
      <c r="B1283" s="71"/>
      <c r="E1283" s="71"/>
      <c r="H1283" s="71"/>
      <c r="K1283" s="71"/>
    </row>
    <row r="1284" spans="2:11">
      <c r="B1284" s="71"/>
      <c r="E1284" s="71"/>
      <c r="H1284" s="71"/>
      <c r="K1284" s="71"/>
    </row>
    <row r="1285" spans="2:11">
      <c r="E1285" s="71"/>
      <c r="H1285" s="71"/>
      <c r="K1285" s="71"/>
    </row>
    <row r="1286" spans="2:11">
      <c r="B1286" s="71"/>
      <c r="E1286" s="71"/>
      <c r="H1286" s="71"/>
      <c r="K1286" s="71"/>
    </row>
    <row r="1287" spans="2:11">
      <c r="B1287" s="71"/>
      <c r="E1287" s="71"/>
      <c r="H1287" s="71"/>
      <c r="K1287" s="71"/>
    </row>
    <row r="1288" spans="2:11">
      <c r="B1288" s="71"/>
      <c r="E1288" s="71"/>
      <c r="H1288" s="71"/>
      <c r="K1288" s="71"/>
    </row>
    <row r="1289" spans="2:11">
      <c r="B1289" s="71"/>
      <c r="E1289" s="71"/>
      <c r="H1289" s="71"/>
      <c r="K1289" s="71"/>
    </row>
    <row r="1290" spans="2:11">
      <c r="B1290" s="71"/>
      <c r="E1290" s="71"/>
      <c r="H1290" s="71"/>
      <c r="K1290" s="71"/>
    </row>
    <row r="1291" spans="2:11">
      <c r="B1291" s="71"/>
      <c r="H1291" s="71"/>
      <c r="K1291" s="71"/>
    </row>
    <row r="1292" spans="2:11">
      <c r="B1292" s="71"/>
      <c r="E1292" s="71"/>
      <c r="H1292" s="71"/>
      <c r="K1292" s="71"/>
    </row>
    <row r="1293" spans="2:11">
      <c r="B1293" s="71"/>
      <c r="E1293" s="71"/>
      <c r="H1293" s="71"/>
      <c r="K1293" s="71"/>
    </row>
    <row r="1294" spans="2:11">
      <c r="B1294" s="71"/>
      <c r="E1294" s="71"/>
      <c r="H1294" s="71"/>
      <c r="K1294" s="71"/>
    </row>
    <row r="1295" spans="2:11">
      <c r="B1295" s="71"/>
      <c r="E1295" s="71"/>
      <c r="H1295" s="71"/>
      <c r="K1295" s="71"/>
    </row>
    <row r="1296" spans="2:11">
      <c r="B1296" s="71"/>
      <c r="E1296" s="71"/>
      <c r="H1296" s="71"/>
      <c r="K1296" s="71"/>
    </row>
    <row r="1297" spans="2:11">
      <c r="B1297" s="71"/>
      <c r="E1297" s="71"/>
      <c r="H1297" s="71"/>
      <c r="K1297" s="71"/>
    </row>
    <row r="1298" spans="2:11">
      <c r="B1298" s="71"/>
      <c r="E1298" s="71"/>
      <c r="H1298" s="71"/>
      <c r="K1298" s="71"/>
    </row>
    <row r="1299" spans="2:11">
      <c r="B1299" s="71"/>
      <c r="E1299" s="71"/>
      <c r="H1299" s="71"/>
      <c r="K1299" s="71"/>
    </row>
    <row r="1300" spans="2:11">
      <c r="B1300" s="71"/>
      <c r="E1300" s="71"/>
      <c r="H1300" s="71"/>
      <c r="K1300" s="71"/>
    </row>
    <row r="1301" spans="2:11">
      <c r="B1301" s="71"/>
      <c r="E1301" s="71"/>
      <c r="H1301" s="71"/>
      <c r="K1301" s="71"/>
    </row>
    <row r="1302" spans="2:11">
      <c r="B1302" s="71"/>
      <c r="E1302" s="71"/>
      <c r="H1302" s="71"/>
      <c r="K1302" s="71"/>
    </row>
    <row r="1303" spans="2:11">
      <c r="B1303" s="71"/>
      <c r="E1303" s="71"/>
      <c r="H1303" s="71"/>
      <c r="K1303" s="71"/>
    </row>
    <row r="1304" spans="2:11">
      <c r="B1304" s="71"/>
      <c r="E1304" s="71"/>
      <c r="H1304" s="71"/>
      <c r="K1304" s="71"/>
    </row>
    <row r="1305" spans="2:11">
      <c r="B1305" s="71"/>
      <c r="E1305" s="71"/>
      <c r="H1305" s="71"/>
      <c r="K1305" s="71"/>
    </row>
    <row r="1306" spans="2:11">
      <c r="B1306" s="71"/>
      <c r="E1306" s="71"/>
      <c r="H1306" s="71"/>
      <c r="K1306" s="71"/>
    </row>
    <row r="1307" spans="2:11">
      <c r="B1307" s="71"/>
      <c r="E1307" s="71"/>
      <c r="H1307" s="71"/>
      <c r="K1307" s="71"/>
    </row>
    <row r="1308" spans="2:11">
      <c r="B1308" s="71"/>
      <c r="E1308" s="71"/>
      <c r="H1308" s="71"/>
      <c r="K1308" s="71"/>
    </row>
    <row r="1309" spans="2:11">
      <c r="B1309" s="71"/>
      <c r="E1309" s="71"/>
      <c r="H1309" s="71"/>
      <c r="K1309" s="71"/>
    </row>
    <row r="1310" spans="2:11">
      <c r="B1310" s="71"/>
      <c r="E1310" s="71"/>
      <c r="H1310" s="71"/>
      <c r="K1310" s="71"/>
    </row>
    <row r="1311" spans="2:11">
      <c r="B1311" s="71"/>
      <c r="E1311" s="71"/>
      <c r="H1311" s="71"/>
      <c r="K1311" s="71"/>
    </row>
    <row r="1312" spans="2:11">
      <c r="B1312" s="71"/>
      <c r="E1312" s="71"/>
      <c r="H1312" s="71"/>
      <c r="K1312" s="71"/>
    </row>
    <row r="1313" spans="2:11">
      <c r="B1313" s="71"/>
      <c r="E1313" s="71"/>
      <c r="H1313" s="71"/>
      <c r="K1313" s="71"/>
    </row>
    <row r="1314" spans="2:11">
      <c r="B1314" s="71"/>
      <c r="E1314" s="71"/>
      <c r="H1314" s="71"/>
      <c r="K1314" s="71"/>
    </row>
    <row r="1315" spans="2:11">
      <c r="B1315" s="71"/>
      <c r="E1315" s="71"/>
      <c r="H1315" s="71"/>
      <c r="K1315" s="71"/>
    </row>
    <row r="1316" spans="2:11">
      <c r="B1316" s="71"/>
      <c r="E1316" s="71"/>
      <c r="H1316" s="71"/>
      <c r="K1316" s="71"/>
    </row>
    <row r="1317" spans="2:11">
      <c r="B1317" s="71"/>
      <c r="E1317" s="71"/>
      <c r="H1317" s="71"/>
      <c r="K1317" s="71"/>
    </row>
    <row r="1318" spans="2:11">
      <c r="B1318" s="71"/>
      <c r="E1318" s="71"/>
      <c r="H1318" s="71"/>
      <c r="K1318" s="71"/>
    </row>
    <row r="1319" spans="2:11">
      <c r="B1319" s="71"/>
      <c r="E1319" s="71"/>
      <c r="H1319" s="71"/>
      <c r="K1319" s="71"/>
    </row>
    <row r="1320" spans="2:11">
      <c r="B1320" s="71"/>
      <c r="E1320" s="71"/>
      <c r="H1320" s="71"/>
      <c r="K1320" s="71"/>
    </row>
    <row r="1321" spans="2:11">
      <c r="B1321" s="71"/>
      <c r="E1321" s="71"/>
      <c r="H1321" s="71"/>
      <c r="K1321" s="71"/>
    </row>
    <row r="1322" spans="2:11">
      <c r="B1322" s="71"/>
      <c r="E1322" s="71"/>
      <c r="H1322" s="71"/>
      <c r="K1322" s="71"/>
    </row>
    <row r="1323" spans="2:11">
      <c r="B1323" s="71"/>
      <c r="E1323" s="71"/>
      <c r="H1323" s="71"/>
      <c r="K1323" s="71"/>
    </row>
    <row r="1324" spans="2:11">
      <c r="B1324" s="71"/>
      <c r="E1324" s="71"/>
      <c r="H1324" s="71"/>
      <c r="K1324" s="71"/>
    </row>
    <row r="1325" spans="2:11">
      <c r="B1325" s="71"/>
      <c r="E1325" s="71"/>
      <c r="H1325" s="71"/>
      <c r="K1325" s="71"/>
    </row>
    <row r="1326" spans="2:11">
      <c r="B1326" s="71"/>
      <c r="E1326" s="71"/>
      <c r="H1326" s="71"/>
      <c r="K1326" s="71"/>
    </row>
    <row r="1327" spans="2:11">
      <c r="B1327" s="71"/>
      <c r="E1327" s="71"/>
      <c r="H1327" s="71"/>
      <c r="K1327" s="71"/>
    </row>
    <row r="1328" spans="2:11">
      <c r="B1328" s="71"/>
      <c r="E1328" s="71"/>
      <c r="H1328" s="71"/>
      <c r="K1328" s="71"/>
    </row>
    <row r="1329" spans="2:11">
      <c r="B1329" s="71"/>
      <c r="E1329" s="71"/>
      <c r="H1329" s="71"/>
      <c r="K1329" s="71"/>
    </row>
    <row r="1330" spans="2:11">
      <c r="B1330" s="71"/>
      <c r="E1330" s="71"/>
      <c r="H1330" s="71"/>
      <c r="K1330" s="71"/>
    </row>
    <row r="1331" spans="2:11">
      <c r="B1331" s="71"/>
      <c r="E1331" s="71"/>
      <c r="H1331" s="71"/>
      <c r="K1331" s="71"/>
    </row>
    <row r="1332" spans="2:11">
      <c r="B1332" s="71"/>
      <c r="E1332" s="71"/>
      <c r="H1332" s="71"/>
      <c r="K1332" s="71"/>
    </row>
    <row r="1333" spans="2:11">
      <c r="B1333" s="71"/>
      <c r="E1333" s="71"/>
      <c r="H1333" s="71"/>
      <c r="K1333" s="71"/>
    </row>
    <row r="1334" spans="2:11">
      <c r="B1334" s="71"/>
      <c r="E1334" s="71"/>
      <c r="H1334" s="71"/>
      <c r="K1334" s="71"/>
    </row>
    <row r="1335" spans="2:11">
      <c r="B1335" s="71"/>
      <c r="E1335" s="71"/>
      <c r="H1335" s="71"/>
      <c r="K1335" s="71"/>
    </row>
    <row r="1336" spans="2:11">
      <c r="B1336" s="71"/>
      <c r="E1336" s="71"/>
      <c r="H1336" s="71"/>
      <c r="K1336" s="71"/>
    </row>
    <row r="1337" spans="2:11">
      <c r="B1337" s="71"/>
      <c r="E1337" s="71"/>
      <c r="H1337" s="71"/>
      <c r="K1337" s="71"/>
    </row>
    <row r="1338" spans="2:11">
      <c r="B1338" s="71"/>
      <c r="E1338" s="71"/>
      <c r="H1338" s="71"/>
      <c r="K1338" s="71"/>
    </row>
    <row r="1339" spans="2:11">
      <c r="B1339" s="71"/>
      <c r="E1339" s="71"/>
      <c r="H1339" s="71"/>
      <c r="K1339" s="71"/>
    </row>
    <row r="1340" spans="2:11">
      <c r="B1340" s="71"/>
      <c r="E1340" s="71"/>
      <c r="H1340" s="71"/>
      <c r="K1340" s="71"/>
    </row>
    <row r="1341" spans="2:11">
      <c r="B1341" s="71"/>
      <c r="E1341" s="71"/>
      <c r="H1341" s="71"/>
      <c r="K1341" s="71"/>
    </row>
    <row r="1342" spans="2:11">
      <c r="B1342" s="71"/>
      <c r="E1342" s="71"/>
      <c r="H1342" s="71"/>
      <c r="K1342" s="71"/>
    </row>
    <row r="1343" spans="2:11">
      <c r="B1343" s="71"/>
      <c r="E1343" s="71"/>
      <c r="H1343" s="71"/>
      <c r="K1343" s="71"/>
    </row>
    <row r="1344" spans="2:11">
      <c r="B1344" s="71"/>
      <c r="E1344" s="71"/>
      <c r="H1344" s="71"/>
      <c r="K1344" s="71"/>
    </row>
    <row r="1345" spans="2:11">
      <c r="B1345" s="71"/>
      <c r="E1345" s="71"/>
      <c r="H1345" s="71"/>
      <c r="K1345" s="71"/>
    </row>
    <row r="1346" spans="2:11">
      <c r="B1346" s="71"/>
      <c r="E1346" s="71"/>
      <c r="H1346" s="71"/>
      <c r="K1346" s="71"/>
    </row>
    <row r="1347" spans="2:11">
      <c r="B1347" s="71"/>
      <c r="E1347" s="71"/>
      <c r="H1347" s="71"/>
      <c r="K1347" s="71"/>
    </row>
    <row r="1348" spans="2:11">
      <c r="B1348" s="71"/>
      <c r="E1348" s="71"/>
      <c r="H1348" s="71"/>
      <c r="K1348" s="71"/>
    </row>
    <row r="1349" spans="2:11">
      <c r="B1349" s="71"/>
      <c r="E1349" s="71"/>
      <c r="H1349" s="71"/>
      <c r="K1349" s="71"/>
    </row>
    <row r="1350" spans="2:11">
      <c r="B1350" s="71"/>
      <c r="E1350" s="71"/>
      <c r="H1350" s="71"/>
      <c r="K1350" s="71"/>
    </row>
    <row r="1351" spans="2:11">
      <c r="B1351" s="71"/>
      <c r="E1351" s="71"/>
      <c r="H1351" s="71"/>
      <c r="K1351" s="71"/>
    </row>
    <row r="1352" spans="2:11">
      <c r="B1352" s="71"/>
      <c r="E1352" s="71"/>
      <c r="H1352" s="71"/>
      <c r="K1352" s="71"/>
    </row>
    <row r="1353" spans="2:11">
      <c r="B1353" s="71"/>
      <c r="E1353" s="71"/>
      <c r="H1353" s="71"/>
      <c r="K1353" s="71"/>
    </row>
    <row r="1354" spans="2:11">
      <c r="B1354" s="71"/>
      <c r="E1354" s="71"/>
      <c r="H1354" s="71"/>
      <c r="K1354" s="71"/>
    </row>
    <row r="1355" spans="2:11">
      <c r="B1355" s="71"/>
      <c r="E1355" s="71"/>
      <c r="H1355" s="71"/>
      <c r="K1355" s="71"/>
    </row>
    <row r="1356" spans="2:11">
      <c r="B1356" s="71"/>
      <c r="E1356" s="71"/>
      <c r="H1356" s="71"/>
      <c r="K1356" s="71"/>
    </row>
    <row r="1357" spans="2:11">
      <c r="B1357" s="71"/>
      <c r="E1357" s="71"/>
      <c r="H1357" s="71"/>
      <c r="K1357" s="71"/>
    </row>
    <row r="1358" spans="2:11">
      <c r="B1358" s="71"/>
      <c r="E1358" s="71"/>
      <c r="H1358" s="71"/>
      <c r="K1358" s="71"/>
    </row>
    <row r="1359" spans="2:11">
      <c r="B1359" s="71"/>
      <c r="E1359" s="71"/>
      <c r="H1359" s="71"/>
      <c r="K1359" s="71"/>
    </row>
    <row r="1360" spans="2:11">
      <c r="B1360" s="71"/>
      <c r="E1360" s="71"/>
      <c r="H1360" s="71"/>
      <c r="K1360" s="71"/>
    </row>
    <row r="1361" spans="2:11">
      <c r="B1361" s="71"/>
      <c r="E1361" s="71"/>
      <c r="H1361" s="71"/>
      <c r="K1361" s="71"/>
    </row>
    <row r="1362" spans="2:11">
      <c r="B1362" s="71"/>
      <c r="E1362" s="71"/>
      <c r="H1362" s="71"/>
      <c r="K1362" s="71"/>
    </row>
    <row r="1363" spans="2:11">
      <c r="B1363" s="71"/>
      <c r="E1363" s="71"/>
      <c r="H1363" s="71"/>
      <c r="K1363" s="71"/>
    </row>
    <row r="1364" spans="2:11">
      <c r="B1364" s="71"/>
      <c r="E1364" s="71"/>
      <c r="H1364" s="71"/>
      <c r="K1364" s="71"/>
    </row>
    <row r="1365" spans="2:11">
      <c r="B1365" s="71"/>
      <c r="E1365" s="71"/>
      <c r="H1365" s="71"/>
      <c r="K1365" s="71"/>
    </row>
    <row r="1366" spans="2:11">
      <c r="B1366" s="71"/>
      <c r="E1366" s="71"/>
      <c r="H1366" s="71"/>
      <c r="K1366" s="71"/>
    </row>
    <row r="1367" spans="2:11">
      <c r="B1367" s="71"/>
      <c r="E1367" s="71"/>
      <c r="H1367" s="71"/>
      <c r="K1367" s="71"/>
    </row>
    <row r="1368" spans="2:11">
      <c r="B1368" s="71"/>
      <c r="E1368" s="71"/>
      <c r="H1368" s="71"/>
      <c r="K1368" s="71"/>
    </row>
    <row r="1369" spans="2:11">
      <c r="B1369" s="71"/>
      <c r="E1369" s="71"/>
      <c r="H1369" s="71"/>
      <c r="K1369" s="71"/>
    </row>
    <row r="1370" spans="2:11">
      <c r="B1370" s="71"/>
      <c r="E1370" s="71"/>
      <c r="H1370" s="71"/>
      <c r="K1370" s="71"/>
    </row>
    <row r="1371" spans="2:11">
      <c r="B1371" s="71"/>
      <c r="E1371" s="71"/>
      <c r="H1371" s="71"/>
      <c r="K1371" s="71"/>
    </row>
    <row r="1372" spans="2:11">
      <c r="B1372" s="71"/>
      <c r="E1372" s="71"/>
      <c r="H1372" s="71"/>
      <c r="K1372" s="71"/>
    </row>
    <row r="1373" spans="2:11">
      <c r="B1373" s="71"/>
      <c r="E1373" s="71"/>
      <c r="H1373" s="71"/>
      <c r="K1373" s="71"/>
    </row>
    <row r="1374" spans="2:11">
      <c r="B1374" s="71"/>
      <c r="E1374" s="71"/>
      <c r="H1374" s="71"/>
      <c r="K1374" s="71"/>
    </row>
    <row r="1375" spans="2:11">
      <c r="B1375" s="71"/>
      <c r="E1375" s="71"/>
      <c r="H1375" s="71"/>
      <c r="K1375" s="71"/>
    </row>
    <row r="1376" spans="2:11">
      <c r="B1376" s="71"/>
      <c r="E1376" s="71"/>
      <c r="H1376" s="71"/>
      <c r="K1376" s="71"/>
    </row>
    <row r="1377" spans="2:11">
      <c r="B1377" s="71"/>
      <c r="E1377" s="71"/>
      <c r="H1377" s="71"/>
      <c r="K1377" s="71"/>
    </row>
    <row r="1378" spans="2:11">
      <c r="B1378" s="71"/>
      <c r="E1378" s="71"/>
      <c r="H1378" s="71"/>
      <c r="K1378" s="71"/>
    </row>
    <row r="1379" spans="2:11">
      <c r="B1379" s="71"/>
      <c r="E1379" s="71"/>
      <c r="H1379" s="71"/>
      <c r="K1379" s="71"/>
    </row>
    <row r="1380" spans="2:11">
      <c r="B1380" s="71"/>
      <c r="E1380" s="71"/>
      <c r="H1380" s="71"/>
      <c r="K1380" s="71"/>
    </row>
    <row r="1381" spans="2:11">
      <c r="B1381" s="71"/>
      <c r="E1381" s="71"/>
      <c r="H1381" s="71"/>
      <c r="K1381" s="71"/>
    </row>
    <row r="1382" spans="2:11">
      <c r="B1382" s="71"/>
      <c r="E1382" s="71"/>
      <c r="H1382" s="71"/>
      <c r="K1382" s="71"/>
    </row>
    <row r="1383" spans="2:11">
      <c r="B1383" s="71"/>
      <c r="E1383" s="71"/>
      <c r="H1383" s="71"/>
      <c r="K1383" s="71"/>
    </row>
    <row r="1384" spans="2:11">
      <c r="B1384" s="71"/>
      <c r="E1384" s="71"/>
      <c r="H1384" s="71"/>
      <c r="K1384" s="71"/>
    </row>
    <row r="1385" spans="2:11">
      <c r="B1385" s="71"/>
      <c r="E1385" s="71"/>
      <c r="H1385" s="71"/>
      <c r="K1385" s="71"/>
    </row>
    <row r="1386" spans="2:11">
      <c r="B1386" s="71"/>
      <c r="E1386" s="71"/>
      <c r="H1386" s="71"/>
      <c r="K1386" s="71"/>
    </row>
    <row r="1387" spans="2:11">
      <c r="B1387" s="71"/>
      <c r="E1387" s="71"/>
      <c r="H1387" s="71"/>
      <c r="K1387" s="71"/>
    </row>
    <row r="1388" spans="2:11">
      <c r="B1388" s="71"/>
      <c r="E1388" s="71"/>
      <c r="H1388" s="71"/>
      <c r="K1388" s="71"/>
    </row>
    <row r="1389" spans="2:11">
      <c r="B1389" s="71"/>
      <c r="E1389" s="71"/>
      <c r="H1389" s="71"/>
      <c r="K1389" s="71"/>
    </row>
    <row r="1390" spans="2:11">
      <c r="B1390" s="71"/>
      <c r="E1390" s="71"/>
      <c r="H1390" s="71"/>
      <c r="K1390" s="71"/>
    </row>
    <row r="1391" spans="2:11">
      <c r="B1391" s="71"/>
      <c r="E1391" s="71"/>
      <c r="H1391" s="71"/>
      <c r="K1391" s="71"/>
    </row>
    <row r="1392" spans="2:11">
      <c r="B1392" s="71"/>
      <c r="E1392" s="71"/>
      <c r="H1392" s="71"/>
      <c r="K1392" s="71"/>
    </row>
    <row r="1393" spans="2:11">
      <c r="B1393" s="71"/>
      <c r="E1393" s="71"/>
      <c r="H1393" s="71"/>
      <c r="K1393" s="71"/>
    </row>
    <row r="1394" spans="2:11">
      <c r="B1394" s="71"/>
      <c r="E1394" s="71"/>
      <c r="H1394" s="71"/>
      <c r="K1394" s="71"/>
    </row>
    <row r="1395" spans="2:11">
      <c r="B1395" s="71"/>
      <c r="E1395" s="71"/>
      <c r="H1395" s="71"/>
      <c r="K1395" s="71"/>
    </row>
    <row r="1396" spans="2:11">
      <c r="B1396" s="71"/>
      <c r="E1396" s="71"/>
      <c r="H1396" s="71"/>
      <c r="K1396" s="71"/>
    </row>
    <row r="1397" spans="2:11">
      <c r="B1397" s="71"/>
      <c r="E1397" s="71"/>
      <c r="H1397" s="71"/>
      <c r="K1397" s="71"/>
    </row>
    <row r="1398" spans="2:11">
      <c r="B1398" s="71"/>
      <c r="E1398" s="71"/>
      <c r="H1398" s="71"/>
      <c r="K1398" s="71"/>
    </row>
    <row r="1399" spans="2:11">
      <c r="B1399" s="71"/>
      <c r="E1399" s="71"/>
      <c r="H1399" s="71"/>
      <c r="K1399" s="71"/>
    </row>
    <row r="1400" spans="2:11">
      <c r="B1400" s="71"/>
      <c r="E1400" s="71"/>
      <c r="H1400" s="71"/>
      <c r="K1400" s="71"/>
    </row>
    <row r="1401" spans="2:11">
      <c r="B1401" s="71"/>
      <c r="E1401" s="71"/>
      <c r="H1401" s="71"/>
      <c r="K1401" s="71"/>
    </row>
    <row r="1402" spans="2:11">
      <c r="B1402" s="71"/>
      <c r="E1402" s="71"/>
      <c r="H1402" s="71"/>
      <c r="K1402" s="71"/>
    </row>
    <row r="1403" spans="2:11">
      <c r="B1403" s="71"/>
      <c r="E1403" s="71"/>
      <c r="H1403" s="71"/>
      <c r="K1403" s="71"/>
    </row>
    <row r="1404" spans="2:11">
      <c r="B1404" s="71"/>
      <c r="E1404" s="71"/>
      <c r="H1404" s="71"/>
      <c r="K1404" s="71"/>
    </row>
    <row r="1405" spans="2:11">
      <c r="B1405" s="71"/>
      <c r="E1405" s="71"/>
      <c r="H1405" s="71"/>
      <c r="K1405" s="71"/>
    </row>
    <row r="1406" spans="2:11">
      <c r="B1406" s="71"/>
      <c r="E1406" s="71"/>
      <c r="H1406" s="71"/>
      <c r="K1406" s="71"/>
    </row>
    <row r="1407" spans="2:11">
      <c r="B1407" s="71"/>
      <c r="E1407" s="71"/>
      <c r="H1407" s="71"/>
      <c r="K1407" s="71"/>
    </row>
    <row r="1408" spans="2:11">
      <c r="B1408" s="71"/>
      <c r="E1408" s="71"/>
      <c r="H1408" s="71"/>
      <c r="K1408" s="71"/>
    </row>
    <row r="1409" spans="2:11">
      <c r="B1409" s="71"/>
      <c r="E1409" s="71"/>
      <c r="H1409" s="71"/>
      <c r="K1409" s="71"/>
    </row>
    <row r="1410" spans="2:11">
      <c r="B1410" s="71"/>
      <c r="E1410" s="71"/>
      <c r="H1410" s="71"/>
      <c r="K1410" s="71"/>
    </row>
    <row r="1411" spans="2:11">
      <c r="B1411" s="71"/>
      <c r="E1411" s="71"/>
      <c r="H1411" s="71"/>
      <c r="K1411" s="71"/>
    </row>
    <row r="1412" spans="2:11">
      <c r="B1412" s="71"/>
      <c r="E1412" s="71"/>
      <c r="H1412" s="71"/>
      <c r="K1412" s="71"/>
    </row>
    <row r="1413" spans="2:11">
      <c r="B1413" s="71"/>
      <c r="E1413" s="71"/>
      <c r="H1413" s="71"/>
      <c r="K1413" s="71"/>
    </row>
    <row r="1414" spans="2:11">
      <c r="B1414" s="71"/>
      <c r="E1414" s="71"/>
      <c r="H1414" s="71"/>
      <c r="K1414" s="71"/>
    </row>
    <row r="1415" spans="2:11">
      <c r="B1415" s="71"/>
      <c r="E1415" s="71"/>
      <c r="H1415" s="71"/>
      <c r="K1415" s="71"/>
    </row>
    <row r="1416" spans="2:11">
      <c r="B1416" s="71"/>
      <c r="E1416" s="71"/>
      <c r="H1416" s="71"/>
      <c r="K1416" s="71"/>
    </row>
    <row r="1417" spans="2:11">
      <c r="B1417" s="71"/>
      <c r="E1417" s="71"/>
      <c r="H1417" s="71"/>
      <c r="K1417" s="71"/>
    </row>
    <row r="1418" spans="2:11">
      <c r="B1418" s="71"/>
      <c r="E1418" s="71"/>
      <c r="K1418" s="71"/>
    </row>
    <row r="1419" spans="2:11">
      <c r="B1419" s="71"/>
      <c r="E1419" s="71"/>
      <c r="H1419" s="71"/>
      <c r="K1419" s="71"/>
    </row>
    <row r="1420" spans="2:11">
      <c r="B1420" s="71"/>
      <c r="E1420" s="71"/>
      <c r="H1420" s="71"/>
      <c r="K1420" s="71"/>
    </row>
    <row r="1421" spans="2:11">
      <c r="B1421" s="71"/>
      <c r="E1421" s="71"/>
      <c r="H1421" s="71"/>
      <c r="K1421" s="71"/>
    </row>
    <row r="1422" spans="2:11">
      <c r="B1422" s="71"/>
      <c r="E1422" s="71"/>
      <c r="H1422" s="71"/>
      <c r="K1422" s="71"/>
    </row>
    <row r="1423" spans="2:11">
      <c r="B1423" s="71"/>
      <c r="E1423" s="71"/>
      <c r="H1423" s="71"/>
      <c r="K1423" s="71"/>
    </row>
    <row r="1424" spans="2:11">
      <c r="B1424" s="71"/>
      <c r="E1424" s="71"/>
      <c r="H1424" s="71"/>
      <c r="K1424" s="71"/>
    </row>
    <row r="1425" spans="2:11">
      <c r="B1425" s="71"/>
      <c r="E1425" s="71"/>
      <c r="H1425" s="71"/>
      <c r="K1425" s="71"/>
    </row>
    <row r="1426" spans="2:11">
      <c r="B1426" s="71"/>
      <c r="E1426" s="71"/>
      <c r="H1426" s="71"/>
      <c r="K1426" s="71"/>
    </row>
    <row r="1427" spans="2:11">
      <c r="B1427" s="71"/>
      <c r="E1427" s="71"/>
      <c r="H1427" s="71"/>
      <c r="K1427" s="71"/>
    </row>
    <row r="1428" spans="2:11">
      <c r="B1428" s="71"/>
      <c r="E1428" s="71"/>
      <c r="H1428" s="71"/>
      <c r="K1428" s="71"/>
    </row>
    <row r="1429" spans="2:11">
      <c r="B1429" s="71"/>
      <c r="E1429" s="71"/>
      <c r="H1429" s="71"/>
      <c r="K1429" s="71"/>
    </row>
    <row r="1430" spans="2:11">
      <c r="B1430" s="71"/>
      <c r="E1430" s="71"/>
      <c r="H1430" s="71"/>
      <c r="K1430" s="71"/>
    </row>
    <row r="1431" spans="2:11">
      <c r="B1431" s="71"/>
      <c r="E1431" s="71"/>
      <c r="K1431" s="71"/>
    </row>
    <row r="1432" spans="2:11">
      <c r="B1432" s="71"/>
      <c r="E1432" s="71"/>
      <c r="H1432" s="71"/>
      <c r="K1432" s="71"/>
    </row>
    <row r="1433" spans="2:11">
      <c r="B1433" s="71"/>
      <c r="E1433" s="71"/>
      <c r="H1433" s="71"/>
      <c r="K1433" s="71"/>
    </row>
    <row r="1434" spans="2:11">
      <c r="B1434" s="71"/>
      <c r="E1434" s="71"/>
      <c r="H1434" s="71"/>
      <c r="K1434" s="71"/>
    </row>
    <row r="1435" spans="2:11">
      <c r="B1435" s="71"/>
      <c r="E1435" s="71"/>
      <c r="H1435" s="71"/>
      <c r="K1435" s="71"/>
    </row>
    <row r="1436" spans="2:11">
      <c r="B1436" s="71"/>
      <c r="E1436" s="71"/>
      <c r="H1436" s="71"/>
      <c r="K1436" s="71"/>
    </row>
    <row r="1437" spans="2:11">
      <c r="B1437" s="71"/>
      <c r="E1437" s="71"/>
      <c r="H1437" s="71"/>
      <c r="K1437" s="71"/>
    </row>
    <row r="1438" spans="2:11">
      <c r="B1438" s="71"/>
      <c r="E1438" s="71"/>
      <c r="H1438" s="71"/>
      <c r="K1438" s="71"/>
    </row>
    <row r="1439" spans="2:11">
      <c r="B1439" s="71"/>
      <c r="E1439" s="71"/>
      <c r="H1439" s="71"/>
      <c r="K1439" s="71"/>
    </row>
    <row r="1440" spans="2:11">
      <c r="B1440" s="71"/>
      <c r="E1440" s="71"/>
      <c r="H1440" s="71"/>
      <c r="K1440" s="71"/>
    </row>
    <row r="1441" spans="2:11">
      <c r="B1441" s="71"/>
      <c r="E1441" s="71"/>
      <c r="H1441" s="71"/>
      <c r="K1441" s="71"/>
    </row>
    <row r="1442" spans="2:11">
      <c r="B1442" s="71"/>
      <c r="E1442" s="71"/>
      <c r="H1442" s="71"/>
      <c r="K1442" s="71"/>
    </row>
    <row r="1443" spans="2:11">
      <c r="B1443" s="71"/>
      <c r="E1443" s="71"/>
      <c r="H1443" s="71"/>
      <c r="K1443" s="71"/>
    </row>
    <row r="1444" spans="2:11">
      <c r="B1444" s="71"/>
      <c r="E1444" s="71"/>
      <c r="H1444" s="71"/>
      <c r="K1444" s="71"/>
    </row>
    <row r="1445" spans="2:11">
      <c r="B1445" s="71"/>
      <c r="E1445" s="71"/>
      <c r="H1445" s="71"/>
      <c r="K1445" s="71"/>
    </row>
    <row r="1446" spans="2:11">
      <c r="B1446" s="71"/>
      <c r="E1446" s="71"/>
      <c r="H1446" s="71"/>
      <c r="K1446" s="71"/>
    </row>
    <row r="1447" spans="2:11">
      <c r="B1447" s="71"/>
      <c r="E1447" s="71"/>
      <c r="H1447" s="71"/>
      <c r="K1447" s="71"/>
    </row>
    <row r="1448" spans="2:11">
      <c r="B1448" s="71"/>
      <c r="E1448" s="71"/>
      <c r="H1448" s="71"/>
      <c r="K1448" s="71"/>
    </row>
    <row r="1449" spans="2:11">
      <c r="B1449" s="71"/>
      <c r="E1449" s="71"/>
      <c r="H1449" s="71"/>
      <c r="K1449" s="71"/>
    </row>
    <row r="1450" spans="2:11">
      <c r="B1450" s="71"/>
      <c r="E1450" s="71"/>
      <c r="H1450" s="71"/>
      <c r="K1450" s="71"/>
    </row>
    <row r="1451" spans="2:11">
      <c r="B1451" s="71"/>
      <c r="E1451" s="71"/>
      <c r="H1451" s="71"/>
      <c r="K1451" s="71"/>
    </row>
    <row r="1452" spans="2:11">
      <c r="B1452" s="71"/>
      <c r="E1452" s="71"/>
      <c r="K1452" s="71"/>
    </row>
    <row r="1453" spans="2:11">
      <c r="B1453" s="71"/>
      <c r="E1453" s="71"/>
      <c r="H1453" s="71"/>
      <c r="K1453" s="71"/>
    </row>
    <row r="1454" spans="2:11">
      <c r="B1454" s="71"/>
      <c r="E1454" s="71"/>
      <c r="H1454" s="71"/>
      <c r="K1454" s="71"/>
    </row>
    <row r="1455" spans="2:11">
      <c r="B1455" s="71"/>
      <c r="E1455" s="71"/>
      <c r="H1455" s="71"/>
      <c r="K1455" s="71"/>
    </row>
    <row r="1456" spans="2:11">
      <c r="B1456" s="71"/>
      <c r="E1456" s="71"/>
      <c r="H1456" s="71"/>
      <c r="K1456" s="71"/>
    </row>
    <row r="1457" spans="2:11">
      <c r="B1457" s="71"/>
      <c r="E1457" s="71"/>
      <c r="H1457" s="71"/>
      <c r="K1457" s="71"/>
    </row>
    <row r="1458" spans="2:11">
      <c r="B1458" s="71"/>
      <c r="E1458" s="71"/>
      <c r="H1458" s="71"/>
      <c r="K1458" s="71"/>
    </row>
    <row r="1459" spans="2:11">
      <c r="B1459" s="71"/>
      <c r="E1459" s="71"/>
      <c r="H1459" s="71"/>
      <c r="K1459" s="71"/>
    </row>
    <row r="1460" spans="2:11">
      <c r="B1460" s="71"/>
      <c r="E1460" s="71"/>
      <c r="H1460" s="71"/>
      <c r="K1460" s="71"/>
    </row>
    <row r="1461" spans="2:11">
      <c r="B1461" s="71"/>
      <c r="E1461" s="71"/>
      <c r="H1461" s="71"/>
      <c r="K1461" s="71"/>
    </row>
    <row r="1462" spans="2:11">
      <c r="B1462" s="71"/>
      <c r="E1462" s="71"/>
      <c r="H1462" s="71"/>
      <c r="K1462" s="71"/>
    </row>
    <row r="1463" spans="2:11">
      <c r="B1463" s="71"/>
      <c r="E1463" s="71"/>
      <c r="H1463" s="71"/>
      <c r="K1463" s="71"/>
    </row>
    <row r="1464" spans="2:11">
      <c r="E1464" s="71"/>
      <c r="H1464" s="71"/>
      <c r="K1464" s="71"/>
    </row>
    <row r="1465" spans="2:11">
      <c r="B1465" s="71"/>
      <c r="E1465" s="71"/>
      <c r="H1465" s="71"/>
      <c r="K1465" s="71"/>
    </row>
    <row r="1466" spans="2:11">
      <c r="B1466" s="71"/>
      <c r="E1466" s="71"/>
      <c r="H1466" s="71"/>
      <c r="K1466" s="71"/>
    </row>
    <row r="1467" spans="2:11">
      <c r="B1467" s="71"/>
      <c r="E1467" s="71"/>
      <c r="H1467" s="71"/>
      <c r="K1467" s="71"/>
    </row>
    <row r="1468" spans="2:11">
      <c r="B1468" s="71"/>
      <c r="E1468" s="71"/>
      <c r="H1468" s="71"/>
      <c r="K1468" s="71"/>
    </row>
    <row r="1469" spans="2:11">
      <c r="B1469" s="71"/>
      <c r="E1469" s="71"/>
      <c r="H1469" s="71"/>
      <c r="K1469" s="71"/>
    </row>
    <row r="1470" spans="2:11">
      <c r="B1470" s="71"/>
      <c r="E1470" s="71"/>
      <c r="H1470" s="71"/>
      <c r="K1470" s="71"/>
    </row>
    <row r="1471" spans="2:11">
      <c r="B1471" s="71"/>
      <c r="E1471" s="71"/>
      <c r="H1471" s="71"/>
      <c r="K1471" s="71"/>
    </row>
    <row r="1472" spans="2:11">
      <c r="B1472" s="71"/>
      <c r="E1472" s="71"/>
      <c r="H1472" s="71"/>
      <c r="K1472" s="71"/>
    </row>
    <row r="1473" spans="2:11">
      <c r="B1473" s="71"/>
      <c r="E1473" s="71"/>
      <c r="H1473" s="71"/>
      <c r="K1473" s="71"/>
    </row>
    <row r="1474" spans="2:11">
      <c r="B1474" s="71"/>
      <c r="E1474" s="71"/>
      <c r="H1474" s="71"/>
      <c r="K1474" s="71"/>
    </row>
    <row r="1475" spans="2:11">
      <c r="B1475" s="71"/>
      <c r="E1475" s="71"/>
      <c r="H1475" s="71"/>
      <c r="K1475" s="71"/>
    </row>
    <row r="1476" spans="2:11">
      <c r="B1476" s="71"/>
      <c r="E1476" s="71"/>
      <c r="H1476" s="71"/>
      <c r="K1476" s="71"/>
    </row>
    <row r="1477" spans="2:11">
      <c r="B1477" s="71"/>
      <c r="E1477" s="71"/>
      <c r="H1477" s="71"/>
      <c r="K1477" s="71"/>
    </row>
    <row r="1478" spans="2:11">
      <c r="B1478" s="71"/>
      <c r="E1478" s="71"/>
      <c r="H1478" s="71"/>
      <c r="K1478" s="71"/>
    </row>
    <row r="1479" spans="2:11">
      <c r="B1479" s="71"/>
      <c r="E1479" s="71"/>
      <c r="H1479" s="71"/>
      <c r="K1479" s="71"/>
    </row>
    <row r="1480" spans="2:11">
      <c r="B1480" s="71"/>
      <c r="E1480" s="71"/>
      <c r="H1480" s="71"/>
      <c r="K1480" s="71"/>
    </row>
    <row r="1481" spans="2:11">
      <c r="B1481" s="71"/>
      <c r="E1481" s="71"/>
      <c r="H1481" s="71"/>
      <c r="K1481" s="71"/>
    </row>
    <row r="1482" spans="2:11">
      <c r="B1482" s="71"/>
      <c r="E1482" s="71"/>
      <c r="H1482" s="71"/>
      <c r="K1482" s="71"/>
    </row>
    <row r="1483" spans="2:11">
      <c r="B1483" s="71"/>
      <c r="E1483" s="71"/>
      <c r="H1483" s="71"/>
      <c r="K1483" s="71"/>
    </row>
    <row r="1484" spans="2:11">
      <c r="B1484" s="71"/>
      <c r="E1484" s="71"/>
      <c r="H1484" s="71"/>
      <c r="K1484" s="71"/>
    </row>
    <row r="1485" spans="2:11">
      <c r="B1485" s="71"/>
      <c r="E1485" s="71"/>
      <c r="H1485" s="71"/>
      <c r="K1485" s="71"/>
    </row>
    <row r="1486" spans="2:11">
      <c r="B1486" s="71"/>
      <c r="E1486" s="71"/>
      <c r="H1486" s="71"/>
      <c r="K1486" s="71"/>
    </row>
    <row r="1487" spans="2:11">
      <c r="B1487" s="71"/>
      <c r="E1487" s="71"/>
      <c r="H1487" s="71"/>
      <c r="K1487" s="71"/>
    </row>
    <row r="1488" spans="2:11">
      <c r="B1488" s="71"/>
      <c r="E1488" s="71"/>
      <c r="H1488" s="71"/>
      <c r="K1488" s="71"/>
    </row>
    <row r="1489" spans="2:11">
      <c r="B1489" s="71"/>
      <c r="E1489" s="71"/>
      <c r="H1489" s="71"/>
      <c r="K1489" s="71"/>
    </row>
    <row r="1490" spans="2:11">
      <c r="B1490" s="71"/>
      <c r="E1490" s="71"/>
      <c r="H1490" s="71"/>
      <c r="K1490" s="71"/>
    </row>
    <row r="1491" spans="2:11">
      <c r="B1491" s="71"/>
      <c r="E1491" s="71"/>
      <c r="H1491" s="71"/>
      <c r="K1491" s="71"/>
    </row>
    <row r="1492" spans="2:11">
      <c r="B1492" s="71"/>
      <c r="E1492" s="71"/>
      <c r="H1492" s="71"/>
      <c r="K1492" s="71"/>
    </row>
    <row r="1493" spans="2:11">
      <c r="B1493" s="71"/>
      <c r="E1493" s="71"/>
      <c r="H1493" s="71"/>
      <c r="K1493" s="71"/>
    </row>
    <row r="1494" spans="2:11">
      <c r="B1494" s="71"/>
      <c r="E1494" s="71"/>
      <c r="H1494" s="71"/>
      <c r="K1494" s="71"/>
    </row>
    <row r="1495" spans="2:11">
      <c r="B1495" s="71"/>
      <c r="E1495" s="71"/>
      <c r="H1495" s="71"/>
      <c r="K1495" s="71"/>
    </row>
    <row r="1496" spans="2:11">
      <c r="B1496" s="71"/>
      <c r="E1496" s="71"/>
      <c r="H1496" s="71"/>
      <c r="K1496" s="71"/>
    </row>
    <row r="1497" spans="2:11">
      <c r="B1497" s="71"/>
      <c r="E1497" s="71"/>
      <c r="H1497" s="71"/>
      <c r="K1497" s="71"/>
    </row>
    <row r="1498" spans="2:11">
      <c r="B1498" s="71"/>
      <c r="E1498" s="71"/>
      <c r="H1498" s="71"/>
      <c r="K1498" s="71"/>
    </row>
    <row r="1499" spans="2:11">
      <c r="B1499" s="71"/>
      <c r="E1499" s="71"/>
      <c r="H1499" s="71"/>
      <c r="K1499" s="71"/>
    </row>
    <row r="1500" spans="2:11">
      <c r="B1500" s="71"/>
      <c r="E1500" s="71"/>
      <c r="H1500" s="71"/>
      <c r="K1500" s="71"/>
    </row>
    <row r="1501" spans="2:11">
      <c r="B1501" s="71"/>
      <c r="E1501" s="71"/>
      <c r="H1501" s="71"/>
      <c r="K1501" s="71"/>
    </row>
    <row r="1502" spans="2:11">
      <c r="B1502" s="71"/>
      <c r="E1502" s="71"/>
      <c r="H1502" s="71"/>
      <c r="K1502" s="71"/>
    </row>
    <row r="1503" spans="2:11">
      <c r="B1503" s="71"/>
      <c r="E1503" s="71"/>
      <c r="H1503" s="71"/>
      <c r="K1503" s="71"/>
    </row>
    <row r="1504" spans="2:11">
      <c r="B1504" s="71"/>
      <c r="E1504" s="71"/>
      <c r="H1504" s="71"/>
      <c r="K1504" s="71"/>
    </row>
    <row r="1505" spans="2:11">
      <c r="B1505" s="71"/>
      <c r="E1505" s="71"/>
      <c r="H1505" s="71"/>
      <c r="K1505" s="71"/>
    </row>
    <row r="1506" spans="2:11">
      <c r="B1506" s="71"/>
      <c r="E1506" s="71"/>
      <c r="H1506" s="71"/>
      <c r="K1506" s="71"/>
    </row>
    <row r="1507" spans="2:11">
      <c r="B1507" s="71"/>
      <c r="E1507" s="71"/>
      <c r="H1507" s="71"/>
      <c r="K1507" s="71"/>
    </row>
    <row r="1508" spans="2:11">
      <c r="B1508" s="71"/>
      <c r="E1508" s="71"/>
      <c r="H1508" s="71"/>
      <c r="K1508" s="71"/>
    </row>
    <row r="1509" spans="2:11">
      <c r="B1509" s="71"/>
      <c r="E1509" s="71"/>
      <c r="H1509" s="71"/>
      <c r="K1509" s="71"/>
    </row>
    <row r="1510" spans="2:11">
      <c r="B1510" s="71"/>
      <c r="E1510" s="71"/>
      <c r="H1510" s="71"/>
      <c r="K1510" s="71"/>
    </row>
    <row r="1511" spans="2:11">
      <c r="B1511" s="71"/>
      <c r="E1511" s="71"/>
      <c r="H1511" s="71"/>
      <c r="K1511" s="71"/>
    </row>
    <row r="1512" spans="2:11">
      <c r="B1512" s="71"/>
      <c r="E1512" s="71"/>
      <c r="H1512" s="71"/>
      <c r="K1512" s="71"/>
    </row>
    <row r="1513" spans="2:11">
      <c r="B1513" s="71"/>
      <c r="E1513" s="71"/>
      <c r="H1513" s="71"/>
      <c r="K1513" s="71"/>
    </row>
    <row r="1514" spans="2:11">
      <c r="B1514" s="71"/>
      <c r="E1514" s="71"/>
      <c r="H1514" s="71"/>
      <c r="K1514" s="71"/>
    </row>
    <row r="1515" spans="2:11">
      <c r="B1515" s="71"/>
      <c r="E1515" s="71"/>
      <c r="H1515" s="71"/>
      <c r="K1515" s="71"/>
    </row>
    <row r="1516" spans="2:11">
      <c r="B1516" s="71"/>
      <c r="E1516" s="71"/>
      <c r="H1516" s="71"/>
      <c r="K1516" s="71"/>
    </row>
    <row r="1517" spans="2:11">
      <c r="B1517" s="71"/>
      <c r="E1517" s="71"/>
      <c r="H1517" s="71"/>
      <c r="K1517" s="71"/>
    </row>
    <row r="1518" spans="2:11">
      <c r="B1518" s="71"/>
      <c r="E1518" s="71"/>
      <c r="H1518" s="71"/>
      <c r="K1518" s="71"/>
    </row>
    <row r="1519" spans="2:11">
      <c r="B1519" s="71"/>
      <c r="E1519" s="71"/>
      <c r="H1519" s="71"/>
      <c r="K1519" s="71"/>
    </row>
    <row r="1520" spans="2:11">
      <c r="B1520" s="71"/>
      <c r="E1520" s="71"/>
      <c r="H1520" s="71"/>
      <c r="K1520" s="71"/>
    </row>
    <row r="1521" spans="2:11">
      <c r="B1521" s="71"/>
      <c r="E1521" s="71"/>
      <c r="H1521" s="71"/>
      <c r="K1521" s="71"/>
    </row>
    <row r="1522" spans="2:11">
      <c r="B1522" s="71"/>
      <c r="E1522" s="71"/>
      <c r="H1522" s="71"/>
      <c r="K1522" s="71"/>
    </row>
    <row r="1523" spans="2:11">
      <c r="B1523" s="71"/>
      <c r="E1523" s="71"/>
      <c r="H1523" s="71"/>
      <c r="K1523" s="71"/>
    </row>
    <row r="1524" spans="2:11">
      <c r="B1524" s="71"/>
      <c r="E1524" s="71"/>
      <c r="H1524" s="71"/>
      <c r="K1524" s="71"/>
    </row>
    <row r="1525" spans="2:11">
      <c r="B1525" s="71"/>
      <c r="E1525" s="71"/>
      <c r="H1525" s="71"/>
      <c r="K1525" s="71"/>
    </row>
    <row r="1526" spans="2:11">
      <c r="B1526" s="71"/>
      <c r="E1526" s="71"/>
      <c r="H1526" s="71"/>
      <c r="K1526" s="71"/>
    </row>
    <row r="1527" spans="2:11">
      <c r="B1527" s="71"/>
      <c r="E1527" s="71"/>
      <c r="H1527" s="71"/>
      <c r="K1527" s="71"/>
    </row>
    <row r="1528" spans="2:11">
      <c r="B1528" s="71"/>
      <c r="E1528" s="71"/>
      <c r="H1528" s="71"/>
      <c r="K1528" s="71"/>
    </row>
    <row r="1529" spans="2:11">
      <c r="B1529" s="71"/>
      <c r="E1529" s="71"/>
      <c r="H1529" s="71"/>
      <c r="K1529" s="71"/>
    </row>
    <row r="1530" spans="2:11">
      <c r="B1530" s="71"/>
      <c r="E1530" s="71"/>
      <c r="H1530" s="71"/>
      <c r="K1530" s="71"/>
    </row>
    <row r="1531" spans="2:11">
      <c r="B1531" s="71"/>
      <c r="E1531" s="71"/>
      <c r="H1531" s="71"/>
      <c r="K1531" s="71"/>
    </row>
    <row r="1532" spans="2:11">
      <c r="B1532" s="71"/>
      <c r="E1532" s="71"/>
      <c r="H1532" s="71"/>
      <c r="K1532" s="71"/>
    </row>
    <row r="1533" spans="2:11">
      <c r="B1533" s="71"/>
      <c r="E1533" s="71"/>
      <c r="H1533" s="71"/>
      <c r="K1533" s="71"/>
    </row>
    <row r="1534" spans="2:11">
      <c r="B1534" s="71"/>
      <c r="E1534" s="71"/>
      <c r="H1534" s="71"/>
      <c r="K1534" s="71"/>
    </row>
    <row r="1535" spans="2:11">
      <c r="B1535" s="71"/>
      <c r="E1535" s="71"/>
      <c r="H1535" s="71"/>
      <c r="K1535" s="71"/>
    </row>
    <row r="1536" spans="2:11">
      <c r="B1536" s="71"/>
      <c r="E1536" s="71"/>
      <c r="H1536" s="71"/>
      <c r="K1536" s="71"/>
    </row>
    <row r="1537" spans="2:11">
      <c r="B1537" s="71"/>
      <c r="E1537" s="71"/>
      <c r="H1537" s="71"/>
      <c r="K1537" s="71"/>
    </row>
    <row r="1538" spans="2:11">
      <c r="B1538" s="71"/>
      <c r="E1538" s="71"/>
      <c r="H1538" s="71"/>
      <c r="K1538" s="71"/>
    </row>
    <row r="1539" spans="2:11">
      <c r="B1539" s="71"/>
      <c r="E1539" s="71"/>
      <c r="H1539" s="71"/>
      <c r="K1539" s="71"/>
    </row>
    <row r="1540" spans="2:11">
      <c r="B1540" s="71"/>
      <c r="E1540" s="71"/>
      <c r="H1540" s="71"/>
      <c r="K1540" s="71"/>
    </row>
    <row r="1541" spans="2:11">
      <c r="B1541" s="71"/>
      <c r="E1541" s="71"/>
      <c r="H1541" s="71"/>
      <c r="K1541" s="71"/>
    </row>
    <row r="1542" spans="2:11">
      <c r="B1542" s="71"/>
      <c r="E1542" s="71"/>
      <c r="H1542" s="71"/>
      <c r="K1542" s="71"/>
    </row>
    <row r="1543" spans="2:11">
      <c r="B1543" s="71"/>
      <c r="E1543" s="71"/>
      <c r="H1543" s="71"/>
      <c r="K1543" s="71"/>
    </row>
    <row r="1544" spans="2:11">
      <c r="B1544" s="71"/>
      <c r="E1544" s="71"/>
      <c r="H1544" s="71"/>
      <c r="K1544" s="71"/>
    </row>
    <row r="1545" spans="2:11">
      <c r="B1545" s="71"/>
      <c r="E1545" s="71"/>
      <c r="H1545" s="71"/>
      <c r="K1545" s="71"/>
    </row>
    <row r="1546" spans="2:11">
      <c r="B1546" s="71"/>
      <c r="E1546" s="71"/>
      <c r="H1546" s="71"/>
      <c r="K1546" s="71"/>
    </row>
    <row r="1547" spans="2:11">
      <c r="B1547" s="71"/>
      <c r="E1547" s="71"/>
      <c r="H1547" s="71"/>
      <c r="K1547" s="71"/>
    </row>
    <row r="1548" spans="2:11">
      <c r="B1548" s="71"/>
      <c r="E1548" s="71"/>
      <c r="H1548" s="71"/>
      <c r="K1548" s="71"/>
    </row>
    <row r="1549" spans="2:11">
      <c r="B1549" s="71"/>
      <c r="E1549" s="71"/>
      <c r="H1549" s="71"/>
      <c r="K1549" s="71"/>
    </row>
    <row r="1550" spans="2:11">
      <c r="B1550" s="71"/>
      <c r="E1550" s="71"/>
      <c r="H1550" s="71"/>
      <c r="K1550" s="71"/>
    </row>
    <row r="1551" spans="2:11">
      <c r="B1551" s="71"/>
      <c r="E1551" s="71"/>
      <c r="H1551" s="71"/>
      <c r="K1551" s="71"/>
    </row>
    <row r="1552" spans="2:11">
      <c r="B1552" s="71"/>
      <c r="E1552" s="71"/>
      <c r="H1552" s="71"/>
      <c r="K1552" s="71"/>
    </row>
    <row r="1553" spans="2:11">
      <c r="B1553" s="71"/>
      <c r="E1553" s="71"/>
      <c r="H1553" s="71"/>
      <c r="K1553" s="71"/>
    </row>
    <row r="1554" spans="2:11">
      <c r="B1554" s="71"/>
      <c r="E1554" s="71"/>
      <c r="H1554" s="71"/>
      <c r="K1554" s="71"/>
    </row>
    <row r="1555" spans="2:11">
      <c r="B1555" s="71"/>
      <c r="E1555" s="71"/>
      <c r="H1555" s="71"/>
      <c r="K1555" s="71"/>
    </row>
    <row r="1556" spans="2:11">
      <c r="B1556" s="71"/>
      <c r="E1556" s="71"/>
      <c r="H1556" s="71"/>
      <c r="K1556" s="71"/>
    </row>
    <row r="1557" spans="2:11">
      <c r="B1557" s="71"/>
      <c r="E1557" s="71"/>
      <c r="H1557" s="71"/>
      <c r="K1557" s="71"/>
    </row>
    <row r="1558" spans="2:11">
      <c r="B1558" s="71"/>
      <c r="E1558" s="71"/>
      <c r="H1558" s="71"/>
      <c r="K1558" s="71"/>
    </row>
    <row r="1559" spans="2:11">
      <c r="B1559" s="71"/>
      <c r="E1559" s="71"/>
      <c r="H1559" s="71"/>
      <c r="K1559" s="71"/>
    </row>
    <row r="1560" spans="2:11">
      <c r="B1560" s="71"/>
      <c r="E1560" s="71"/>
      <c r="H1560" s="71"/>
      <c r="K1560" s="71"/>
    </row>
    <row r="1561" spans="2:11">
      <c r="B1561" s="71"/>
      <c r="E1561" s="71"/>
      <c r="H1561" s="71"/>
      <c r="K1561" s="71"/>
    </row>
    <row r="1562" spans="2:11">
      <c r="B1562" s="71"/>
      <c r="E1562" s="71"/>
      <c r="H1562" s="71"/>
      <c r="K1562" s="71"/>
    </row>
    <row r="1563" spans="2:11">
      <c r="B1563" s="71"/>
      <c r="E1563" s="71"/>
      <c r="H1563" s="71"/>
      <c r="K1563" s="71"/>
    </row>
    <row r="1564" spans="2:11">
      <c r="B1564" s="71"/>
      <c r="E1564" s="71"/>
      <c r="H1564" s="71"/>
      <c r="K1564" s="71"/>
    </row>
    <row r="1565" spans="2:11">
      <c r="B1565" s="71"/>
      <c r="E1565" s="71"/>
      <c r="H1565" s="71"/>
      <c r="K1565" s="71"/>
    </row>
    <row r="1566" spans="2:11">
      <c r="B1566" s="71"/>
      <c r="E1566" s="71"/>
      <c r="H1566" s="71"/>
      <c r="K1566" s="71"/>
    </row>
    <row r="1567" spans="2:11">
      <c r="B1567" s="71"/>
      <c r="E1567" s="71"/>
      <c r="H1567" s="71"/>
      <c r="K1567" s="71"/>
    </row>
    <row r="1568" spans="2:11">
      <c r="B1568" s="71"/>
      <c r="E1568" s="71"/>
      <c r="H1568" s="71"/>
      <c r="K1568" s="71"/>
    </row>
    <row r="1569" spans="2:11">
      <c r="B1569" s="71"/>
      <c r="E1569" s="71"/>
      <c r="H1569" s="71"/>
      <c r="K1569" s="71"/>
    </row>
    <row r="1570" spans="2:11">
      <c r="B1570" s="71"/>
      <c r="E1570" s="71"/>
      <c r="H1570" s="71"/>
      <c r="K1570" s="71"/>
    </row>
    <row r="1571" spans="2:11">
      <c r="B1571" s="71"/>
      <c r="E1571" s="71"/>
      <c r="H1571" s="71"/>
      <c r="K1571" s="71"/>
    </row>
    <row r="1572" spans="2:11">
      <c r="B1572" s="71"/>
      <c r="E1572" s="71"/>
      <c r="H1572" s="71"/>
      <c r="K1572" s="71"/>
    </row>
    <row r="1573" spans="2:11">
      <c r="B1573" s="71"/>
      <c r="E1573" s="71"/>
      <c r="H1573" s="71"/>
      <c r="K1573" s="71"/>
    </row>
    <row r="1574" spans="2:11">
      <c r="B1574" s="71"/>
      <c r="E1574" s="71"/>
      <c r="H1574" s="71"/>
      <c r="K1574" s="71"/>
    </row>
    <row r="1575" spans="2:11">
      <c r="B1575" s="71"/>
      <c r="E1575" s="71"/>
      <c r="H1575" s="71"/>
      <c r="K1575" s="71"/>
    </row>
    <row r="1576" spans="2:11">
      <c r="B1576" s="71"/>
      <c r="E1576" s="71"/>
      <c r="H1576" s="71"/>
      <c r="K1576" s="71"/>
    </row>
    <row r="1577" spans="2:11">
      <c r="B1577" s="71"/>
      <c r="E1577" s="71"/>
      <c r="H1577" s="71"/>
      <c r="K1577" s="71"/>
    </row>
    <row r="1578" spans="2:11">
      <c r="B1578" s="71"/>
      <c r="E1578" s="71"/>
      <c r="H1578" s="71"/>
      <c r="K1578" s="71"/>
    </row>
    <row r="1579" spans="2:11">
      <c r="B1579" s="71"/>
      <c r="E1579" s="71"/>
      <c r="H1579" s="71"/>
      <c r="K1579" s="71"/>
    </row>
    <row r="1580" spans="2:11">
      <c r="B1580" s="71"/>
      <c r="E1580" s="71"/>
      <c r="H1580" s="71"/>
      <c r="K1580" s="71"/>
    </row>
    <row r="1581" spans="2:11">
      <c r="B1581" s="71"/>
      <c r="E1581" s="71"/>
      <c r="H1581" s="71"/>
      <c r="K1581" s="71"/>
    </row>
    <row r="1582" spans="2:11">
      <c r="B1582" s="71"/>
      <c r="E1582" s="71"/>
      <c r="H1582" s="71"/>
      <c r="K1582" s="71"/>
    </row>
    <row r="1583" spans="2:11">
      <c r="B1583" s="71"/>
      <c r="E1583" s="71"/>
      <c r="H1583" s="71"/>
      <c r="K1583" s="71"/>
    </row>
    <row r="1584" spans="2:11">
      <c r="B1584" s="71"/>
      <c r="E1584" s="71"/>
      <c r="H1584" s="71"/>
      <c r="K1584" s="71"/>
    </row>
    <row r="1585" spans="2:11">
      <c r="B1585" s="71"/>
      <c r="E1585" s="71"/>
      <c r="H1585" s="71"/>
      <c r="K1585" s="71"/>
    </row>
    <row r="1586" spans="2:11">
      <c r="B1586" s="71"/>
      <c r="E1586" s="71"/>
      <c r="H1586" s="71"/>
      <c r="K1586" s="71"/>
    </row>
    <row r="1587" spans="2:11">
      <c r="B1587" s="71"/>
      <c r="E1587" s="71"/>
      <c r="H1587" s="71"/>
      <c r="K1587" s="71"/>
    </row>
    <row r="1588" spans="2:11">
      <c r="B1588" s="71"/>
      <c r="E1588" s="71"/>
      <c r="H1588" s="71"/>
      <c r="K1588" s="71"/>
    </row>
    <row r="1589" spans="2:11">
      <c r="B1589" s="71"/>
      <c r="E1589" s="71"/>
      <c r="H1589" s="71"/>
      <c r="K1589" s="71"/>
    </row>
    <row r="1590" spans="2:11">
      <c r="B1590" s="71"/>
      <c r="E1590" s="71"/>
      <c r="H1590" s="71"/>
      <c r="K1590" s="71"/>
    </row>
    <row r="1591" spans="2:11">
      <c r="B1591" s="71"/>
      <c r="E1591" s="71"/>
      <c r="H1591" s="71"/>
      <c r="K1591" s="71"/>
    </row>
    <row r="1592" spans="2:11">
      <c r="B1592" s="71"/>
      <c r="E1592" s="71"/>
      <c r="H1592" s="71"/>
      <c r="K1592" s="71"/>
    </row>
    <row r="1593" spans="2:11">
      <c r="B1593" s="71"/>
      <c r="E1593" s="71"/>
      <c r="H1593" s="71"/>
      <c r="K1593" s="71"/>
    </row>
    <row r="1594" spans="2:11">
      <c r="B1594" s="71"/>
      <c r="E1594" s="71"/>
      <c r="H1594" s="71"/>
      <c r="K1594" s="71"/>
    </row>
    <row r="1595" spans="2:11">
      <c r="B1595" s="71"/>
      <c r="E1595" s="71"/>
      <c r="H1595" s="71"/>
      <c r="K1595" s="71"/>
    </row>
    <row r="1596" spans="2:11">
      <c r="B1596" s="71"/>
      <c r="E1596" s="71"/>
      <c r="H1596" s="71"/>
      <c r="K1596" s="71"/>
    </row>
    <row r="1597" spans="2:11">
      <c r="B1597" s="71"/>
      <c r="E1597" s="71"/>
      <c r="H1597" s="71"/>
      <c r="K1597" s="71"/>
    </row>
    <row r="1598" spans="2:11">
      <c r="B1598" s="71"/>
      <c r="E1598" s="71"/>
      <c r="H1598" s="71"/>
      <c r="K1598" s="71"/>
    </row>
    <row r="1599" spans="2:11">
      <c r="B1599" s="71"/>
      <c r="E1599" s="71"/>
      <c r="H1599" s="71"/>
      <c r="K1599" s="71"/>
    </row>
    <row r="1600" spans="2:11">
      <c r="B1600" s="71"/>
      <c r="E1600" s="71"/>
      <c r="H1600" s="71"/>
      <c r="K1600" s="71"/>
    </row>
    <row r="1601" spans="2:11">
      <c r="B1601" s="71"/>
      <c r="E1601" s="71"/>
      <c r="H1601" s="71"/>
      <c r="K1601" s="71"/>
    </row>
    <row r="1602" spans="2:11">
      <c r="B1602" s="71"/>
      <c r="E1602" s="71"/>
      <c r="H1602" s="71"/>
      <c r="K1602" s="71"/>
    </row>
    <row r="1603" spans="2:11">
      <c r="B1603" s="71"/>
      <c r="E1603" s="71"/>
      <c r="H1603" s="71"/>
      <c r="K1603" s="71"/>
    </row>
    <row r="1604" spans="2:11">
      <c r="B1604" s="71"/>
      <c r="E1604" s="71"/>
      <c r="H1604" s="71"/>
      <c r="K1604" s="71"/>
    </row>
    <row r="1605" spans="2:11">
      <c r="B1605" s="71"/>
      <c r="E1605" s="71"/>
      <c r="H1605" s="71"/>
      <c r="K1605" s="71"/>
    </row>
    <row r="1606" spans="2:11">
      <c r="B1606" s="71"/>
      <c r="E1606" s="71"/>
      <c r="H1606" s="71"/>
      <c r="K1606" s="71"/>
    </row>
    <row r="1607" spans="2:11">
      <c r="B1607" s="71"/>
      <c r="E1607" s="71"/>
      <c r="H1607" s="71"/>
      <c r="K1607" s="71"/>
    </row>
    <row r="1608" spans="2:11">
      <c r="B1608" s="71"/>
      <c r="E1608" s="71"/>
      <c r="H1608" s="71"/>
      <c r="K1608" s="71"/>
    </row>
    <row r="1609" spans="2:11">
      <c r="B1609" s="71"/>
      <c r="E1609" s="71"/>
      <c r="H1609" s="71"/>
      <c r="K1609" s="71"/>
    </row>
    <row r="1610" spans="2:11">
      <c r="B1610" s="71"/>
      <c r="E1610" s="71"/>
      <c r="H1610" s="71"/>
      <c r="K1610" s="71"/>
    </row>
    <row r="1611" spans="2:11">
      <c r="B1611" s="71"/>
      <c r="E1611" s="71"/>
      <c r="H1611" s="71"/>
      <c r="K1611" s="71"/>
    </row>
    <row r="1612" spans="2:11">
      <c r="B1612" s="71"/>
      <c r="E1612" s="71"/>
      <c r="H1612" s="71"/>
      <c r="K1612" s="71"/>
    </row>
    <row r="1613" spans="2:11">
      <c r="B1613" s="71"/>
      <c r="E1613" s="71"/>
      <c r="H1613" s="71"/>
      <c r="K1613" s="71"/>
    </row>
    <row r="1614" spans="2:11">
      <c r="B1614" s="71"/>
      <c r="E1614" s="71"/>
      <c r="H1614" s="71"/>
      <c r="K1614" s="71"/>
    </row>
    <row r="1615" spans="2:11">
      <c r="B1615" s="71"/>
      <c r="E1615" s="71"/>
      <c r="H1615" s="71"/>
      <c r="K1615" s="71"/>
    </row>
    <row r="1616" spans="2:11">
      <c r="B1616" s="71"/>
      <c r="E1616" s="71"/>
      <c r="H1616" s="71"/>
      <c r="K1616" s="71"/>
    </row>
    <row r="1617" spans="2:11">
      <c r="B1617" s="71"/>
      <c r="E1617" s="71"/>
      <c r="H1617" s="71"/>
      <c r="K1617" s="71"/>
    </row>
    <row r="1618" spans="2:11">
      <c r="B1618" s="71"/>
      <c r="E1618" s="71"/>
      <c r="H1618" s="71"/>
      <c r="K1618" s="71"/>
    </row>
    <row r="1619" spans="2:11">
      <c r="B1619" s="71"/>
      <c r="E1619" s="71"/>
      <c r="H1619" s="71"/>
      <c r="K1619" s="71"/>
    </row>
    <row r="1620" spans="2:11">
      <c r="B1620" s="71"/>
      <c r="E1620" s="71"/>
      <c r="H1620" s="71"/>
      <c r="K1620" s="71"/>
    </row>
    <row r="1621" spans="2:11">
      <c r="B1621" s="71"/>
      <c r="E1621" s="71"/>
      <c r="H1621" s="71"/>
      <c r="K1621" s="71"/>
    </row>
    <row r="1622" spans="2:11">
      <c r="B1622" s="71"/>
      <c r="E1622" s="71"/>
      <c r="H1622" s="71"/>
      <c r="K1622" s="71"/>
    </row>
    <row r="1623" spans="2:11">
      <c r="B1623" s="71"/>
      <c r="E1623" s="71"/>
      <c r="H1623" s="71"/>
      <c r="K1623" s="71"/>
    </row>
    <row r="1624" spans="2:11">
      <c r="B1624" s="71"/>
      <c r="E1624" s="71"/>
      <c r="H1624" s="71"/>
      <c r="K1624" s="71"/>
    </row>
    <row r="1625" spans="2:11">
      <c r="B1625" s="71"/>
      <c r="E1625" s="71"/>
      <c r="H1625" s="71"/>
      <c r="K1625" s="71"/>
    </row>
    <row r="1626" spans="2:11">
      <c r="B1626" s="71"/>
      <c r="E1626" s="71"/>
      <c r="H1626" s="71"/>
      <c r="K1626" s="71"/>
    </row>
    <row r="1627" spans="2:11">
      <c r="B1627" s="71"/>
      <c r="E1627" s="71"/>
      <c r="H1627" s="71"/>
      <c r="K1627" s="71"/>
    </row>
    <row r="1628" spans="2:11">
      <c r="B1628" s="71"/>
      <c r="E1628" s="71"/>
      <c r="H1628" s="71"/>
      <c r="K1628" s="71"/>
    </row>
    <row r="1629" spans="2:11">
      <c r="B1629" s="71"/>
      <c r="E1629" s="71"/>
      <c r="H1629" s="71"/>
      <c r="K1629" s="71"/>
    </row>
    <row r="1630" spans="2:11">
      <c r="B1630" s="71"/>
      <c r="E1630" s="71"/>
      <c r="H1630" s="71"/>
      <c r="K1630" s="71"/>
    </row>
    <row r="1631" spans="2:11">
      <c r="B1631" s="71"/>
      <c r="E1631" s="71"/>
      <c r="H1631" s="71"/>
      <c r="K1631" s="71"/>
    </row>
    <row r="1632" spans="2:11">
      <c r="B1632" s="71"/>
      <c r="E1632" s="71"/>
      <c r="H1632" s="71"/>
      <c r="K1632" s="71"/>
    </row>
    <row r="1633" spans="2:11">
      <c r="B1633" s="71"/>
      <c r="E1633" s="71"/>
      <c r="H1633" s="71"/>
      <c r="K1633" s="71"/>
    </row>
    <row r="1634" spans="2:11">
      <c r="B1634" s="71"/>
      <c r="E1634" s="71"/>
      <c r="H1634" s="71"/>
      <c r="K1634" s="71"/>
    </row>
    <row r="1635" spans="2:11">
      <c r="B1635" s="71"/>
      <c r="E1635" s="71"/>
      <c r="H1635" s="71"/>
      <c r="K1635" s="71"/>
    </row>
    <row r="1636" spans="2:11">
      <c r="B1636" s="71"/>
      <c r="E1636" s="71"/>
      <c r="H1636" s="71"/>
      <c r="K1636" s="71"/>
    </row>
    <row r="1637" spans="2:11">
      <c r="B1637" s="71"/>
      <c r="E1637" s="71"/>
      <c r="H1637" s="71"/>
      <c r="K1637" s="71"/>
    </row>
    <row r="1638" spans="2:11">
      <c r="B1638" s="71"/>
      <c r="E1638" s="71"/>
      <c r="H1638" s="71"/>
      <c r="K1638" s="71"/>
    </row>
    <row r="1639" spans="2:11">
      <c r="B1639" s="71"/>
      <c r="E1639" s="71"/>
      <c r="H1639" s="71"/>
      <c r="K1639" s="71"/>
    </row>
    <row r="1640" spans="2:11">
      <c r="B1640" s="71"/>
      <c r="E1640" s="71"/>
      <c r="H1640" s="71"/>
      <c r="K1640" s="71"/>
    </row>
    <row r="1641" spans="2:11">
      <c r="B1641" s="71"/>
      <c r="E1641" s="71"/>
      <c r="H1641" s="71"/>
      <c r="K1641" s="71"/>
    </row>
    <row r="1642" spans="2:11">
      <c r="B1642" s="71"/>
      <c r="E1642" s="71"/>
      <c r="H1642" s="71"/>
      <c r="K1642" s="71"/>
    </row>
    <row r="1643" spans="2:11">
      <c r="B1643" s="71"/>
      <c r="E1643" s="71"/>
      <c r="H1643" s="71"/>
      <c r="K1643" s="71"/>
    </row>
    <row r="1644" spans="2:11">
      <c r="B1644" s="71"/>
      <c r="E1644" s="71"/>
      <c r="H1644" s="71"/>
      <c r="K1644" s="71"/>
    </row>
    <row r="1645" spans="2:11">
      <c r="B1645" s="71"/>
      <c r="E1645" s="71"/>
      <c r="H1645" s="71"/>
      <c r="K1645" s="71"/>
    </row>
    <row r="1646" spans="2:11">
      <c r="B1646" s="71"/>
      <c r="E1646" s="71"/>
      <c r="H1646" s="71"/>
      <c r="K1646" s="71"/>
    </row>
    <row r="1647" spans="2:11">
      <c r="B1647" s="71"/>
      <c r="E1647" s="71"/>
      <c r="H1647" s="71"/>
      <c r="K1647" s="71"/>
    </row>
    <row r="1648" spans="2:11">
      <c r="B1648" s="71"/>
      <c r="E1648" s="71"/>
      <c r="H1648" s="71"/>
      <c r="K1648" s="71"/>
    </row>
    <row r="1649" spans="2:11">
      <c r="B1649" s="71"/>
      <c r="E1649" s="71"/>
      <c r="H1649" s="71"/>
      <c r="K1649" s="71"/>
    </row>
    <row r="1650" spans="2:11">
      <c r="B1650" s="71"/>
      <c r="E1650" s="71"/>
      <c r="H1650" s="71"/>
      <c r="K1650" s="71"/>
    </row>
    <row r="1651" spans="2:11">
      <c r="B1651" s="71"/>
      <c r="E1651" s="71"/>
      <c r="H1651" s="71"/>
      <c r="K1651" s="71"/>
    </row>
    <row r="1652" spans="2:11">
      <c r="B1652" s="71"/>
      <c r="E1652" s="71"/>
      <c r="H1652" s="71"/>
      <c r="K1652" s="71"/>
    </row>
    <row r="1653" spans="2:11">
      <c r="B1653" s="71"/>
      <c r="E1653" s="71"/>
      <c r="H1653" s="71"/>
      <c r="K1653" s="71"/>
    </row>
    <row r="1654" spans="2:11">
      <c r="B1654" s="71"/>
      <c r="E1654" s="71"/>
      <c r="H1654" s="71"/>
      <c r="K1654" s="71"/>
    </row>
    <row r="1655" spans="2:11">
      <c r="B1655" s="71"/>
      <c r="E1655" s="71"/>
      <c r="H1655" s="71"/>
      <c r="K1655" s="71"/>
    </row>
    <row r="1656" spans="2:11">
      <c r="B1656" s="71"/>
      <c r="E1656" s="71"/>
      <c r="H1656" s="71"/>
      <c r="K1656" s="71"/>
    </row>
    <row r="1657" spans="2:11">
      <c r="B1657" s="71"/>
      <c r="E1657" s="71"/>
      <c r="H1657" s="71"/>
      <c r="K1657" s="71"/>
    </row>
    <row r="1658" spans="2:11">
      <c r="B1658" s="71"/>
      <c r="E1658" s="71"/>
      <c r="H1658" s="71"/>
      <c r="K1658" s="71"/>
    </row>
    <row r="1659" spans="2:11">
      <c r="B1659" s="71"/>
      <c r="E1659" s="71"/>
      <c r="H1659" s="71"/>
      <c r="K1659" s="71"/>
    </row>
    <row r="1660" spans="2:11">
      <c r="B1660" s="71"/>
      <c r="E1660" s="71"/>
      <c r="H1660" s="71"/>
      <c r="K1660" s="71"/>
    </row>
    <row r="1661" spans="2:11">
      <c r="B1661" s="71"/>
      <c r="E1661" s="71"/>
      <c r="H1661" s="71"/>
      <c r="K1661" s="71"/>
    </row>
    <row r="1662" spans="2:11">
      <c r="B1662" s="71"/>
      <c r="E1662" s="71"/>
      <c r="H1662" s="71"/>
      <c r="K1662" s="71"/>
    </row>
    <row r="1663" spans="2:11">
      <c r="B1663" s="71"/>
      <c r="E1663" s="71"/>
      <c r="H1663" s="71"/>
      <c r="K1663" s="71"/>
    </row>
    <row r="1664" spans="2:11">
      <c r="B1664" s="71"/>
      <c r="E1664" s="71"/>
      <c r="H1664" s="71"/>
      <c r="K1664" s="71"/>
    </row>
    <row r="1665" spans="2:11">
      <c r="B1665" s="71"/>
      <c r="E1665" s="71"/>
      <c r="H1665" s="71"/>
      <c r="K1665" s="71"/>
    </row>
    <row r="1666" spans="2:11">
      <c r="B1666" s="71"/>
      <c r="E1666" s="71"/>
      <c r="H1666" s="71"/>
      <c r="K1666" s="71"/>
    </row>
    <row r="1667" spans="2:11">
      <c r="B1667" s="71"/>
      <c r="E1667" s="71"/>
      <c r="H1667" s="71"/>
      <c r="K1667" s="71"/>
    </row>
    <row r="1668" spans="2:11">
      <c r="B1668" s="71"/>
      <c r="E1668" s="71"/>
      <c r="H1668" s="71"/>
      <c r="K1668" s="71"/>
    </row>
    <row r="1669" spans="2:11">
      <c r="B1669" s="71"/>
      <c r="E1669" s="71"/>
      <c r="H1669" s="71"/>
      <c r="K1669" s="71"/>
    </row>
    <row r="1670" spans="2:11">
      <c r="B1670" s="71"/>
      <c r="E1670" s="71"/>
      <c r="H1670" s="71"/>
      <c r="K1670" s="71"/>
    </row>
    <row r="1671" spans="2:11">
      <c r="B1671" s="71"/>
      <c r="E1671" s="71"/>
      <c r="H1671" s="71"/>
      <c r="K1671" s="71"/>
    </row>
    <row r="1672" spans="2:11">
      <c r="B1672" s="71"/>
      <c r="E1672" s="71"/>
      <c r="H1672" s="71"/>
      <c r="K1672" s="71"/>
    </row>
    <row r="1673" spans="2:11">
      <c r="B1673" s="71"/>
      <c r="E1673" s="71"/>
      <c r="H1673" s="71"/>
      <c r="K1673" s="71"/>
    </row>
    <row r="1674" spans="2:11">
      <c r="B1674" s="71"/>
      <c r="E1674" s="71"/>
      <c r="H1674" s="71"/>
      <c r="K1674" s="71"/>
    </row>
    <row r="1675" spans="2:11">
      <c r="B1675" s="71"/>
      <c r="E1675" s="71"/>
      <c r="H1675" s="71"/>
      <c r="K1675" s="71"/>
    </row>
    <row r="1676" spans="2:11">
      <c r="B1676" s="71"/>
      <c r="E1676" s="71"/>
      <c r="H1676" s="71"/>
      <c r="K1676" s="71"/>
    </row>
    <row r="1677" spans="2:11">
      <c r="B1677" s="71"/>
      <c r="E1677" s="71"/>
      <c r="H1677" s="71"/>
      <c r="K1677" s="71"/>
    </row>
    <row r="1678" spans="2:11">
      <c r="B1678" s="71"/>
      <c r="E1678" s="71"/>
      <c r="H1678" s="71"/>
      <c r="K1678" s="71"/>
    </row>
    <row r="1679" spans="2:11">
      <c r="B1679" s="71"/>
      <c r="E1679" s="71"/>
      <c r="H1679" s="71"/>
      <c r="K1679" s="71"/>
    </row>
    <row r="1680" spans="2:11">
      <c r="B1680" s="71"/>
      <c r="E1680" s="71"/>
      <c r="H1680" s="71"/>
      <c r="K1680" s="71"/>
    </row>
    <row r="1681" spans="2:11">
      <c r="B1681" s="71"/>
      <c r="E1681" s="71"/>
      <c r="H1681" s="71"/>
      <c r="K1681" s="71"/>
    </row>
    <row r="1682" spans="2:11">
      <c r="B1682" s="71"/>
      <c r="E1682" s="71"/>
      <c r="H1682" s="71"/>
      <c r="K1682" s="71"/>
    </row>
    <row r="1683" spans="2:11">
      <c r="B1683" s="71"/>
      <c r="E1683" s="71"/>
      <c r="H1683" s="71"/>
      <c r="K1683" s="71"/>
    </row>
    <row r="1684" spans="2:11">
      <c r="B1684" s="71"/>
      <c r="E1684" s="71"/>
      <c r="H1684" s="71"/>
      <c r="K1684" s="71"/>
    </row>
    <row r="1685" spans="2:11">
      <c r="B1685" s="71"/>
      <c r="E1685" s="71"/>
      <c r="H1685" s="71"/>
      <c r="K1685" s="71"/>
    </row>
    <row r="1686" spans="2:11">
      <c r="B1686" s="71"/>
      <c r="E1686" s="71"/>
      <c r="H1686" s="71"/>
      <c r="K1686" s="71"/>
    </row>
    <row r="1687" spans="2:11">
      <c r="B1687" s="71"/>
      <c r="E1687" s="71"/>
      <c r="H1687" s="71"/>
      <c r="K1687" s="71"/>
    </row>
    <row r="1688" spans="2:11">
      <c r="B1688" s="71"/>
      <c r="E1688" s="71"/>
      <c r="H1688" s="71"/>
      <c r="K1688" s="71"/>
    </row>
    <row r="1689" spans="2:11">
      <c r="B1689" s="71"/>
      <c r="E1689" s="71"/>
      <c r="H1689" s="71"/>
      <c r="K1689" s="71"/>
    </row>
    <row r="1690" spans="2:11">
      <c r="B1690" s="71"/>
      <c r="E1690" s="71"/>
      <c r="H1690" s="71"/>
      <c r="K1690" s="71"/>
    </row>
    <row r="1691" spans="2:11">
      <c r="B1691" s="71"/>
      <c r="E1691" s="71"/>
      <c r="H1691" s="71"/>
      <c r="K1691" s="71"/>
    </row>
    <row r="1692" spans="2:11">
      <c r="B1692" s="71"/>
      <c r="E1692" s="71"/>
      <c r="H1692" s="71"/>
      <c r="K1692" s="71"/>
    </row>
    <row r="1693" spans="2:11">
      <c r="B1693" s="71"/>
      <c r="E1693" s="71"/>
      <c r="H1693" s="71"/>
      <c r="K1693" s="71"/>
    </row>
    <row r="1694" spans="2:11">
      <c r="B1694" s="71"/>
      <c r="E1694" s="71"/>
      <c r="H1694" s="71"/>
      <c r="K1694" s="71"/>
    </row>
    <row r="1695" spans="2:11">
      <c r="B1695" s="71"/>
      <c r="E1695" s="71"/>
      <c r="H1695" s="71"/>
      <c r="K1695" s="71"/>
    </row>
    <row r="1696" spans="2:11">
      <c r="B1696" s="71"/>
      <c r="E1696" s="71"/>
      <c r="H1696" s="71"/>
      <c r="K1696" s="71"/>
    </row>
    <row r="1697" spans="2:11">
      <c r="B1697" s="71"/>
      <c r="E1697" s="71"/>
      <c r="H1697" s="71"/>
      <c r="K1697" s="71"/>
    </row>
    <row r="1698" spans="2:11">
      <c r="B1698" s="71"/>
      <c r="E1698" s="71"/>
      <c r="H1698" s="71"/>
      <c r="K1698" s="71"/>
    </row>
    <row r="1699" spans="2:11">
      <c r="B1699" s="71"/>
      <c r="E1699" s="71"/>
      <c r="H1699" s="71"/>
      <c r="K1699" s="71"/>
    </row>
    <row r="1700" spans="2:11">
      <c r="B1700" s="71"/>
      <c r="E1700" s="71"/>
      <c r="H1700" s="71"/>
      <c r="K1700" s="71"/>
    </row>
    <row r="1701" spans="2:11">
      <c r="B1701" s="71"/>
      <c r="E1701" s="71"/>
      <c r="H1701" s="71"/>
      <c r="K1701" s="71"/>
    </row>
    <row r="1702" spans="2:11">
      <c r="B1702" s="71"/>
      <c r="E1702" s="71"/>
      <c r="H1702" s="71"/>
      <c r="K1702" s="71"/>
    </row>
    <row r="1703" spans="2:11">
      <c r="B1703" s="71"/>
      <c r="E1703" s="71"/>
      <c r="H1703" s="71"/>
      <c r="K1703" s="71"/>
    </row>
    <row r="1704" spans="2:11">
      <c r="B1704" s="71"/>
      <c r="E1704" s="71"/>
      <c r="H1704" s="71"/>
      <c r="K1704" s="71"/>
    </row>
    <row r="1705" spans="2:11">
      <c r="B1705" s="71"/>
      <c r="E1705" s="71"/>
      <c r="H1705" s="71"/>
      <c r="K1705" s="71"/>
    </row>
    <row r="1706" spans="2:11">
      <c r="B1706" s="71"/>
      <c r="E1706" s="71"/>
      <c r="H1706" s="71"/>
      <c r="K1706" s="71"/>
    </row>
    <row r="1707" spans="2:11">
      <c r="B1707" s="71"/>
      <c r="E1707" s="71"/>
      <c r="H1707" s="71"/>
      <c r="K1707" s="71"/>
    </row>
    <row r="1708" spans="2:11">
      <c r="B1708" s="71"/>
      <c r="E1708" s="71"/>
      <c r="H1708" s="71"/>
      <c r="K1708" s="71"/>
    </row>
    <row r="1709" spans="2:11">
      <c r="B1709" s="71"/>
      <c r="E1709" s="71"/>
      <c r="H1709" s="71"/>
      <c r="K1709" s="71"/>
    </row>
    <row r="1710" spans="2:11">
      <c r="B1710" s="71"/>
      <c r="E1710" s="71"/>
      <c r="H1710" s="71"/>
      <c r="K1710" s="71"/>
    </row>
    <row r="1711" spans="2:11">
      <c r="B1711" s="71"/>
      <c r="E1711" s="71"/>
      <c r="H1711" s="71"/>
      <c r="K1711" s="71"/>
    </row>
    <row r="1712" spans="2:11">
      <c r="B1712" s="71"/>
      <c r="E1712" s="71"/>
      <c r="H1712" s="71"/>
      <c r="K1712" s="71"/>
    </row>
    <row r="1713" spans="2:11">
      <c r="B1713" s="71"/>
      <c r="E1713" s="71"/>
      <c r="H1713" s="71"/>
      <c r="K1713" s="71"/>
    </row>
    <row r="1714" spans="2:11">
      <c r="B1714" s="71"/>
      <c r="E1714" s="71"/>
      <c r="H1714" s="71"/>
      <c r="K1714" s="71"/>
    </row>
    <row r="1715" spans="2:11">
      <c r="B1715" s="71"/>
      <c r="E1715" s="71"/>
      <c r="H1715" s="71"/>
      <c r="K1715" s="71"/>
    </row>
    <row r="1716" spans="2:11">
      <c r="B1716" s="71"/>
      <c r="E1716" s="71"/>
      <c r="H1716" s="71"/>
      <c r="K1716" s="71"/>
    </row>
    <row r="1717" spans="2:11">
      <c r="B1717" s="71"/>
      <c r="E1717" s="71"/>
      <c r="H1717" s="71"/>
      <c r="K1717" s="71"/>
    </row>
    <row r="1718" spans="2:11">
      <c r="B1718" s="71"/>
      <c r="E1718" s="71"/>
      <c r="H1718" s="71"/>
      <c r="K1718" s="71"/>
    </row>
    <row r="1719" spans="2:11">
      <c r="B1719" s="71"/>
      <c r="E1719" s="71"/>
      <c r="H1719" s="71"/>
      <c r="K1719" s="71"/>
    </row>
    <row r="1720" spans="2:11">
      <c r="B1720" s="71"/>
      <c r="E1720" s="71"/>
      <c r="H1720" s="71"/>
      <c r="K1720" s="71"/>
    </row>
    <row r="1721" spans="2:11">
      <c r="B1721" s="71"/>
      <c r="H1721" s="71"/>
      <c r="K1721" s="71"/>
    </row>
    <row r="1722" spans="2:11">
      <c r="B1722" s="71"/>
      <c r="E1722" s="71"/>
      <c r="H1722" s="71"/>
      <c r="K1722" s="71"/>
    </row>
    <row r="1723" spans="2:11">
      <c r="B1723" s="71"/>
      <c r="E1723" s="71"/>
      <c r="H1723" s="71"/>
      <c r="K1723" s="71"/>
    </row>
    <row r="1724" spans="2:11">
      <c r="B1724" s="71"/>
      <c r="E1724" s="71"/>
      <c r="H1724" s="71"/>
      <c r="K1724" s="71"/>
    </row>
    <row r="1725" spans="2:11">
      <c r="B1725" s="71"/>
      <c r="E1725" s="71"/>
      <c r="H1725" s="71"/>
      <c r="K1725" s="71"/>
    </row>
    <row r="1726" spans="2:11">
      <c r="B1726" s="71"/>
      <c r="E1726" s="71"/>
      <c r="H1726" s="71"/>
      <c r="K1726" s="71"/>
    </row>
    <row r="1727" spans="2:11">
      <c r="B1727" s="71"/>
      <c r="E1727" s="71"/>
      <c r="H1727" s="71"/>
      <c r="K1727" s="71"/>
    </row>
    <row r="1728" spans="2:11">
      <c r="B1728" s="71"/>
      <c r="E1728" s="71"/>
      <c r="H1728" s="71"/>
      <c r="K1728" s="71"/>
    </row>
    <row r="1729" spans="2:11">
      <c r="B1729" s="71"/>
      <c r="E1729" s="71"/>
      <c r="H1729" s="71"/>
      <c r="K1729" s="71"/>
    </row>
    <row r="1730" spans="2:11">
      <c r="B1730" s="71"/>
      <c r="E1730" s="71"/>
      <c r="H1730" s="71"/>
      <c r="K1730" s="71"/>
    </row>
    <row r="1731" spans="2:11">
      <c r="B1731" s="71"/>
      <c r="E1731" s="71"/>
      <c r="H1731" s="71"/>
      <c r="K1731" s="71"/>
    </row>
    <row r="1732" spans="2:11">
      <c r="B1732" s="71"/>
      <c r="E1732" s="71"/>
      <c r="H1732" s="71"/>
      <c r="K1732" s="71"/>
    </row>
    <row r="1733" spans="2:11">
      <c r="E1733" s="71"/>
      <c r="H1733" s="71"/>
      <c r="K1733" s="71"/>
    </row>
    <row r="1734" spans="2:11">
      <c r="B1734" s="71"/>
      <c r="E1734" s="71"/>
      <c r="H1734" s="71"/>
      <c r="K1734" s="71"/>
    </row>
    <row r="1735" spans="2:11">
      <c r="B1735" s="71"/>
      <c r="E1735" s="71"/>
      <c r="H1735" s="71"/>
      <c r="K1735" s="71"/>
    </row>
    <row r="1736" spans="2:11">
      <c r="B1736" s="71"/>
      <c r="E1736" s="71"/>
      <c r="H1736" s="71"/>
      <c r="K1736" s="71"/>
    </row>
    <row r="1737" spans="2:11">
      <c r="B1737" s="71"/>
      <c r="E1737" s="71"/>
      <c r="H1737" s="71"/>
      <c r="K1737" s="71"/>
    </row>
    <row r="1738" spans="2:11">
      <c r="B1738" s="71"/>
      <c r="E1738" s="71"/>
      <c r="H1738" s="71"/>
      <c r="K1738" s="71"/>
    </row>
    <row r="1739" spans="2:11">
      <c r="B1739" s="71"/>
      <c r="E1739" s="71"/>
      <c r="H1739" s="71"/>
      <c r="K1739" s="71"/>
    </row>
    <row r="1740" spans="2:11">
      <c r="B1740" s="71"/>
      <c r="E1740" s="71"/>
      <c r="H1740" s="71"/>
      <c r="K1740" s="71"/>
    </row>
    <row r="1741" spans="2:11">
      <c r="B1741" s="71"/>
      <c r="E1741" s="71"/>
      <c r="H1741" s="71"/>
      <c r="K1741" s="71"/>
    </row>
    <row r="1742" spans="2:11">
      <c r="B1742" s="71"/>
      <c r="E1742" s="71"/>
      <c r="H1742" s="71"/>
      <c r="K1742" s="71"/>
    </row>
    <row r="1743" spans="2:11">
      <c r="B1743" s="71"/>
      <c r="E1743" s="71"/>
      <c r="H1743" s="71"/>
      <c r="K1743" s="71"/>
    </row>
    <row r="1744" spans="2:11">
      <c r="B1744" s="71"/>
      <c r="E1744" s="71"/>
      <c r="H1744" s="71"/>
      <c r="K1744" s="71"/>
    </row>
    <row r="1745" spans="2:11">
      <c r="B1745" s="71"/>
      <c r="E1745" s="71"/>
      <c r="H1745" s="71"/>
      <c r="K1745" s="71"/>
    </row>
    <row r="1746" spans="2:11">
      <c r="B1746" s="71"/>
      <c r="H1746" s="71"/>
      <c r="K1746" s="71"/>
    </row>
    <row r="1747" spans="2:11">
      <c r="B1747" s="71"/>
      <c r="E1747" s="71"/>
      <c r="H1747" s="71"/>
      <c r="K1747" s="71"/>
    </row>
    <row r="1748" spans="2:11">
      <c r="B1748" s="71"/>
      <c r="E1748" s="71"/>
      <c r="H1748" s="71"/>
      <c r="K1748" s="71"/>
    </row>
    <row r="1749" spans="2:11">
      <c r="B1749" s="71"/>
      <c r="E1749" s="71"/>
      <c r="H1749" s="71"/>
      <c r="K1749" s="71"/>
    </row>
    <row r="1750" spans="2:11">
      <c r="B1750" s="71"/>
      <c r="E1750" s="71"/>
      <c r="H1750" s="71"/>
      <c r="K1750" s="71"/>
    </row>
    <row r="1751" spans="2:11">
      <c r="B1751" s="71"/>
      <c r="E1751" s="71"/>
      <c r="H1751" s="71"/>
      <c r="K1751" s="71"/>
    </row>
    <row r="1752" spans="2:11">
      <c r="B1752" s="71"/>
      <c r="E1752" s="71"/>
      <c r="H1752" s="71"/>
      <c r="K1752" s="71"/>
    </row>
    <row r="1753" spans="2:11">
      <c r="B1753" s="71"/>
      <c r="E1753" s="71"/>
      <c r="H1753" s="71"/>
      <c r="K1753" s="71"/>
    </row>
    <row r="1754" spans="2:11">
      <c r="B1754" s="71"/>
      <c r="E1754" s="71"/>
      <c r="H1754" s="71"/>
      <c r="K1754" s="71"/>
    </row>
    <row r="1755" spans="2:11">
      <c r="B1755" s="71"/>
      <c r="E1755" s="71"/>
      <c r="H1755" s="71"/>
      <c r="K1755" s="71"/>
    </row>
    <row r="1756" spans="2:11">
      <c r="B1756" s="71"/>
      <c r="E1756" s="71"/>
      <c r="H1756" s="71"/>
      <c r="K1756" s="71"/>
    </row>
    <row r="1757" spans="2:11">
      <c r="B1757" s="71"/>
      <c r="E1757" s="71"/>
      <c r="H1757" s="71"/>
      <c r="K1757" s="71"/>
    </row>
    <row r="1758" spans="2:11">
      <c r="B1758" s="71"/>
      <c r="E1758" s="71"/>
      <c r="H1758" s="71"/>
      <c r="K1758" s="71"/>
    </row>
    <row r="1759" spans="2:11">
      <c r="B1759" s="71"/>
      <c r="E1759" s="71"/>
      <c r="H1759" s="71"/>
      <c r="K1759" s="71"/>
    </row>
    <row r="1760" spans="2:11">
      <c r="B1760" s="71"/>
      <c r="E1760" s="71"/>
      <c r="H1760" s="71"/>
      <c r="K1760" s="71"/>
    </row>
    <row r="1761" spans="2:11">
      <c r="B1761" s="71"/>
      <c r="E1761" s="71"/>
      <c r="H1761" s="71"/>
      <c r="K1761" s="71"/>
    </row>
    <row r="1762" spans="2:11">
      <c r="B1762" s="71"/>
      <c r="E1762" s="71"/>
      <c r="H1762" s="71"/>
      <c r="K1762" s="71"/>
    </row>
    <row r="1763" spans="2:11">
      <c r="B1763" s="71"/>
      <c r="E1763" s="71"/>
      <c r="H1763" s="71"/>
      <c r="K1763" s="71"/>
    </row>
    <row r="1764" spans="2:11">
      <c r="B1764" s="71"/>
      <c r="E1764" s="71"/>
      <c r="H1764" s="71"/>
      <c r="K1764" s="71"/>
    </row>
    <row r="1765" spans="2:11">
      <c r="B1765" s="71"/>
      <c r="E1765" s="71"/>
      <c r="H1765" s="71"/>
      <c r="K1765" s="71"/>
    </row>
    <row r="1766" spans="2:11">
      <c r="B1766" s="71"/>
      <c r="E1766" s="71"/>
      <c r="H1766" s="71"/>
      <c r="K1766" s="71"/>
    </row>
    <row r="1767" spans="2:11">
      <c r="B1767" s="71"/>
      <c r="E1767" s="71"/>
      <c r="H1767" s="71"/>
      <c r="K1767" s="71"/>
    </row>
    <row r="1768" spans="2:11">
      <c r="B1768" s="71"/>
      <c r="E1768" s="71"/>
      <c r="H1768" s="71"/>
      <c r="K1768" s="71"/>
    </row>
    <row r="1769" spans="2:11">
      <c r="B1769" s="71"/>
      <c r="E1769" s="71"/>
      <c r="H1769" s="71"/>
      <c r="K1769" s="71"/>
    </row>
    <row r="1770" spans="2:11">
      <c r="B1770" s="71"/>
      <c r="E1770" s="71"/>
      <c r="H1770" s="71"/>
      <c r="K1770" s="71"/>
    </row>
    <row r="1771" spans="2:11">
      <c r="B1771" s="71"/>
      <c r="E1771" s="71"/>
      <c r="H1771" s="71"/>
      <c r="K1771" s="71"/>
    </row>
    <row r="1772" spans="2:11">
      <c r="B1772" s="71"/>
      <c r="E1772" s="71"/>
      <c r="H1772" s="71"/>
      <c r="K1772" s="71"/>
    </row>
    <row r="1773" spans="2:11">
      <c r="B1773" s="71"/>
      <c r="E1773" s="71"/>
      <c r="H1773" s="71"/>
      <c r="K1773" s="71"/>
    </row>
    <row r="1774" spans="2:11">
      <c r="B1774" s="71"/>
      <c r="E1774" s="71"/>
      <c r="H1774" s="71"/>
      <c r="K1774" s="71"/>
    </row>
    <row r="1775" spans="2:11">
      <c r="B1775" s="71"/>
      <c r="E1775" s="71"/>
      <c r="H1775" s="71"/>
      <c r="K1775" s="71"/>
    </row>
    <row r="1776" spans="2:11">
      <c r="B1776" s="71"/>
      <c r="E1776" s="71"/>
      <c r="H1776" s="71"/>
      <c r="K1776" s="71"/>
    </row>
    <row r="1777" spans="2:11">
      <c r="B1777" s="71"/>
      <c r="E1777" s="71"/>
      <c r="H1777" s="71"/>
      <c r="K1777" s="71"/>
    </row>
    <row r="1778" spans="2:11">
      <c r="B1778" s="71"/>
      <c r="E1778" s="71"/>
      <c r="H1778" s="71"/>
      <c r="K1778" s="71"/>
    </row>
    <row r="1779" spans="2:11">
      <c r="B1779" s="71"/>
      <c r="E1779" s="71"/>
      <c r="H1779" s="71"/>
      <c r="K1779" s="71"/>
    </row>
    <row r="1780" spans="2:11">
      <c r="B1780" s="71"/>
      <c r="E1780" s="71"/>
      <c r="H1780" s="71"/>
      <c r="K1780" s="71"/>
    </row>
    <row r="1781" spans="2:11">
      <c r="B1781" s="71"/>
      <c r="E1781" s="71"/>
      <c r="H1781" s="71"/>
      <c r="K1781" s="71"/>
    </row>
    <row r="1782" spans="2:11">
      <c r="B1782" s="71"/>
      <c r="E1782" s="71"/>
      <c r="H1782" s="71"/>
      <c r="K1782" s="71"/>
    </row>
    <row r="1783" spans="2:11">
      <c r="B1783" s="71"/>
      <c r="E1783" s="71"/>
      <c r="H1783" s="71"/>
      <c r="K1783" s="71"/>
    </row>
    <row r="1784" spans="2:11">
      <c r="B1784" s="71"/>
      <c r="E1784" s="71"/>
      <c r="H1784" s="71"/>
      <c r="K1784" s="71"/>
    </row>
    <row r="1785" spans="2:11">
      <c r="B1785" s="71"/>
      <c r="E1785" s="71"/>
      <c r="H1785" s="71"/>
      <c r="K1785" s="71"/>
    </row>
    <row r="1786" spans="2:11">
      <c r="B1786" s="71"/>
      <c r="E1786" s="71"/>
      <c r="H1786" s="71"/>
      <c r="K1786" s="71"/>
    </row>
    <row r="1787" spans="2:11">
      <c r="B1787" s="71"/>
      <c r="E1787" s="71"/>
      <c r="H1787" s="71"/>
      <c r="K1787" s="71"/>
    </row>
    <row r="1788" spans="2:11">
      <c r="B1788" s="71"/>
      <c r="E1788" s="71"/>
      <c r="H1788" s="71"/>
      <c r="K1788" s="71"/>
    </row>
    <row r="1789" spans="2:11">
      <c r="B1789" s="71"/>
      <c r="E1789" s="71"/>
      <c r="H1789" s="71"/>
      <c r="K1789" s="71"/>
    </row>
    <row r="1790" spans="2:11">
      <c r="B1790" s="71"/>
      <c r="E1790" s="71"/>
      <c r="H1790" s="71"/>
      <c r="K1790" s="71"/>
    </row>
    <row r="1791" spans="2:11">
      <c r="B1791" s="71"/>
      <c r="E1791" s="71"/>
      <c r="H1791" s="71"/>
      <c r="K1791" s="71"/>
    </row>
    <row r="1792" spans="2:11">
      <c r="B1792" s="71"/>
      <c r="E1792" s="71"/>
      <c r="H1792" s="71"/>
      <c r="K1792" s="71"/>
    </row>
    <row r="1793" spans="2:11">
      <c r="B1793" s="71"/>
      <c r="E1793" s="71"/>
      <c r="H1793" s="71"/>
      <c r="K1793" s="71"/>
    </row>
    <row r="1794" spans="2:11">
      <c r="B1794" s="71"/>
      <c r="E1794" s="71"/>
      <c r="H1794" s="71"/>
      <c r="K1794" s="71"/>
    </row>
    <row r="1795" spans="2:11">
      <c r="B1795" s="71"/>
      <c r="E1795" s="71"/>
      <c r="H1795" s="71"/>
      <c r="K1795" s="71"/>
    </row>
    <row r="1796" spans="2:11">
      <c r="B1796" s="71"/>
      <c r="E1796" s="71"/>
      <c r="H1796" s="71"/>
      <c r="K1796" s="71"/>
    </row>
    <row r="1797" spans="2:11">
      <c r="B1797" s="71"/>
      <c r="E1797" s="71"/>
      <c r="H1797" s="71"/>
      <c r="K1797" s="71"/>
    </row>
    <row r="1798" spans="2:11">
      <c r="B1798" s="71"/>
      <c r="E1798" s="71"/>
      <c r="H1798" s="71"/>
      <c r="K1798" s="71"/>
    </row>
    <row r="1799" spans="2:11">
      <c r="B1799" s="71"/>
      <c r="E1799" s="71"/>
      <c r="H1799" s="71"/>
      <c r="K1799" s="71"/>
    </row>
    <row r="1800" spans="2:11">
      <c r="B1800" s="71"/>
      <c r="E1800" s="71"/>
      <c r="H1800" s="71"/>
      <c r="K1800" s="71"/>
    </row>
    <row r="1801" spans="2:11">
      <c r="B1801" s="71"/>
      <c r="E1801" s="71"/>
      <c r="H1801" s="71"/>
      <c r="K1801" s="71"/>
    </row>
    <row r="1802" spans="2:11">
      <c r="B1802" s="71"/>
      <c r="E1802" s="71"/>
      <c r="H1802" s="71"/>
      <c r="K1802" s="71"/>
    </row>
    <row r="1803" spans="2:11">
      <c r="B1803" s="71"/>
      <c r="E1803" s="71"/>
      <c r="H1803" s="71"/>
      <c r="K1803" s="71"/>
    </row>
    <row r="1804" spans="2:11">
      <c r="B1804" s="71"/>
      <c r="E1804" s="71"/>
      <c r="H1804" s="71"/>
      <c r="K1804" s="71"/>
    </row>
    <row r="1805" spans="2:11">
      <c r="B1805" s="71"/>
      <c r="E1805" s="71"/>
      <c r="H1805" s="71"/>
      <c r="K1805" s="71"/>
    </row>
    <row r="1806" spans="2:11">
      <c r="B1806" s="71"/>
      <c r="E1806" s="71"/>
      <c r="H1806" s="71"/>
      <c r="K1806" s="71"/>
    </row>
    <row r="1807" spans="2:11">
      <c r="B1807" s="71"/>
      <c r="E1807" s="71"/>
      <c r="H1807" s="71"/>
      <c r="K1807" s="71"/>
    </row>
    <row r="1808" spans="2:11">
      <c r="B1808" s="71"/>
      <c r="E1808" s="71"/>
      <c r="H1808" s="71"/>
      <c r="K1808" s="71"/>
    </row>
    <row r="1809" spans="2:11">
      <c r="B1809" s="71"/>
      <c r="E1809" s="71"/>
      <c r="H1809" s="71"/>
      <c r="K1809" s="71"/>
    </row>
    <row r="1810" spans="2:11">
      <c r="B1810" s="71"/>
      <c r="E1810" s="71"/>
      <c r="H1810" s="71"/>
      <c r="K1810" s="71"/>
    </row>
    <row r="1811" spans="2:11">
      <c r="B1811" s="71"/>
      <c r="E1811" s="71"/>
      <c r="H1811" s="71"/>
      <c r="K1811" s="71"/>
    </row>
    <row r="1812" spans="2:11">
      <c r="B1812" s="71"/>
      <c r="E1812" s="71"/>
      <c r="H1812" s="71"/>
      <c r="K1812" s="71"/>
    </row>
    <row r="1813" spans="2:11">
      <c r="B1813" s="71"/>
      <c r="E1813" s="71"/>
      <c r="H1813" s="71"/>
      <c r="K1813" s="71"/>
    </row>
    <row r="1814" spans="2:11">
      <c r="B1814" s="71"/>
      <c r="E1814" s="71"/>
      <c r="H1814" s="71"/>
      <c r="K1814" s="71"/>
    </row>
    <row r="1815" spans="2:11">
      <c r="B1815" s="71"/>
      <c r="E1815" s="71"/>
      <c r="H1815" s="71"/>
      <c r="K1815" s="71"/>
    </row>
    <row r="1816" spans="2:11">
      <c r="B1816" s="71"/>
      <c r="E1816" s="71"/>
      <c r="H1816" s="71"/>
      <c r="K1816" s="71"/>
    </row>
    <row r="1817" spans="2:11">
      <c r="B1817" s="71"/>
      <c r="E1817" s="71"/>
      <c r="H1817" s="71"/>
      <c r="K1817" s="71"/>
    </row>
    <row r="1818" spans="2:11">
      <c r="B1818" s="71"/>
      <c r="E1818" s="71"/>
      <c r="H1818" s="71"/>
      <c r="K1818" s="71"/>
    </row>
    <row r="1819" spans="2:11">
      <c r="B1819" s="71"/>
      <c r="E1819" s="71"/>
      <c r="H1819" s="71"/>
      <c r="K1819" s="71"/>
    </row>
    <row r="1820" spans="2:11">
      <c r="B1820" s="71"/>
      <c r="E1820" s="71"/>
      <c r="H1820" s="71"/>
      <c r="K1820" s="71"/>
    </row>
    <row r="1821" spans="2:11">
      <c r="B1821" s="71"/>
      <c r="E1821" s="71"/>
      <c r="H1821" s="71"/>
      <c r="K1821" s="71"/>
    </row>
    <row r="1822" spans="2:11">
      <c r="B1822" s="71"/>
      <c r="E1822" s="71"/>
      <c r="H1822" s="71"/>
      <c r="K1822" s="71"/>
    </row>
    <row r="1823" spans="2:11">
      <c r="B1823" s="71"/>
      <c r="E1823" s="71"/>
      <c r="H1823" s="71"/>
      <c r="K1823" s="71"/>
    </row>
    <row r="1824" spans="2:11">
      <c r="B1824" s="71"/>
      <c r="E1824" s="71"/>
      <c r="H1824" s="71"/>
      <c r="K1824" s="71"/>
    </row>
    <row r="1825" spans="2:11">
      <c r="B1825" s="71"/>
      <c r="E1825" s="71"/>
      <c r="H1825" s="71"/>
      <c r="K1825" s="71"/>
    </row>
    <row r="1826" spans="2:11">
      <c r="B1826" s="71"/>
      <c r="E1826" s="71"/>
      <c r="H1826" s="71"/>
      <c r="K1826" s="71"/>
    </row>
    <row r="1827" spans="2:11">
      <c r="B1827" s="71"/>
      <c r="E1827" s="71"/>
      <c r="H1827" s="71"/>
      <c r="K1827" s="71"/>
    </row>
    <row r="1828" spans="2:11">
      <c r="B1828" s="71"/>
      <c r="E1828" s="71"/>
      <c r="H1828" s="71"/>
      <c r="K1828" s="71"/>
    </row>
    <row r="1829" spans="2:11">
      <c r="B1829" s="71"/>
      <c r="E1829" s="71"/>
      <c r="H1829" s="71"/>
      <c r="K1829" s="71"/>
    </row>
    <row r="1830" spans="2:11">
      <c r="B1830" s="71"/>
      <c r="E1830" s="71"/>
      <c r="H1830" s="71"/>
      <c r="K1830" s="71"/>
    </row>
    <row r="1831" spans="2:11">
      <c r="B1831" s="71"/>
      <c r="E1831" s="71"/>
      <c r="H1831" s="71"/>
      <c r="K1831" s="71"/>
    </row>
    <row r="1832" spans="2:11">
      <c r="B1832" s="71"/>
      <c r="E1832" s="71"/>
      <c r="H1832" s="71"/>
      <c r="K1832" s="71"/>
    </row>
    <row r="1833" spans="2:11">
      <c r="B1833" s="71"/>
      <c r="E1833" s="71"/>
      <c r="H1833" s="71"/>
      <c r="K1833" s="71"/>
    </row>
    <row r="1834" spans="2:11">
      <c r="B1834" s="71"/>
      <c r="E1834" s="71"/>
      <c r="H1834" s="71"/>
      <c r="K1834" s="71"/>
    </row>
    <row r="1835" spans="2:11">
      <c r="B1835" s="71"/>
      <c r="E1835" s="71"/>
      <c r="H1835" s="71"/>
      <c r="K1835" s="71"/>
    </row>
    <row r="1836" spans="2:11">
      <c r="B1836" s="71"/>
      <c r="E1836" s="71"/>
      <c r="H1836" s="71"/>
      <c r="K1836" s="71"/>
    </row>
    <row r="1837" spans="2:11">
      <c r="B1837" s="71"/>
      <c r="E1837" s="71"/>
      <c r="H1837" s="71"/>
      <c r="K1837" s="71"/>
    </row>
    <row r="1838" spans="2:11">
      <c r="B1838" s="71"/>
      <c r="E1838" s="71"/>
      <c r="H1838" s="71"/>
      <c r="K1838" s="71"/>
    </row>
    <row r="1839" spans="2:11">
      <c r="B1839" s="71"/>
      <c r="E1839" s="71"/>
      <c r="H1839" s="71"/>
      <c r="K1839" s="71"/>
    </row>
    <row r="1840" spans="2:11">
      <c r="B1840" s="71"/>
      <c r="E1840" s="71"/>
      <c r="H1840" s="71"/>
      <c r="K1840" s="71"/>
    </row>
    <row r="1841" spans="2:11">
      <c r="B1841" s="71"/>
      <c r="E1841" s="71"/>
      <c r="H1841" s="71"/>
      <c r="K1841" s="71"/>
    </row>
    <row r="1842" spans="2:11">
      <c r="B1842" s="71"/>
      <c r="E1842" s="71"/>
      <c r="H1842" s="71"/>
      <c r="K1842" s="71"/>
    </row>
    <row r="1843" spans="2:11">
      <c r="B1843" s="71"/>
      <c r="E1843" s="71"/>
      <c r="H1843" s="71"/>
      <c r="K1843" s="71"/>
    </row>
    <row r="1844" spans="2:11">
      <c r="B1844" s="71"/>
      <c r="E1844" s="71"/>
      <c r="H1844" s="71"/>
      <c r="K1844" s="71"/>
    </row>
    <row r="1845" spans="2:11">
      <c r="B1845" s="71"/>
      <c r="E1845" s="71"/>
      <c r="H1845" s="71"/>
      <c r="K1845" s="71"/>
    </row>
    <row r="1846" spans="2:11">
      <c r="B1846" s="71"/>
      <c r="E1846" s="71"/>
      <c r="H1846" s="71"/>
      <c r="K1846" s="71"/>
    </row>
    <row r="1847" spans="2:11">
      <c r="B1847" s="71"/>
      <c r="E1847" s="71"/>
      <c r="H1847" s="71"/>
      <c r="K1847" s="71"/>
    </row>
    <row r="1848" spans="2:11">
      <c r="B1848" s="71"/>
      <c r="E1848" s="71"/>
      <c r="H1848" s="71"/>
      <c r="K1848" s="71"/>
    </row>
    <row r="1849" spans="2:11">
      <c r="B1849" s="71"/>
      <c r="E1849" s="71"/>
      <c r="H1849" s="71"/>
      <c r="K1849" s="71"/>
    </row>
    <row r="1850" spans="2:11">
      <c r="B1850" s="71"/>
      <c r="E1850" s="71"/>
      <c r="H1850" s="71"/>
      <c r="K1850" s="71"/>
    </row>
    <row r="1851" spans="2:11">
      <c r="B1851" s="71"/>
      <c r="E1851" s="71"/>
      <c r="H1851" s="71"/>
      <c r="K1851" s="71"/>
    </row>
    <row r="1852" spans="2:11">
      <c r="B1852" s="71"/>
      <c r="E1852" s="71"/>
      <c r="H1852" s="71"/>
      <c r="K1852" s="71"/>
    </row>
    <row r="1853" spans="2:11">
      <c r="B1853" s="71"/>
      <c r="E1853" s="71"/>
      <c r="H1853" s="71"/>
      <c r="K1853" s="71"/>
    </row>
    <row r="1854" spans="2:11">
      <c r="B1854" s="71"/>
      <c r="E1854" s="71"/>
      <c r="H1854" s="71"/>
      <c r="K1854" s="71"/>
    </row>
    <row r="1855" spans="2:11">
      <c r="B1855" s="71"/>
      <c r="E1855" s="71"/>
      <c r="H1855" s="71"/>
      <c r="K1855" s="71"/>
    </row>
    <row r="1856" spans="2:11">
      <c r="B1856" s="71"/>
      <c r="E1856" s="71"/>
      <c r="H1856" s="71"/>
      <c r="K1856" s="71"/>
    </row>
    <row r="1857" spans="2:11">
      <c r="B1857" s="71"/>
      <c r="E1857" s="71"/>
      <c r="H1857" s="71"/>
      <c r="K1857" s="71"/>
    </row>
    <row r="1858" spans="2:11">
      <c r="B1858" s="71"/>
      <c r="E1858" s="71"/>
      <c r="H1858" s="71"/>
      <c r="K1858" s="71"/>
    </row>
    <row r="1859" spans="2:11">
      <c r="B1859" s="71"/>
      <c r="E1859" s="71"/>
      <c r="H1859" s="71"/>
      <c r="K1859" s="71"/>
    </row>
    <row r="1860" spans="2:11">
      <c r="B1860" s="71"/>
      <c r="E1860" s="71"/>
      <c r="H1860" s="71"/>
      <c r="K1860" s="71"/>
    </row>
    <row r="1861" spans="2:11">
      <c r="B1861" s="71"/>
      <c r="E1861" s="71"/>
      <c r="H1861" s="71"/>
      <c r="K1861" s="71"/>
    </row>
    <row r="1862" spans="2:11">
      <c r="B1862" s="71"/>
      <c r="E1862" s="71"/>
      <c r="H1862" s="71"/>
      <c r="K1862" s="71"/>
    </row>
    <row r="1863" spans="2:11">
      <c r="B1863" s="71"/>
      <c r="E1863" s="71"/>
      <c r="H1863" s="71"/>
      <c r="K1863" s="71"/>
    </row>
    <row r="1864" spans="2:11">
      <c r="B1864" s="71"/>
      <c r="E1864" s="71"/>
      <c r="H1864" s="71"/>
      <c r="K1864" s="71"/>
    </row>
    <row r="1865" spans="2:11">
      <c r="B1865" s="71"/>
      <c r="E1865" s="71"/>
      <c r="H1865" s="71"/>
      <c r="K1865" s="71"/>
    </row>
    <row r="1866" spans="2:11">
      <c r="B1866" s="71"/>
      <c r="E1866" s="71"/>
      <c r="H1866" s="71"/>
      <c r="K1866" s="71"/>
    </row>
    <row r="1867" spans="2:11">
      <c r="B1867" s="71"/>
      <c r="E1867" s="71"/>
      <c r="H1867" s="71"/>
      <c r="K1867" s="71"/>
    </row>
    <row r="1868" spans="2:11">
      <c r="B1868" s="71"/>
      <c r="E1868" s="71"/>
      <c r="H1868" s="71"/>
      <c r="K1868" s="71"/>
    </row>
    <row r="1869" spans="2:11">
      <c r="B1869" s="71"/>
      <c r="E1869" s="71"/>
      <c r="H1869" s="71"/>
      <c r="K1869" s="71"/>
    </row>
    <row r="1870" spans="2:11">
      <c r="B1870" s="71"/>
      <c r="E1870" s="71"/>
      <c r="H1870" s="71"/>
      <c r="K1870" s="71"/>
    </row>
    <row r="1871" spans="2:11">
      <c r="B1871" s="71"/>
      <c r="E1871" s="71"/>
      <c r="H1871" s="71"/>
      <c r="K1871" s="71"/>
    </row>
    <row r="1872" spans="2:11">
      <c r="B1872" s="71"/>
      <c r="E1872" s="71"/>
      <c r="H1872" s="71"/>
      <c r="K1872" s="71"/>
    </row>
    <row r="1873" spans="2:11">
      <c r="B1873" s="71"/>
      <c r="H1873" s="71"/>
      <c r="K1873" s="71"/>
    </row>
    <row r="1874" spans="2:11">
      <c r="B1874" s="71"/>
      <c r="E1874" s="71"/>
      <c r="H1874" s="71"/>
      <c r="K1874" s="71"/>
    </row>
    <row r="1875" spans="2:11">
      <c r="B1875" s="71"/>
      <c r="E1875" s="71"/>
      <c r="H1875" s="71"/>
      <c r="K1875" s="71"/>
    </row>
    <row r="1876" spans="2:11">
      <c r="B1876" s="71"/>
      <c r="E1876" s="71"/>
      <c r="H1876" s="71"/>
      <c r="K1876" s="71"/>
    </row>
    <row r="1877" spans="2:11">
      <c r="B1877" s="71"/>
      <c r="E1877" s="71"/>
      <c r="H1877" s="71"/>
      <c r="K1877" s="71"/>
    </row>
    <row r="1878" spans="2:11">
      <c r="B1878" s="71"/>
      <c r="E1878" s="71"/>
      <c r="H1878" s="71"/>
      <c r="K1878" s="71"/>
    </row>
    <row r="1879" spans="2:11">
      <c r="B1879" s="71"/>
      <c r="E1879" s="71"/>
      <c r="H1879" s="71"/>
      <c r="K1879" s="71"/>
    </row>
    <row r="1880" spans="2:11">
      <c r="B1880" s="71"/>
      <c r="E1880" s="71"/>
      <c r="H1880" s="71"/>
      <c r="K1880" s="71"/>
    </row>
    <row r="1881" spans="2:11">
      <c r="B1881" s="71"/>
      <c r="E1881" s="71"/>
      <c r="H1881" s="71"/>
      <c r="K1881" s="71"/>
    </row>
    <row r="1882" spans="2:11">
      <c r="B1882" s="71"/>
      <c r="E1882" s="71"/>
      <c r="H1882" s="71"/>
      <c r="K1882" s="71"/>
    </row>
    <row r="1883" spans="2:11">
      <c r="B1883" s="71"/>
      <c r="E1883" s="71"/>
      <c r="H1883" s="71"/>
      <c r="K1883" s="71"/>
    </row>
    <row r="1884" spans="2:11">
      <c r="B1884" s="71"/>
      <c r="E1884" s="71"/>
      <c r="H1884" s="71"/>
      <c r="K1884" s="71"/>
    </row>
    <row r="1885" spans="2:11">
      <c r="B1885" s="71"/>
      <c r="E1885" s="71"/>
      <c r="H1885" s="71"/>
      <c r="K1885" s="71"/>
    </row>
    <row r="1886" spans="2:11">
      <c r="B1886" s="71"/>
      <c r="E1886" s="71"/>
      <c r="H1886" s="71"/>
      <c r="K1886" s="71"/>
    </row>
    <row r="1887" spans="2:11">
      <c r="B1887" s="71"/>
      <c r="E1887" s="71"/>
      <c r="H1887" s="71"/>
      <c r="K1887" s="71"/>
    </row>
    <row r="1888" spans="2:11">
      <c r="B1888" s="71"/>
      <c r="E1888" s="71"/>
      <c r="H1888" s="71"/>
      <c r="K1888" s="71"/>
    </row>
    <row r="1889" spans="2:11">
      <c r="B1889" s="71"/>
      <c r="E1889" s="71"/>
      <c r="H1889" s="71"/>
      <c r="K1889" s="71"/>
    </row>
    <row r="1890" spans="2:11">
      <c r="B1890" s="71"/>
      <c r="E1890" s="71"/>
      <c r="H1890" s="71"/>
      <c r="K1890" s="71"/>
    </row>
    <row r="1891" spans="2:11">
      <c r="B1891" s="71"/>
      <c r="E1891" s="71"/>
      <c r="H1891" s="71"/>
      <c r="K1891" s="71"/>
    </row>
    <row r="1892" spans="2:11">
      <c r="B1892" s="71"/>
      <c r="E1892" s="71"/>
      <c r="H1892" s="71"/>
      <c r="K1892" s="71"/>
    </row>
    <row r="1893" spans="2:11">
      <c r="B1893" s="71"/>
      <c r="E1893" s="71"/>
      <c r="H1893" s="71"/>
      <c r="K1893" s="71"/>
    </row>
    <row r="1894" spans="2:11">
      <c r="B1894" s="71"/>
      <c r="E1894" s="71"/>
      <c r="H1894" s="71"/>
      <c r="K1894" s="71"/>
    </row>
    <row r="1895" spans="2:11">
      <c r="B1895" s="71"/>
      <c r="E1895" s="71"/>
      <c r="H1895" s="71"/>
      <c r="K1895" s="71"/>
    </row>
    <row r="1896" spans="2:11">
      <c r="B1896" s="71"/>
      <c r="E1896" s="71"/>
      <c r="H1896" s="71"/>
      <c r="K1896" s="71"/>
    </row>
    <row r="1897" spans="2:11">
      <c r="B1897" s="71"/>
      <c r="E1897" s="71"/>
      <c r="H1897" s="71"/>
      <c r="K1897" s="71"/>
    </row>
    <row r="1898" spans="2:11">
      <c r="B1898" s="71"/>
      <c r="E1898" s="71"/>
      <c r="H1898" s="71"/>
      <c r="K1898" s="71"/>
    </row>
    <row r="1899" spans="2:11">
      <c r="B1899" s="71"/>
      <c r="E1899" s="71"/>
      <c r="H1899" s="71"/>
      <c r="K1899" s="71"/>
    </row>
    <row r="1900" spans="2:11">
      <c r="B1900" s="71"/>
      <c r="E1900" s="71"/>
      <c r="H1900" s="71"/>
      <c r="K1900" s="71"/>
    </row>
    <row r="1901" spans="2:11">
      <c r="B1901" s="71"/>
      <c r="E1901" s="71"/>
      <c r="H1901" s="71"/>
      <c r="K1901" s="71"/>
    </row>
    <row r="1902" spans="2:11">
      <c r="B1902" s="71"/>
      <c r="E1902" s="71"/>
      <c r="H1902" s="71"/>
      <c r="K1902" s="71"/>
    </row>
    <row r="1903" spans="2:11">
      <c r="B1903" s="71"/>
      <c r="E1903" s="71"/>
      <c r="H1903" s="71"/>
      <c r="K1903" s="71"/>
    </row>
    <row r="1904" spans="2:11">
      <c r="B1904" s="71"/>
      <c r="E1904" s="71"/>
      <c r="H1904" s="71"/>
      <c r="K1904" s="71"/>
    </row>
    <row r="1905" spans="2:11">
      <c r="B1905" s="71"/>
      <c r="E1905" s="71"/>
      <c r="H1905" s="71"/>
      <c r="K1905" s="71"/>
    </row>
    <row r="1906" spans="2:11">
      <c r="B1906" s="71"/>
      <c r="E1906" s="71"/>
      <c r="H1906" s="71"/>
      <c r="K1906" s="71"/>
    </row>
    <row r="1907" spans="2:11">
      <c r="B1907" s="71"/>
      <c r="E1907" s="71"/>
      <c r="H1907" s="71"/>
      <c r="K1907" s="71"/>
    </row>
    <row r="1908" spans="2:11">
      <c r="B1908" s="71"/>
      <c r="E1908" s="71"/>
      <c r="H1908" s="71"/>
      <c r="K1908" s="71"/>
    </row>
    <row r="1909" spans="2:11">
      <c r="B1909" s="71"/>
      <c r="E1909" s="71"/>
      <c r="H1909" s="71"/>
      <c r="K1909" s="71"/>
    </row>
    <row r="1910" spans="2:11">
      <c r="B1910" s="71"/>
      <c r="E1910" s="71"/>
      <c r="H1910" s="71"/>
      <c r="K1910" s="71"/>
    </row>
    <row r="1911" spans="2:11">
      <c r="B1911" s="71"/>
      <c r="E1911" s="71"/>
      <c r="H1911" s="71"/>
      <c r="K1911" s="71"/>
    </row>
    <row r="1912" spans="2:11">
      <c r="B1912" s="71"/>
      <c r="E1912" s="71"/>
      <c r="H1912" s="71"/>
      <c r="K1912" s="71"/>
    </row>
    <row r="1913" spans="2:11">
      <c r="B1913" s="71"/>
      <c r="E1913" s="71"/>
      <c r="H1913" s="71"/>
      <c r="K1913" s="71"/>
    </row>
    <row r="1914" spans="2:11">
      <c r="B1914" s="71"/>
      <c r="E1914" s="71"/>
      <c r="H1914" s="71"/>
      <c r="K1914" s="71"/>
    </row>
    <row r="1915" spans="2:11">
      <c r="B1915" s="71"/>
      <c r="E1915" s="71"/>
      <c r="H1915" s="71"/>
      <c r="K1915" s="71"/>
    </row>
    <row r="1916" spans="2:11">
      <c r="B1916" s="71"/>
      <c r="E1916" s="71"/>
      <c r="H1916" s="71"/>
      <c r="K1916" s="71"/>
    </row>
    <row r="1917" spans="2:11">
      <c r="B1917" s="71"/>
      <c r="E1917" s="71"/>
      <c r="H1917" s="71"/>
      <c r="K1917" s="71"/>
    </row>
    <row r="1918" spans="2:11">
      <c r="B1918" s="71"/>
      <c r="E1918" s="71"/>
      <c r="H1918" s="71"/>
      <c r="K1918" s="71"/>
    </row>
    <row r="1919" spans="2:11">
      <c r="B1919" s="71"/>
      <c r="E1919" s="71"/>
      <c r="H1919" s="71"/>
      <c r="K1919" s="71"/>
    </row>
    <row r="1920" spans="2:11">
      <c r="B1920" s="71"/>
      <c r="E1920" s="71"/>
      <c r="H1920" s="71"/>
      <c r="K1920" s="71"/>
    </row>
    <row r="1921" spans="2:11">
      <c r="B1921" s="71"/>
      <c r="E1921" s="71"/>
      <c r="H1921" s="71"/>
      <c r="K1921" s="71"/>
    </row>
    <row r="1922" spans="2:11">
      <c r="B1922" s="71"/>
      <c r="E1922" s="71"/>
      <c r="H1922" s="71"/>
      <c r="K1922" s="71"/>
    </row>
    <row r="1923" spans="2:11">
      <c r="B1923" s="71"/>
      <c r="E1923" s="71"/>
      <c r="H1923" s="71"/>
      <c r="K1923" s="71"/>
    </row>
    <row r="1924" spans="2:11">
      <c r="B1924" s="71"/>
      <c r="E1924" s="71"/>
      <c r="H1924" s="71"/>
      <c r="K1924" s="71"/>
    </row>
    <row r="1925" spans="2:11">
      <c r="B1925" s="71"/>
      <c r="E1925" s="71"/>
      <c r="H1925" s="71"/>
      <c r="K1925" s="71"/>
    </row>
    <row r="1926" spans="2:11">
      <c r="B1926" s="71"/>
      <c r="E1926" s="71"/>
      <c r="H1926" s="71"/>
      <c r="K1926" s="71"/>
    </row>
    <row r="1927" spans="2:11">
      <c r="B1927" s="71"/>
      <c r="E1927" s="71"/>
      <c r="H1927" s="71"/>
      <c r="K1927" s="71"/>
    </row>
    <row r="1928" spans="2:11">
      <c r="B1928" s="71"/>
      <c r="E1928" s="71"/>
      <c r="H1928" s="71"/>
      <c r="K1928" s="71"/>
    </row>
    <row r="1929" spans="2:11">
      <c r="B1929" s="71"/>
      <c r="E1929" s="71"/>
      <c r="H1929" s="71"/>
      <c r="K1929" s="71"/>
    </row>
    <row r="1930" spans="2:11">
      <c r="B1930" s="71"/>
      <c r="E1930" s="71"/>
      <c r="H1930" s="71"/>
      <c r="K1930" s="71"/>
    </row>
    <row r="1931" spans="2:11">
      <c r="B1931" s="71"/>
      <c r="E1931" s="71"/>
      <c r="H1931" s="71"/>
      <c r="K1931" s="71"/>
    </row>
    <row r="1932" spans="2:11">
      <c r="B1932" s="71"/>
      <c r="E1932" s="71"/>
      <c r="H1932" s="71"/>
      <c r="K1932" s="71"/>
    </row>
    <row r="1933" spans="2:11">
      <c r="B1933" s="71"/>
      <c r="E1933" s="71"/>
      <c r="H1933" s="71"/>
      <c r="K1933" s="71"/>
    </row>
    <row r="1934" spans="2:11">
      <c r="B1934" s="71"/>
      <c r="E1934" s="71"/>
      <c r="H1934" s="71"/>
      <c r="K1934" s="71"/>
    </row>
    <row r="1935" spans="2:11">
      <c r="B1935" s="71"/>
      <c r="E1935" s="71"/>
      <c r="H1935" s="71"/>
      <c r="K1935" s="71"/>
    </row>
    <row r="1936" spans="2:11">
      <c r="B1936" s="71"/>
      <c r="E1936" s="71"/>
      <c r="H1936" s="71"/>
      <c r="K1936" s="71"/>
    </row>
    <row r="1937" spans="2:11">
      <c r="B1937" s="71"/>
      <c r="E1937" s="71"/>
      <c r="H1937" s="71"/>
      <c r="K1937" s="71"/>
    </row>
    <row r="1938" spans="2:11">
      <c r="B1938" s="71"/>
      <c r="E1938" s="71"/>
      <c r="H1938" s="71"/>
      <c r="K1938" s="71"/>
    </row>
    <row r="1939" spans="2:11">
      <c r="B1939" s="71"/>
      <c r="E1939" s="71"/>
      <c r="H1939" s="71"/>
      <c r="K1939" s="71"/>
    </row>
    <row r="1940" spans="2:11">
      <c r="B1940" s="71"/>
      <c r="E1940" s="71"/>
      <c r="H1940" s="71"/>
      <c r="K1940" s="71"/>
    </row>
    <row r="1941" spans="2:11">
      <c r="B1941" s="71"/>
      <c r="E1941" s="71"/>
      <c r="H1941" s="71"/>
      <c r="K1941" s="71"/>
    </row>
    <row r="1942" spans="2:11">
      <c r="B1942" s="71"/>
      <c r="E1942" s="71"/>
      <c r="H1942" s="71"/>
    </row>
    <row r="1943" spans="2:11">
      <c r="B1943" s="71"/>
      <c r="E1943" s="71"/>
      <c r="H1943" s="71"/>
      <c r="K1943" s="71"/>
    </row>
    <row r="1944" spans="2:11">
      <c r="B1944" s="71"/>
      <c r="E1944" s="71"/>
      <c r="H1944" s="71"/>
      <c r="K1944" s="71"/>
    </row>
    <row r="1945" spans="2:11">
      <c r="B1945" s="71"/>
      <c r="E1945" s="71"/>
      <c r="H1945" s="71"/>
      <c r="K1945" s="71"/>
    </row>
    <row r="1946" spans="2:11">
      <c r="B1946" s="71"/>
      <c r="E1946" s="71"/>
      <c r="H1946" s="71"/>
      <c r="K1946" s="71"/>
    </row>
    <row r="1947" spans="2:11">
      <c r="B1947" s="71"/>
      <c r="E1947" s="71"/>
      <c r="H1947" s="71"/>
      <c r="K1947" s="71"/>
    </row>
    <row r="1948" spans="2:11">
      <c r="B1948" s="71"/>
      <c r="E1948" s="71"/>
      <c r="H1948" s="71"/>
      <c r="K1948" s="71"/>
    </row>
    <row r="1949" spans="2:11">
      <c r="B1949" s="71"/>
      <c r="E1949" s="71"/>
      <c r="H1949" s="71"/>
      <c r="K1949" s="71"/>
    </row>
    <row r="1950" spans="2:11">
      <c r="B1950" s="71"/>
      <c r="E1950" s="71"/>
      <c r="H1950" s="71"/>
      <c r="K1950" s="71"/>
    </row>
    <row r="1951" spans="2:11">
      <c r="B1951" s="71"/>
      <c r="E1951" s="71"/>
      <c r="H1951" s="71"/>
      <c r="K1951" s="71"/>
    </row>
    <row r="1952" spans="2:11">
      <c r="B1952" s="71"/>
      <c r="E1952" s="71"/>
      <c r="H1952" s="71"/>
      <c r="K1952" s="71"/>
    </row>
    <row r="1953" spans="2:11">
      <c r="B1953" s="71"/>
      <c r="E1953" s="71"/>
      <c r="H1953" s="71"/>
      <c r="K1953" s="71"/>
    </row>
    <row r="1954" spans="2:11">
      <c r="B1954" s="71"/>
      <c r="E1954" s="71"/>
      <c r="H1954" s="71"/>
      <c r="K1954" s="71"/>
    </row>
    <row r="1955" spans="2:11">
      <c r="B1955" s="71"/>
      <c r="E1955" s="71"/>
      <c r="H1955" s="71"/>
      <c r="K1955" s="71"/>
    </row>
    <row r="1956" spans="2:11">
      <c r="B1956" s="71"/>
      <c r="E1956" s="71"/>
      <c r="H1956" s="71"/>
      <c r="K1956" s="71"/>
    </row>
    <row r="1957" spans="2:11">
      <c r="B1957" s="71"/>
      <c r="E1957" s="71"/>
      <c r="H1957" s="71"/>
      <c r="K1957" s="71"/>
    </row>
    <row r="1958" spans="2:11">
      <c r="B1958" s="71"/>
      <c r="E1958" s="71"/>
      <c r="H1958" s="71"/>
      <c r="K1958" s="71"/>
    </row>
    <row r="1959" spans="2:11">
      <c r="B1959" s="71"/>
      <c r="E1959" s="71"/>
      <c r="H1959" s="71"/>
      <c r="K1959" s="71"/>
    </row>
    <row r="1960" spans="2:11">
      <c r="B1960" s="71"/>
      <c r="E1960" s="71"/>
      <c r="H1960" s="71"/>
      <c r="K1960" s="71"/>
    </row>
    <row r="1961" spans="2:11">
      <c r="B1961" s="71"/>
      <c r="E1961" s="71"/>
      <c r="H1961" s="71"/>
      <c r="K1961" s="71"/>
    </row>
    <row r="1962" spans="2:11">
      <c r="B1962" s="71"/>
      <c r="E1962" s="71"/>
      <c r="H1962" s="71"/>
      <c r="K1962" s="71"/>
    </row>
    <row r="1963" spans="2:11">
      <c r="B1963" s="71"/>
      <c r="E1963" s="71"/>
      <c r="H1963" s="71"/>
      <c r="K1963" s="71"/>
    </row>
    <row r="1964" spans="2:11">
      <c r="B1964" s="71"/>
      <c r="E1964" s="71"/>
      <c r="H1964" s="71"/>
      <c r="K1964" s="71"/>
    </row>
    <row r="1965" spans="2:11">
      <c r="B1965" s="71"/>
      <c r="E1965" s="71"/>
      <c r="H1965" s="71"/>
      <c r="K1965" s="71"/>
    </row>
    <row r="1966" spans="2:11">
      <c r="B1966" s="71"/>
      <c r="E1966" s="71"/>
      <c r="H1966" s="71"/>
      <c r="K1966" s="71"/>
    </row>
    <row r="1967" spans="2:11">
      <c r="B1967" s="71"/>
      <c r="E1967" s="71"/>
      <c r="H1967" s="71"/>
      <c r="K1967" s="71"/>
    </row>
    <row r="1968" spans="2:11">
      <c r="B1968" s="71"/>
      <c r="E1968" s="71"/>
      <c r="H1968" s="71"/>
      <c r="K1968" s="71"/>
    </row>
    <row r="1969" spans="2:11">
      <c r="B1969" s="71"/>
      <c r="E1969" s="71"/>
      <c r="H1969" s="71"/>
      <c r="K1969" s="71"/>
    </row>
    <row r="1970" spans="2:11">
      <c r="B1970" s="71"/>
      <c r="E1970" s="71"/>
      <c r="H1970" s="71"/>
      <c r="K1970" s="71"/>
    </row>
    <row r="1971" spans="2:11">
      <c r="B1971" s="71"/>
      <c r="E1971" s="71"/>
      <c r="H1971" s="71"/>
      <c r="K1971" s="71"/>
    </row>
    <row r="1972" spans="2:11">
      <c r="B1972" s="71"/>
      <c r="E1972" s="71"/>
      <c r="H1972" s="71"/>
      <c r="K1972" s="71"/>
    </row>
    <row r="1973" spans="2:11">
      <c r="B1973" s="71"/>
      <c r="E1973" s="71"/>
      <c r="H1973" s="71"/>
      <c r="K1973" s="71"/>
    </row>
    <row r="1974" spans="2:11">
      <c r="B1974" s="71"/>
      <c r="E1974" s="71"/>
      <c r="H1974" s="71"/>
      <c r="K1974" s="71"/>
    </row>
    <row r="1975" spans="2:11">
      <c r="B1975" s="71"/>
      <c r="E1975" s="71"/>
      <c r="H1975" s="71"/>
      <c r="K1975" s="71"/>
    </row>
    <row r="1976" spans="2:11">
      <c r="B1976" s="71"/>
      <c r="E1976" s="71"/>
      <c r="H1976" s="71"/>
      <c r="K1976" s="71"/>
    </row>
    <row r="1977" spans="2:11">
      <c r="B1977" s="71"/>
      <c r="E1977" s="71"/>
      <c r="H1977" s="71"/>
      <c r="K1977" s="71"/>
    </row>
    <row r="1978" spans="2:11">
      <c r="B1978" s="71"/>
      <c r="E1978" s="71"/>
      <c r="H1978" s="71"/>
      <c r="K1978" s="71"/>
    </row>
    <row r="1979" spans="2:11">
      <c r="B1979" s="71"/>
      <c r="E1979" s="71"/>
      <c r="H1979" s="71"/>
      <c r="K1979" s="71"/>
    </row>
    <row r="1980" spans="2:11">
      <c r="B1980" s="71"/>
      <c r="E1980" s="71"/>
      <c r="H1980" s="71"/>
      <c r="K1980" s="71"/>
    </row>
    <row r="1981" spans="2:11">
      <c r="B1981" s="71"/>
      <c r="E1981" s="71"/>
      <c r="H1981" s="71"/>
      <c r="K1981" s="71"/>
    </row>
    <row r="1982" spans="2:11">
      <c r="B1982" s="71"/>
      <c r="E1982" s="71"/>
      <c r="H1982" s="71"/>
      <c r="K1982" s="71"/>
    </row>
    <row r="1983" spans="2:11">
      <c r="B1983" s="71"/>
      <c r="E1983" s="71"/>
      <c r="H1983" s="71"/>
      <c r="K1983" s="71"/>
    </row>
    <row r="1984" spans="2:11">
      <c r="B1984" s="71"/>
      <c r="E1984" s="71"/>
      <c r="H1984" s="71"/>
      <c r="K1984" s="71"/>
    </row>
    <row r="1985" spans="2:11">
      <c r="B1985" s="71"/>
      <c r="E1985" s="71"/>
      <c r="H1985" s="71"/>
      <c r="K1985" s="71"/>
    </row>
    <row r="1986" spans="2:11">
      <c r="B1986" s="71"/>
      <c r="E1986" s="71"/>
      <c r="H1986" s="71"/>
      <c r="K1986" s="71"/>
    </row>
    <row r="1987" spans="2:11">
      <c r="B1987" s="71"/>
      <c r="E1987" s="71"/>
      <c r="H1987" s="71"/>
      <c r="K1987" s="71"/>
    </row>
    <row r="1988" spans="2:11">
      <c r="B1988" s="71"/>
      <c r="E1988" s="71"/>
      <c r="H1988" s="71"/>
      <c r="K1988" s="71"/>
    </row>
    <row r="1989" spans="2:11">
      <c r="B1989" s="71"/>
      <c r="E1989" s="71"/>
      <c r="H1989" s="71"/>
      <c r="K1989" s="71"/>
    </row>
    <row r="1990" spans="2:11">
      <c r="B1990" s="71"/>
      <c r="E1990" s="71"/>
      <c r="H1990" s="71"/>
      <c r="K1990" s="71"/>
    </row>
    <row r="1991" spans="2:11">
      <c r="B1991" s="71"/>
      <c r="E1991" s="71"/>
      <c r="H1991" s="71"/>
      <c r="K1991" s="71"/>
    </row>
    <row r="1992" spans="2:11">
      <c r="B1992" s="71"/>
      <c r="E1992" s="71"/>
      <c r="H1992" s="71"/>
      <c r="K1992" s="71"/>
    </row>
    <row r="1993" spans="2:11">
      <c r="B1993" s="71"/>
      <c r="E1993" s="71"/>
      <c r="H1993" s="71"/>
      <c r="K1993" s="71"/>
    </row>
    <row r="1994" spans="2:11">
      <c r="B1994" s="71"/>
      <c r="E1994" s="71"/>
      <c r="H1994" s="71"/>
      <c r="K1994" s="71"/>
    </row>
    <row r="1995" spans="2:11">
      <c r="B1995" s="71"/>
      <c r="E1995" s="71"/>
      <c r="H1995" s="71"/>
      <c r="K1995" s="71"/>
    </row>
    <row r="1996" spans="2:11">
      <c r="B1996" s="71"/>
      <c r="E1996" s="71"/>
      <c r="H1996" s="71"/>
      <c r="K1996" s="71"/>
    </row>
    <row r="1997" spans="2:11">
      <c r="B1997" s="71"/>
      <c r="E1997" s="71"/>
      <c r="H1997" s="71"/>
      <c r="K1997" s="71"/>
    </row>
    <row r="1998" spans="2:11">
      <c r="B1998" s="71"/>
      <c r="E1998" s="71"/>
      <c r="H1998" s="71"/>
    </row>
    <row r="1999" spans="2:11">
      <c r="B1999" s="71"/>
      <c r="E1999" s="71"/>
      <c r="H1999" s="71"/>
      <c r="K1999" s="71"/>
    </row>
    <row r="2000" spans="2:11">
      <c r="B2000" s="71"/>
      <c r="E2000" s="71"/>
      <c r="H2000" s="71"/>
      <c r="K2000" s="71"/>
    </row>
    <row r="2001" spans="2:11">
      <c r="B2001" s="71"/>
      <c r="E2001" s="71"/>
      <c r="H2001" s="71"/>
      <c r="K2001" s="71"/>
    </row>
    <row r="2002" spans="2:11">
      <c r="B2002" s="71"/>
      <c r="E2002" s="71"/>
      <c r="H2002" s="71"/>
      <c r="K2002" s="71"/>
    </row>
    <row r="2003" spans="2:11">
      <c r="B2003" s="71"/>
      <c r="E2003" s="71"/>
      <c r="H2003" s="71"/>
      <c r="K2003" s="71"/>
    </row>
    <row r="2004" spans="2:11">
      <c r="B2004" s="71"/>
      <c r="E2004" s="71"/>
      <c r="H2004" s="71"/>
      <c r="K2004" s="71"/>
    </row>
    <row r="2005" spans="2:11">
      <c r="B2005" s="71"/>
      <c r="E2005" s="71"/>
      <c r="H2005" s="71"/>
      <c r="K2005" s="71"/>
    </row>
    <row r="2006" spans="2:11">
      <c r="B2006" s="71"/>
      <c r="E2006" s="71"/>
      <c r="H2006" s="71"/>
      <c r="K2006" s="71"/>
    </row>
    <row r="2007" spans="2:11">
      <c r="B2007" s="71"/>
      <c r="E2007" s="71"/>
      <c r="H2007" s="71"/>
      <c r="K2007" s="71"/>
    </row>
    <row r="2008" spans="2:11">
      <c r="B2008" s="71"/>
      <c r="E2008" s="71"/>
      <c r="H2008" s="71"/>
      <c r="K2008" s="71"/>
    </row>
    <row r="2009" spans="2:11">
      <c r="B2009" s="71"/>
      <c r="E2009" s="71"/>
      <c r="H2009" s="71"/>
      <c r="K2009" s="71"/>
    </row>
    <row r="2010" spans="2:11">
      <c r="B2010" s="71"/>
      <c r="E2010" s="71"/>
      <c r="H2010" s="71"/>
      <c r="K2010" s="71"/>
    </row>
    <row r="2011" spans="2:11">
      <c r="B2011" s="71"/>
      <c r="E2011" s="71"/>
      <c r="H2011" s="71"/>
      <c r="K2011" s="71"/>
    </row>
    <row r="2012" spans="2:11">
      <c r="B2012" s="71"/>
      <c r="E2012" s="71"/>
      <c r="H2012" s="71"/>
      <c r="K2012" s="71"/>
    </row>
    <row r="2013" spans="2:11">
      <c r="B2013" s="71"/>
      <c r="E2013" s="71"/>
      <c r="H2013" s="71"/>
      <c r="K2013" s="71"/>
    </row>
    <row r="2014" spans="2:11">
      <c r="B2014" s="71"/>
      <c r="E2014" s="71"/>
      <c r="H2014" s="71"/>
      <c r="K2014" s="71"/>
    </row>
    <row r="2015" spans="2:11">
      <c r="B2015" s="71"/>
      <c r="E2015" s="71"/>
      <c r="H2015" s="71"/>
      <c r="K2015" s="71"/>
    </row>
    <row r="2016" spans="2:11">
      <c r="B2016" s="71"/>
      <c r="E2016" s="71"/>
      <c r="H2016" s="71"/>
      <c r="K2016" s="71"/>
    </row>
    <row r="2017" spans="2:11">
      <c r="B2017" s="71"/>
      <c r="E2017" s="71"/>
      <c r="H2017" s="71"/>
      <c r="K2017" s="71"/>
    </row>
    <row r="2018" spans="2:11">
      <c r="B2018" s="71"/>
      <c r="E2018" s="71"/>
      <c r="H2018" s="71"/>
      <c r="K2018" s="71"/>
    </row>
    <row r="2019" spans="2:11">
      <c r="B2019" s="71"/>
      <c r="E2019" s="71"/>
      <c r="H2019" s="71"/>
      <c r="K2019" s="71"/>
    </row>
    <row r="2020" spans="2:11">
      <c r="B2020" s="71"/>
      <c r="E2020" s="71"/>
      <c r="H2020" s="71"/>
      <c r="K2020" s="71"/>
    </row>
    <row r="2021" spans="2:11">
      <c r="B2021" s="71"/>
      <c r="E2021" s="71"/>
      <c r="H2021" s="71"/>
      <c r="K2021" s="71"/>
    </row>
    <row r="2022" spans="2:11">
      <c r="B2022" s="71"/>
      <c r="E2022" s="71"/>
      <c r="H2022" s="71"/>
      <c r="K2022" s="71"/>
    </row>
    <row r="2023" spans="2:11">
      <c r="B2023" s="71"/>
      <c r="E2023" s="71"/>
      <c r="H2023" s="71"/>
      <c r="K2023" s="71"/>
    </row>
    <row r="2024" spans="2:11">
      <c r="B2024" s="71"/>
      <c r="E2024" s="71"/>
      <c r="H2024" s="71"/>
      <c r="K2024" s="71"/>
    </row>
    <row r="2025" spans="2:11">
      <c r="B2025" s="71"/>
      <c r="E2025" s="71"/>
      <c r="H2025" s="71"/>
      <c r="K2025" s="71"/>
    </row>
    <row r="2026" spans="2:11">
      <c r="B2026" s="71"/>
      <c r="E2026" s="71"/>
      <c r="H2026" s="71"/>
      <c r="K2026" s="71"/>
    </row>
    <row r="2027" spans="2:11">
      <c r="B2027" s="71"/>
      <c r="E2027" s="71"/>
      <c r="H2027" s="71"/>
      <c r="K2027" s="71"/>
    </row>
    <row r="2028" spans="2:11">
      <c r="B2028" s="71"/>
      <c r="E2028" s="71"/>
      <c r="H2028" s="71"/>
      <c r="K2028" s="71"/>
    </row>
    <row r="2029" spans="2:11">
      <c r="B2029" s="71"/>
      <c r="E2029" s="71"/>
      <c r="H2029" s="71"/>
      <c r="K2029" s="71"/>
    </row>
    <row r="2030" spans="2:11">
      <c r="B2030" s="71"/>
      <c r="E2030" s="71"/>
      <c r="H2030" s="71"/>
      <c r="K2030" s="71"/>
    </row>
    <row r="2031" spans="2:11">
      <c r="B2031" s="71"/>
      <c r="E2031" s="71"/>
      <c r="H2031" s="71"/>
      <c r="K2031" s="71"/>
    </row>
    <row r="2032" spans="2:11">
      <c r="B2032" s="71"/>
      <c r="E2032" s="71"/>
      <c r="H2032" s="71"/>
      <c r="K2032" s="71"/>
    </row>
    <row r="2033" spans="2:11">
      <c r="B2033" s="71"/>
      <c r="E2033" s="71"/>
      <c r="H2033" s="71"/>
      <c r="K2033" s="71"/>
    </row>
    <row r="2034" spans="2:11">
      <c r="B2034" s="71"/>
      <c r="E2034" s="71"/>
      <c r="H2034" s="71"/>
      <c r="K2034" s="71"/>
    </row>
    <row r="2035" spans="2:11">
      <c r="B2035" s="71"/>
      <c r="E2035" s="71"/>
      <c r="H2035" s="71"/>
      <c r="K2035" s="71"/>
    </row>
    <row r="2036" spans="2:11">
      <c r="B2036" s="71"/>
      <c r="E2036" s="71"/>
      <c r="H2036" s="71"/>
      <c r="K2036" s="71"/>
    </row>
    <row r="2037" spans="2:11">
      <c r="B2037" s="71"/>
      <c r="E2037" s="71"/>
      <c r="H2037" s="71"/>
      <c r="K2037" s="71"/>
    </row>
    <row r="2038" spans="2:11">
      <c r="B2038" s="71"/>
      <c r="E2038" s="71"/>
      <c r="H2038" s="71"/>
      <c r="K2038" s="71"/>
    </row>
    <row r="2039" spans="2:11">
      <c r="B2039" s="71"/>
      <c r="E2039" s="71"/>
      <c r="H2039" s="71"/>
      <c r="K2039" s="71"/>
    </row>
    <row r="2040" spans="2:11">
      <c r="B2040" s="71"/>
      <c r="E2040" s="71"/>
      <c r="H2040" s="71"/>
      <c r="K2040" s="71"/>
    </row>
    <row r="2041" spans="2:11">
      <c r="B2041" s="71"/>
      <c r="E2041" s="71"/>
      <c r="H2041" s="71"/>
      <c r="K2041" s="71"/>
    </row>
    <row r="2042" spans="2:11">
      <c r="B2042" s="71"/>
      <c r="E2042" s="71"/>
      <c r="H2042" s="71"/>
      <c r="K2042" s="71"/>
    </row>
    <row r="2043" spans="2:11">
      <c r="B2043" s="71"/>
      <c r="E2043" s="71"/>
      <c r="H2043" s="71"/>
      <c r="K2043" s="71"/>
    </row>
    <row r="2044" spans="2:11">
      <c r="B2044" s="71"/>
      <c r="E2044" s="71"/>
      <c r="H2044" s="71"/>
      <c r="K2044" s="71"/>
    </row>
    <row r="2045" spans="2:11">
      <c r="B2045" s="71"/>
      <c r="E2045" s="71"/>
      <c r="H2045" s="71"/>
      <c r="K2045" s="71"/>
    </row>
    <row r="2046" spans="2:11">
      <c r="B2046" s="71"/>
      <c r="E2046" s="71"/>
      <c r="H2046" s="71"/>
      <c r="K2046" s="71"/>
    </row>
    <row r="2047" spans="2:11">
      <c r="B2047" s="71"/>
      <c r="E2047" s="71"/>
      <c r="H2047" s="71"/>
      <c r="K2047" s="71"/>
    </row>
    <row r="2048" spans="2:11">
      <c r="B2048" s="71"/>
      <c r="E2048" s="71"/>
      <c r="H2048" s="71"/>
      <c r="K2048" s="71"/>
    </row>
    <row r="2049" spans="2:11">
      <c r="B2049" s="71"/>
      <c r="E2049" s="71"/>
      <c r="H2049" s="71"/>
      <c r="K2049" s="71"/>
    </row>
    <row r="2050" spans="2:11">
      <c r="B2050" s="71"/>
      <c r="E2050" s="71"/>
      <c r="H2050" s="71"/>
      <c r="K2050" s="71"/>
    </row>
    <row r="2051" spans="2:11">
      <c r="B2051" s="71"/>
      <c r="E2051" s="71"/>
      <c r="H2051" s="71"/>
      <c r="K2051" s="71"/>
    </row>
    <row r="2052" spans="2:11">
      <c r="B2052" s="71"/>
      <c r="E2052" s="71"/>
      <c r="H2052" s="71"/>
      <c r="K2052" s="71"/>
    </row>
    <row r="2053" spans="2:11">
      <c r="B2053" s="71"/>
      <c r="E2053" s="71"/>
      <c r="H2053" s="71"/>
      <c r="K2053" s="71"/>
    </row>
    <row r="2054" spans="2:11">
      <c r="B2054" s="71"/>
      <c r="E2054" s="71"/>
      <c r="H2054" s="71"/>
      <c r="K2054" s="71"/>
    </row>
    <row r="2055" spans="2:11">
      <c r="B2055" s="71"/>
      <c r="E2055" s="71"/>
      <c r="H2055" s="71"/>
      <c r="K2055" s="71"/>
    </row>
    <row r="2056" spans="2:11">
      <c r="B2056" s="71"/>
      <c r="E2056" s="71"/>
      <c r="H2056" s="71"/>
      <c r="K2056" s="71"/>
    </row>
    <row r="2057" spans="2:11">
      <c r="B2057" s="71"/>
      <c r="E2057" s="71"/>
      <c r="H2057" s="71"/>
      <c r="K2057" s="71"/>
    </row>
    <row r="2058" spans="2:11">
      <c r="B2058" s="71"/>
      <c r="E2058" s="71"/>
      <c r="H2058" s="71"/>
      <c r="K2058" s="71"/>
    </row>
    <row r="2059" spans="2:11">
      <c r="B2059" s="71"/>
      <c r="E2059" s="71"/>
      <c r="H2059" s="71"/>
      <c r="K2059" s="71"/>
    </row>
    <row r="2060" spans="2:11">
      <c r="B2060" s="71"/>
      <c r="E2060" s="71"/>
      <c r="H2060" s="71"/>
      <c r="K2060" s="71"/>
    </row>
    <row r="2061" spans="2:11">
      <c r="B2061" s="71"/>
      <c r="E2061" s="71"/>
      <c r="H2061" s="71"/>
      <c r="K2061" s="71"/>
    </row>
    <row r="2062" spans="2:11">
      <c r="B2062" s="71"/>
      <c r="H2062" s="71"/>
      <c r="K2062" s="71"/>
    </row>
    <row r="2063" spans="2:11">
      <c r="B2063" s="71"/>
      <c r="E2063" s="71"/>
      <c r="H2063" s="71"/>
      <c r="K2063" s="71"/>
    </row>
    <row r="2064" spans="2:11">
      <c r="B2064" s="71"/>
      <c r="E2064" s="71"/>
      <c r="H2064" s="71"/>
      <c r="K2064" s="71"/>
    </row>
    <row r="2065" spans="2:11">
      <c r="B2065" s="71"/>
      <c r="E2065" s="71"/>
      <c r="H2065" s="71"/>
      <c r="K2065" s="71"/>
    </row>
    <row r="2066" spans="2:11">
      <c r="B2066" s="71"/>
      <c r="E2066" s="71"/>
      <c r="H2066" s="71"/>
      <c r="K2066" s="71"/>
    </row>
    <row r="2067" spans="2:11">
      <c r="B2067" s="71"/>
      <c r="H2067" s="71"/>
      <c r="K2067" s="71"/>
    </row>
    <row r="2068" spans="2:11">
      <c r="B2068" s="71"/>
      <c r="E2068" s="71"/>
      <c r="H2068" s="71"/>
      <c r="K2068" s="71"/>
    </row>
    <row r="2069" spans="2:11">
      <c r="B2069" s="71"/>
      <c r="E2069" s="71"/>
      <c r="H2069" s="71"/>
      <c r="K2069" s="71"/>
    </row>
    <row r="2070" spans="2:11">
      <c r="B2070" s="71"/>
      <c r="E2070" s="71"/>
      <c r="H2070" s="71"/>
      <c r="K2070" s="71"/>
    </row>
    <row r="2071" spans="2:11">
      <c r="B2071" s="71"/>
      <c r="E2071" s="71"/>
      <c r="H2071" s="71"/>
      <c r="K2071" s="71"/>
    </row>
    <row r="2072" spans="2:11">
      <c r="B2072" s="71"/>
      <c r="E2072" s="71"/>
      <c r="H2072" s="71"/>
      <c r="K2072" s="71"/>
    </row>
    <row r="2073" spans="2:11">
      <c r="B2073" s="71"/>
      <c r="E2073" s="71"/>
      <c r="H2073" s="71"/>
      <c r="K2073" s="71"/>
    </row>
    <row r="2074" spans="2:11">
      <c r="B2074" s="71"/>
      <c r="E2074" s="71"/>
      <c r="H2074" s="71"/>
      <c r="K2074" s="71"/>
    </row>
    <row r="2075" spans="2:11">
      <c r="B2075" s="71"/>
      <c r="E2075" s="71"/>
      <c r="H2075" s="71"/>
      <c r="K2075" s="71"/>
    </row>
    <row r="2076" spans="2:11">
      <c r="B2076" s="71"/>
      <c r="E2076" s="71"/>
      <c r="H2076" s="71"/>
      <c r="K2076" s="71"/>
    </row>
    <row r="2077" spans="2:11">
      <c r="B2077" s="71"/>
      <c r="E2077" s="71"/>
      <c r="H2077" s="71"/>
      <c r="K2077" s="71"/>
    </row>
    <row r="2078" spans="2:11">
      <c r="B2078" s="71"/>
      <c r="E2078" s="71"/>
      <c r="H2078" s="71"/>
      <c r="K2078" s="71"/>
    </row>
    <row r="2079" spans="2:11">
      <c r="B2079" s="71"/>
      <c r="E2079" s="71"/>
      <c r="H2079" s="71"/>
      <c r="K2079" s="71"/>
    </row>
    <row r="2080" spans="2:11">
      <c r="B2080" s="71"/>
      <c r="E2080" s="71"/>
      <c r="H2080" s="71"/>
      <c r="K2080" s="71"/>
    </row>
    <row r="2081" spans="2:11">
      <c r="B2081" s="71"/>
      <c r="E2081" s="71"/>
      <c r="H2081" s="71"/>
      <c r="K2081" s="71"/>
    </row>
    <row r="2082" spans="2:11">
      <c r="B2082" s="71"/>
      <c r="E2082" s="71"/>
      <c r="H2082" s="71"/>
      <c r="K2082" s="71"/>
    </row>
    <row r="2083" spans="2:11">
      <c r="B2083" s="71"/>
      <c r="E2083" s="71"/>
      <c r="H2083" s="71"/>
      <c r="K2083" s="71"/>
    </row>
    <row r="2084" spans="2:11">
      <c r="B2084" s="71"/>
      <c r="E2084" s="71"/>
      <c r="H2084" s="71"/>
      <c r="K2084" s="71"/>
    </row>
    <row r="2085" spans="2:11">
      <c r="B2085" s="71"/>
      <c r="E2085" s="71"/>
      <c r="H2085" s="71"/>
      <c r="K2085" s="71"/>
    </row>
    <row r="2086" spans="2:11">
      <c r="B2086" s="71"/>
      <c r="E2086" s="71"/>
      <c r="H2086" s="71"/>
      <c r="K2086" s="71"/>
    </row>
    <row r="2087" spans="2:11">
      <c r="B2087" s="71"/>
      <c r="E2087" s="71"/>
      <c r="H2087" s="71"/>
      <c r="K2087" s="71"/>
    </row>
    <row r="2088" spans="2:11">
      <c r="B2088" s="71"/>
      <c r="E2088" s="71"/>
      <c r="H2088" s="71"/>
      <c r="K2088" s="71"/>
    </row>
    <row r="2089" spans="2:11">
      <c r="B2089" s="71"/>
      <c r="E2089" s="71"/>
      <c r="H2089" s="71"/>
      <c r="K2089" s="71"/>
    </row>
    <row r="2090" spans="2:11">
      <c r="B2090" s="71"/>
      <c r="H2090" s="71"/>
      <c r="K2090" s="71"/>
    </row>
    <row r="2091" spans="2:11">
      <c r="B2091" s="71"/>
      <c r="E2091" s="71"/>
      <c r="H2091" s="71"/>
      <c r="K2091" s="71"/>
    </row>
    <row r="2092" spans="2:11">
      <c r="B2092" s="71"/>
      <c r="E2092" s="71"/>
      <c r="H2092" s="71"/>
      <c r="K2092" s="71"/>
    </row>
    <row r="2093" spans="2:11">
      <c r="B2093" s="71"/>
      <c r="E2093" s="71"/>
      <c r="H2093" s="71"/>
      <c r="K2093" s="71"/>
    </row>
    <row r="2094" spans="2:11">
      <c r="B2094" s="71"/>
      <c r="E2094" s="71"/>
      <c r="H2094" s="71"/>
      <c r="K2094" s="71"/>
    </row>
    <row r="2095" spans="2:11">
      <c r="B2095" s="71"/>
      <c r="E2095" s="71"/>
      <c r="H2095" s="71"/>
      <c r="K2095" s="71"/>
    </row>
    <row r="2096" spans="2:11">
      <c r="B2096" s="71"/>
      <c r="E2096" s="71"/>
      <c r="H2096" s="71"/>
      <c r="K2096" s="71"/>
    </row>
    <row r="2097" spans="2:11">
      <c r="B2097" s="71"/>
      <c r="E2097" s="71"/>
      <c r="H2097" s="71"/>
      <c r="K2097" s="71"/>
    </row>
    <row r="2098" spans="2:11">
      <c r="B2098" s="71"/>
      <c r="E2098" s="71"/>
      <c r="H2098" s="71"/>
      <c r="K2098" s="71"/>
    </row>
    <row r="2099" spans="2:11">
      <c r="B2099" s="71"/>
      <c r="E2099" s="71"/>
      <c r="H2099" s="71"/>
      <c r="K2099" s="71"/>
    </row>
    <row r="2100" spans="2:11">
      <c r="B2100" s="71"/>
      <c r="E2100" s="71"/>
      <c r="H2100" s="71"/>
      <c r="K2100" s="71"/>
    </row>
    <row r="2101" spans="2:11">
      <c r="B2101" s="71"/>
      <c r="E2101" s="71"/>
      <c r="H2101" s="71"/>
      <c r="K2101" s="71"/>
    </row>
    <row r="2102" spans="2:11">
      <c r="B2102" s="71"/>
      <c r="E2102" s="71"/>
      <c r="H2102" s="71"/>
      <c r="K2102" s="71"/>
    </row>
    <row r="2103" spans="2:11">
      <c r="B2103" s="71"/>
      <c r="E2103" s="71"/>
      <c r="H2103" s="71"/>
      <c r="K2103" s="71"/>
    </row>
    <row r="2104" spans="2:11">
      <c r="B2104" s="71"/>
      <c r="E2104" s="71"/>
      <c r="H2104" s="71"/>
      <c r="K2104" s="71"/>
    </row>
    <row r="2105" spans="2:11">
      <c r="B2105" s="71"/>
      <c r="E2105" s="71"/>
      <c r="H2105" s="71"/>
      <c r="K2105" s="71"/>
    </row>
    <row r="2106" spans="2:11">
      <c r="B2106" s="71"/>
      <c r="E2106" s="71"/>
      <c r="H2106" s="71"/>
      <c r="K2106" s="71"/>
    </row>
    <row r="2107" spans="2:11">
      <c r="B2107" s="71"/>
      <c r="E2107" s="71"/>
      <c r="H2107" s="71"/>
      <c r="K2107" s="71"/>
    </row>
    <row r="2108" spans="2:11">
      <c r="B2108" s="71"/>
      <c r="E2108" s="71"/>
      <c r="H2108" s="71"/>
      <c r="K2108" s="71"/>
    </row>
    <row r="2109" spans="2:11">
      <c r="B2109" s="71"/>
      <c r="E2109" s="71"/>
      <c r="H2109" s="71"/>
      <c r="K2109" s="71"/>
    </row>
    <row r="2110" spans="2:11">
      <c r="B2110" s="71"/>
      <c r="E2110" s="71"/>
      <c r="H2110" s="71"/>
      <c r="K2110" s="71"/>
    </row>
    <row r="2111" spans="2:11">
      <c r="B2111" s="71"/>
      <c r="E2111" s="71"/>
      <c r="H2111" s="71"/>
      <c r="K2111" s="71"/>
    </row>
    <row r="2112" spans="2:11">
      <c r="B2112" s="71"/>
      <c r="E2112" s="71"/>
      <c r="H2112" s="71"/>
      <c r="K2112" s="71"/>
    </row>
    <row r="2113" spans="2:11">
      <c r="B2113" s="71"/>
      <c r="E2113" s="71"/>
      <c r="H2113" s="71"/>
      <c r="K2113" s="71"/>
    </row>
    <row r="2114" spans="2:11">
      <c r="B2114" s="71"/>
      <c r="E2114" s="71"/>
      <c r="H2114" s="71"/>
      <c r="K2114" s="71"/>
    </row>
    <row r="2115" spans="2:11">
      <c r="B2115" s="71"/>
      <c r="E2115" s="71"/>
      <c r="H2115" s="71"/>
      <c r="K2115" s="71"/>
    </row>
    <row r="2116" spans="2:11">
      <c r="B2116" s="71"/>
      <c r="E2116" s="71"/>
      <c r="H2116" s="71"/>
      <c r="K2116" s="71"/>
    </row>
    <row r="2117" spans="2:11">
      <c r="B2117" s="71"/>
      <c r="E2117" s="71"/>
      <c r="H2117" s="71"/>
    </row>
    <row r="2118" spans="2:11">
      <c r="B2118" s="71"/>
      <c r="E2118" s="71"/>
      <c r="H2118" s="71"/>
      <c r="K2118" s="71"/>
    </row>
    <row r="2119" spans="2:11">
      <c r="B2119" s="71"/>
      <c r="E2119" s="71"/>
      <c r="H2119" s="71"/>
      <c r="K2119" s="71"/>
    </row>
    <row r="2120" spans="2:11">
      <c r="B2120" s="71"/>
      <c r="E2120" s="71"/>
      <c r="H2120" s="71"/>
      <c r="K2120" s="71"/>
    </row>
    <row r="2121" spans="2:11">
      <c r="B2121" s="71"/>
      <c r="E2121" s="71"/>
      <c r="H2121" s="71"/>
      <c r="K2121" s="71"/>
    </row>
    <row r="2122" spans="2:11">
      <c r="B2122" s="71"/>
      <c r="E2122" s="71"/>
      <c r="H2122" s="71"/>
      <c r="K2122" s="71"/>
    </row>
    <row r="2123" spans="2:11">
      <c r="B2123" s="71"/>
      <c r="E2123" s="71"/>
      <c r="H2123" s="71"/>
      <c r="K2123" s="71"/>
    </row>
    <row r="2124" spans="2:11">
      <c r="B2124" s="71"/>
      <c r="E2124" s="71"/>
      <c r="H2124" s="71"/>
      <c r="K2124" s="71"/>
    </row>
    <row r="2125" spans="2:11">
      <c r="B2125" s="71"/>
      <c r="E2125" s="71"/>
      <c r="H2125" s="71"/>
      <c r="K2125" s="71"/>
    </row>
    <row r="2126" spans="2:11">
      <c r="B2126" s="71"/>
      <c r="E2126" s="71"/>
      <c r="H2126" s="71"/>
      <c r="K2126" s="71"/>
    </row>
    <row r="2127" spans="2:11">
      <c r="B2127" s="71"/>
      <c r="E2127" s="71"/>
      <c r="H2127" s="71"/>
      <c r="K2127" s="71"/>
    </row>
    <row r="2128" spans="2:11">
      <c r="B2128" s="71"/>
      <c r="E2128" s="71"/>
      <c r="H2128" s="71"/>
      <c r="K2128" s="71"/>
    </row>
    <row r="2129" spans="2:11">
      <c r="B2129" s="71"/>
      <c r="E2129" s="71"/>
      <c r="H2129" s="71"/>
      <c r="K2129" s="71"/>
    </row>
    <row r="2130" spans="2:11">
      <c r="B2130" s="71"/>
      <c r="E2130" s="71"/>
      <c r="H2130" s="71"/>
      <c r="K2130" s="71"/>
    </row>
    <row r="2131" spans="2:11">
      <c r="B2131" s="71"/>
      <c r="E2131" s="71"/>
      <c r="H2131" s="71"/>
      <c r="K2131" s="71"/>
    </row>
    <row r="2132" spans="2:11">
      <c r="B2132" s="71"/>
      <c r="E2132" s="71"/>
      <c r="H2132" s="71"/>
      <c r="K2132" s="71"/>
    </row>
    <row r="2133" spans="2:11">
      <c r="B2133" s="71"/>
      <c r="E2133" s="71"/>
      <c r="H2133" s="71"/>
      <c r="K2133" s="71"/>
    </row>
    <row r="2134" spans="2:11">
      <c r="B2134" s="71"/>
      <c r="E2134" s="71"/>
      <c r="H2134" s="71"/>
      <c r="K2134" s="71"/>
    </row>
    <row r="2135" spans="2:11">
      <c r="B2135" s="71"/>
      <c r="E2135" s="71"/>
      <c r="H2135" s="71"/>
      <c r="K2135" s="71"/>
    </row>
    <row r="2136" spans="2:11">
      <c r="B2136" s="71"/>
      <c r="E2136" s="71"/>
      <c r="H2136" s="71"/>
      <c r="K2136" s="71"/>
    </row>
    <row r="2137" spans="2:11">
      <c r="B2137" s="71"/>
      <c r="E2137" s="71"/>
      <c r="H2137" s="71"/>
      <c r="K2137" s="71"/>
    </row>
    <row r="2138" spans="2:11">
      <c r="B2138" s="71"/>
      <c r="E2138" s="71"/>
      <c r="H2138" s="71"/>
      <c r="K2138" s="71"/>
    </row>
    <row r="2139" spans="2:11">
      <c r="B2139" s="71"/>
      <c r="E2139" s="71"/>
      <c r="H2139" s="71"/>
      <c r="K2139" s="71"/>
    </row>
    <row r="2140" spans="2:11">
      <c r="B2140" s="71"/>
      <c r="E2140" s="71"/>
      <c r="H2140" s="71"/>
      <c r="K2140" s="71"/>
    </row>
    <row r="2141" spans="2:11">
      <c r="B2141" s="71"/>
      <c r="E2141" s="71"/>
      <c r="H2141" s="71"/>
      <c r="K2141" s="71"/>
    </row>
    <row r="2142" spans="2:11">
      <c r="B2142" s="71"/>
      <c r="E2142" s="71"/>
      <c r="H2142" s="71"/>
      <c r="K2142" s="71"/>
    </row>
    <row r="2143" spans="2:11">
      <c r="B2143" s="71"/>
      <c r="E2143" s="71"/>
      <c r="H2143" s="71"/>
      <c r="K2143" s="71"/>
    </row>
    <row r="2144" spans="2:11">
      <c r="B2144" s="71"/>
      <c r="E2144" s="71"/>
      <c r="H2144" s="71"/>
      <c r="K2144" s="71"/>
    </row>
    <row r="2145" spans="2:11">
      <c r="B2145" s="71"/>
      <c r="E2145" s="71"/>
      <c r="H2145" s="71"/>
      <c r="K2145" s="71"/>
    </row>
    <row r="2146" spans="2:11">
      <c r="B2146" s="71"/>
      <c r="E2146" s="71"/>
      <c r="H2146" s="71"/>
      <c r="K2146" s="71"/>
    </row>
    <row r="2147" spans="2:11">
      <c r="B2147" s="71"/>
      <c r="E2147" s="71"/>
      <c r="H2147" s="71"/>
      <c r="K2147" s="71"/>
    </row>
    <row r="2148" spans="2:11">
      <c r="B2148" s="71"/>
      <c r="E2148" s="71"/>
      <c r="H2148" s="71"/>
      <c r="K2148" s="71"/>
    </row>
    <row r="2149" spans="2:11">
      <c r="B2149" s="71"/>
      <c r="E2149" s="71"/>
      <c r="H2149" s="71"/>
      <c r="K2149" s="71"/>
    </row>
    <row r="2150" spans="2:11">
      <c r="B2150" s="71"/>
      <c r="E2150" s="71"/>
      <c r="H2150" s="71"/>
      <c r="K2150" s="71"/>
    </row>
    <row r="2151" spans="2:11">
      <c r="B2151" s="71"/>
      <c r="E2151" s="71"/>
      <c r="H2151" s="71"/>
      <c r="K2151" s="71"/>
    </row>
    <row r="2152" spans="2:11">
      <c r="B2152" s="71"/>
      <c r="E2152" s="71"/>
      <c r="H2152" s="71"/>
      <c r="K2152" s="71"/>
    </row>
    <row r="2153" spans="2:11">
      <c r="B2153" s="71"/>
      <c r="E2153" s="71"/>
      <c r="H2153" s="71"/>
      <c r="K2153" s="71"/>
    </row>
    <row r="2154" spans="2:11">
      <c r="B2154" s="71"/>
      <c r="E2154" s="71"/>
      <c r="H2154" s="71"/>
      <c r="K2154" s="71"/>
    </row>
    <row r="2155" spans="2:11">
      <c r="B2155" s="71"/>
      <c r="E2155" s="71"/>
      <c r="H2155" s="71"/>
      <c r="K2155" s="71"/>
    </row>
    <row r="2156" spans="2:11">
      <c r="B2156" s="71"/>
      <c r="E2156" s="71"/>
      <c r="H2156" s="71"/>
      <c r="K2156" s="71"/>
    </row>
    <row r="2157" spans="2:11">
      <c r="B2157" s="71"/>
      <c r="E2157" s="71"/>
      <c r="H2157" s="71"/>
      <c r="K2157" s="71"/>
    </row>
    <row r="2158" spans="2:11">
      <c r="B2158" s="71"/>
      <c r="E2158" s="71"/>
      <c r="H2158" s="71"/>
      <c r="K2158" s="71"/>
    </row>
    <row r="2159" spans="2:11">
      <c r="B2159" s="71"/>
      <c r="E2159" s="71"/>
      <c r="H2159" s="71"/>
      <c r="K2159" s="71"/>
    </row>
    <row r="2160" spans="2:11">
      <c r="B2160" s="71"/>
      <c r="E2160" s="71"/>
      <c r="H2160" s="71"/>
      <c r="K2160" s="71"/>
    </row>
    <row r="2161" spans="2:11">
      <c r="B2161" s="71"/>
      <c r="E2161" s="71"/>
      <c r="H2161" s="71"/>
      <c r="K2161" s="71"/>
    </row>
    <row r="2162" spans="2:11">
      <c r="B2162" s="71"/>
      <c r="E2162" s="71"/>
      <c r="H2162" s="71"/>
      <c r="K2162" s="71"/>
    </row>
    <row r="2163" spans="2:11">
      <c r="B2163" s="71"/>
      <c r="E2163" s="71"/>
      <c r="H2163" s="71"/>
      <c r="K2163" s="71"/>
    </row>
    <row r="2164" spans="2:11">
      <c r="B2164" s="71"/>
      <c r="E2164" s="71"/>
      <c r="H2164" s="71"/>
      <c r="K2164" s="71"/>
    </row>
    <row r="2165" spans="2:11">
      <c r="B2165" s="71"/>
      <c r="E2165" s="71"/>
      <c r="H2165" s="71"/>
      <c r="K2165" s="71"/>
    </row>
    <row r="2166" spans="2:11">
      <c r="B2166" s="71"/>
      <c r="E2166" s="71"/>
      <c r="H2166" s="71"/>
      <c r="K2166" s="71"/>
    </row>
    <row r="2167" spans="2:11">
      <c r="B2167" s="71"/>
      <c r="E2167" s="71"/>
      <c r="H2167" s="71"/>
      <c r="K2167" s="71"/>
    </row>
    <row r="2168" spans="2:11">
      <c r="B2168" s="71"/>
      <c r="E2168" s="71"/>
      <c r="H2168" s="71"/>
      <c r="K2168" s="71"/>
    </row>
    <row r="2169" spans="2:11">
      <c r="B2169" s="71"/>
      <c r="E2169" s="71"/>
      <c r="H2169" s="71"/>
      <c r="K2169" s="71"/>
    </row>
    <row r="2170" spans="2:11">
      <c r="B2170" s="71"/>
      <c r="E2170" s="71"/>
      <c r="H2170" s="71"/>
      <c r="K2170" s="71"/>
    </row>
    <row r="2171" spans="2:11">
      <c r="B2171" s="71"/>
      <c r="E2171" s="71"/>
      <c r="H2171" s="71"/>
      <c r="K2171" s="71"/>
    </row>
    <row r="2172" spans="2:11">
      <c r="B2172" s="71"/>
      <c r="E2172" s="71"/>
      <c r="H2172" s="71"/>
      <c r="K2172" s="71"/>
    </row>
    <row r="2173" spans="2:11">
      <c r="B2173" s="71"/>
      <c r="E2173" s="71"/>
      <c r="H2173" s="71"/>
      <c r="K2173" s="71"/>
    </row>
    <row r="2174" spans="2:11">
      <c r="B2174" s="71"/>
      <c r="E2174" s="71"/>
      <c r="H2174" s="71"/>
      <c r="K2174" s="71"/>
    </row>
    <row r="2175" spans="2:11">
      <c r="B2175" s="71"/>
      <c r="E2175" s="71"/>
      <c r="H2175" s="71"/>
      <c r="K2175" s="71"/>
    </row>
    <row r="2176" spans="2:11">
      <c r="B2176" s="71"/>
      <c r="E2176" s="71"/>
      <c r="H2176" s="71"/>
      <c r="K2176" s="71"/>
    </row>
    <row r="2177" spans="2:11">
      <c r="B2177" s="71"/>
      <c r="E2177" s="71"/>
      <c r="H2177" s="71"/>
      <c r="K2177" s="71"/>
    </row>
    <row r="2178" spans="2:11">
      <c r="B2178" s="71"/>
      <c r="E2178" s="71"/>
      <c r="H2178" s="71"/>
      <c r="K2178" s="71"/>
    </row>
    <row r="2179" spans="2:11">
      <c r="B2179" s="71"/>
      <c r="E2179" s="71"/>
      <c r="H2179" s="71"/>
      <c r="K2179" s="71"/>
    </row>
    <row r="2180" spans="2:11">
      <c r="B2180" s="71"/>
      <c r="E2180" s="71"/>
      <c r="H2180" s="71"/>
      <c r="K2180" s="71"/>
    </row>
    <row r="2181" spans="2:11">
      <c r="B2181" s="71"/>
      <c r="E2181" s="71"/>
      <c r="H2181" s="71"/>
      <c r="K2181" s="71"/>
    </row>
    <row r="2182" spans="2:11">
      <c r="B2182" s="71"/>
      <c r="E2182" s="71"/>
      <c r="H2182" s="71"/>
      <c r="K2182" s="71"/>
    </row>
    <row r="2183" spans="2:11">
      <c r="B2183" s="71"/>
      <c r="E2183" s="71"/>
      <c r="H2183" s="71"/>
      <c r="K2183" s="71"/>
    </row>
    <row r="2184" spans="2:11">
      <c r="B2184" s="71"/>
      <c r="E2184" s="71"/>
      <c r="H2184" s="71"/>
      <c r="K2184" s="71"/>
    </row>
    <row r="2185" spans="2:11">
      <c r="B2185" s="71"/>
      <c r="E2185" s="71"/>
      <c r="H2185" s="71"/>
      <c r="K2185" s="71"/>
    </row>
    <row r="2186" spans="2:11">
      <c r="B2186" s="71"/>
      <c r="E2186" s="71"/>
      <c r="H2186" s="71"/>
      <c r="K2186" s="71"/>
    </row>
    <row r="2187" spans="2:11">
      <c r="B2187" s="71"/>
      <c r="E2187" s="71"/>
      <c r="H2187" s="71"/>
      <c r="K2187" s="71"/>
    </row>
    <row r="2188" spans="2:11">
      <c r="B2188" s="71"/>
      <c r="E2188" s="71"/>
      <c r="H2188" s="71"/>
      <c r="K2188" s="71"/>
    </row>
    <row r="2189" spans="2:11">
      <c r="B2189" s="71"/>
      <c r="E2189" s="71"/>
      <c r="H2189" s="71"/>
      <c r="K2189" s="71"/>
    </row>
    <row r="2190" spans="2:11">
      <c r="B2190" s="71"/>
      <c r="E2190" s="71"/>
      <c r="H2190" s="71"/>
      <c r="K2190" s="71"/>
    </row>
    <row r="2191" spans="2:11">
      <c r="B2191" s="71"/>
      <c r="E2191" s="71"/>
      <c r="H2191" s="71"/>
      <c r="K2191" s="71"/>
    </row>
    <row r="2192" spans="2:11">
      <c r="B2192" s="71"/>
      <c r="E2192" s="71"/>
      <c r="H2192" s="71"/>
      <c r="K2192" s="71"/>
    </row>
    <row r="2193" spans="2:11">
      <c r="B2193" s="71"/>
      <c r="E2193" s="71"/>
      <c r="H2193" s="71"/>
      <c r="K2193" s="71"/>
    </row>
    <row r="2194" spans="2:11">
      <c r="B2194" s="71"/>
      <c r="E2194" s="71"/>
      <c r="H2194" s="71"/>
      <c r="K2194" s="71"/>
    </row>
    <row r="2195" spans="2:11">
      <c r="B2195" s="71"/>
      <c r="E2195" s="71"/>
      <c r="H2195" s="71"/>
      <c r="K2195" s="71"/>
    </row>
    <row r="2196" spans="2:11">
      <c r="B2196" s="71"/>
      <c r="E2196" s="71"/>
      <c r="H2196" s="71"/>
      <c r="K2196" s="71"/>
    </row>
    <row r="2197" spans="2:11">
      <c r="B2197" s="71"/>
      <c r="E2197" s="71"/>
      <c r="H2197" s="71"/>
      <c r="K2197" s="71"/>
    </row>
    <row r="2198" spans="2:11">
      <c r="B2198" s="71"/>
      <c r="E2198" s="71"/>
      <c r="H2198" s="71"/>
      <c r="K2198" s="71"/>
    </row>
    <row r="2199" spans="2:11">
      <c r="B2199" s="71"/>
      <c r="E2199" s="71"/>
      <c r="H2199" s="71"/>
      <c r="K2199" s="71"/>
    </row>
    <row r="2200" spans="2:11">
      <c r="B2200" s="71"/>
      <c r="E2200" s="71"/>
      <c r="H2200" s="71"/>
      <c r="K2200" s="71"/>
    </row>
    <row r="2201" spans="2:11">
      <c r="B2201" s="71"/>
      <c r="E2201" s="71"/>
      <c r="H2201" s="71"/>
      <c r="K2201" s="71"/>
    </row>
    <row r="2202" spans="2:11">
      <c r="B2202" s="71"/>
      <c r="E2202" s="71"/>
      <c r="H2202" s="71"/>
      <c r="K2202" s="71"/>
    </row>
    <row r="2203" spans="2:11">
      <c r="B2203" s="71"/>
      <c r="E2203" s="71"/>
      <c r="H2203" s="71"/>
      <c r="K2203" s="71"/>
    </row>
    <row r="2204" spans="2:11">
      <c r="B2204" s="71"/>
      <c r="E2204" s="71"/>
      <c r="H2204" s="71"/>
      <c r="K2204" s="71"/>
    </row>
    <row r="2205" spans="2:11">
      <c r="B2205" s="71"/>
      <c r="E2205" s="71"/>
      <c r="H2205" s="71"/>
      <c r="K2205" s="71"/>
    </row>
    <row r="2206" spans="2:11">
      <c r="B2206" s="71"/>
      <c r="E2206" s="71"/>
      <c r="H2206" s="71"/>
      <c r="K2206" s="71"/>
    </row>
    <row r="2207" spans="2:11">
      <c r="B2207" s="71"/>
      <c r="E2207" s="71"/>
      <c r="H2207" s="71"/>
      <c r="K2207" s="71"/>
    </row>
    <row r="2208" spans="2:11">
      <c r="B2208" s="71"/>
      <c r="E2208" s="71"/>
      <c r="H2208" s="71"/>
      <c r="K2208" s="71"/>
    </row>
    <row r="2209" spans="2:11">
      <c r="B2209" s="71"/>
      <c r="E2209" s="71"/>
      <c r="H2209" s="71"/>
      <c r="K2209" s="71"/>
    </row>
    <row r="2210" spans="2:11">
      <c r="B2210" s="71"/>
      <c r="E2210" s="71"/>
      <c r="H2210" s="71"/>
      <c r="K2210" s="71"/>
    </row>
    <row r="2211" spans="2:11">
      <c r="B2211" s="71"/>
      <c r="E2211" s="71"/>
      <c r="H2211" s="71"/>
      <c r="K2211" s="71"/>
    </row>
    <row r="2212" spans="2:11">
      <c r="B2212" s="71"/>
      <c r="E2212" s="71"/>
      <c r="H2212" s="71"/>
      <c r="K2212" s="71"/>
    </row>
    <row r="2213" spans="2:11">
      <c r="B2213" s="71"/>
      <c r="E2213" s="71"/>
      <c r="H2213" s="71"/>
      <c r="K2213" s="71"/>
    </row>
    <row r="2214" spans="2:11">
      <c r="B2214" s="71"/>
      <c r="E2214" s="71"/>
      <c r="H2214" s="71"/>
      <c r="K2214" s="71"/>
    </row>
    <row r="2215" spans="2:11">
      <c r="B2215" s="71"/>
      <c r="E2215" s="71"/>
      <c r="H2215" s="71"/>
      <c r="K2215" s="71"/>
    </row>
    <row r="2216" spans="2:11">
      <c r="B2216" s="71"/>
      <c r="E2216" s="71"/>
      <c r="H2216" s="71"/>
      <c r="K2216" s="71"/>
    </row>
    <row r="2217" spans="2:11">
      <c r="B2217" s="71"/>
      <c r="E2217" s="71"/>
      <c r="H2217" s="71"/>
      <c r="K2217" s="71"/>
    </row>
    <row r="2218" spans="2:11">
      <c r="B2218" s="71"/>
      <c r="E2218" s="71"/>
      <c r="H2218" s="71"/>
      <c r="K2218" s="71"/>
    </row>
    <row r="2219" spans="2:11">
      <c r="B2219" s="71"/>
      <c r="E2219" s="71"/>
      <c r="H2219" s="71"/>
      <c r="K2219" s="71"/>
    </row>
    <row r="2220" spans="2:11">
      <c r="B2220" s="71"/>
      <c r="E2220" s="71"/>
      <c r="H2220" s="71"/>
      <c r="K2220" s="71"/>
    </row>
    <row r="2221" spans="2:11">
      <c r="B2221" s="71"/>
      <c r="E2221" s="71"/>
      <c r="H2221" s="71"/>
      <c r="K2221" s="71"/>
    </row>
    <row r="2222" spans="2:11">
      <c r="B2222" s="71"/>
      <c r="E2222" s="71"/>
      <c r="H2222" s="71"/>
      <c r="K2222" s="71"/>
    </row>
    <row r="2223" spans="2:11">
      <c r="B2223" s="71"/>
      <c r="E2223" s="71"/>
      <c r="H2223" s="71"/>
      <c r="K2223" s="71"/>
    </row>
    <row r="2224" spans="2:11">
      <c r="B2224" s="71"/>
      <c r="E2224" s="71"/>
      <c r="H2224" s="71"/>
      <c r="K2224" s="71"/>
    </row>
    <row r="2225" spans="2:11">
      <c r="B2225" s="71"/>
      <c r="E2225" s="71"/>
      <c r="H2225" s="71"/>
      <c r="K2225" s="71"/>
    </row>
    <row r="2226" spans="2:11">
      <c r="B2226" s="71"/>
      <c r="E2226" s="71"/>
      <c r="H2226" s="71"/>
      <c r="K2226" s="71"/>
    </row>
    <row r="2227" spans="2:11">
      <c r="B2227" s="71"/>
      <c r="E2227" s="71"/>
      <c r="H2227" s="71"/>
      <c r="K2227" s="71"/>
    </row>
    <row r="2228" spans="2:11">
      <c r="B2228" s="71"/>
      <c r="E2228" s="71"/>
      <c r="H2228" s="71"/>
      <c r="K2228" s="71"/>
    </row>
    <row r="2229" spans="2:11">
      <c r="B2229" s="71"/>
      <c r="E2229" s="71"/>
      <c r="H2229" s="71"/>
      <c r="K2229" s="71"/>
    </row>
    <row r="2230" spans="2:11">
      <c r="B2230" s="71"/>
      <c r="E2230" s="71"/>
      <c r="H2230" s="71"/>
      <c r="K2230" s="71"/>
    </row>
    <row r="2231" spans="2:11">
      <c r="B2231" s="71"/>
      <c r="E2231" s="71"/>
      <c r="H2231" s="71"/>
      <c r="K2231" s="71"/>
    </row>
    <row r="2232" spans="2:11">
      <c r="B2232" s="71"/>
      <c r="E2232" s="71"/>
      <c r="H2232" s="71"/>
      <c r="K2232" s="71"/>
    </row>
    <row r="2233" spans="2:11">
      <c r="B2233" s="71"/>
      <c r="E2233" s="71"/>
      <c r="H2233" s="71"/>
      <c r="K2233" s="71"/>
    </row>
    <row r="2234" spans="2:11">
      <c r="B2234" s="71"/>
      <c r="E2234" s="71"/>
      <c r="H2234" s="71"/>
      <c r="K2234" s="71"/>
    </row>
    <row r="2235" spans="2:11">
      <c r="B2235" s="71"/>
      <c r="E2235" s="71"/>
      <c r="H2235" s="71"/>
      <c r="K2235" s="71"/>
    </row>
    <row r="2236" spans="2:11">
      <c r="B2236" s="71"/>
      <c r="E2236" s="71"/>
      <c r="H2236" s="71"/>
      <c r="K2236" s="71"/>
    </row>
    <row r="2237" spans="2:11">
      <c r="B2237" s="71"/>
      <c r="E2237" s="71"/>
      <c r="H2237" s="71"/>
      <c r="K2237" s="71"/>
    </row>
    <row r="2238" spans="2:11">
      <c r="B2238" s="71"/>
      <c r="E2238" s="71"/>
      <c r="H2238" s="71"/>
      <c r="K2238" s="71"/>
    </row>
    <row r="2239" spans="2:11">
      <c r="B2239" s="71"/>
      <c r="E2239" s="71"/>
      <c r="H2239" s="71"/>
      <c r="K2239" s="71"/>
    </row>
    <row r="2240" spans="2:11">
      <c r="B2240" s="71"/>
      <c r="E2240" s="71"/>
      <c r="H2240" s="71"/>
      <c r="K2240" s="71"/>
    </row>
    <row r="2241" spans="2:11">
      <c r="B2241" s="71"/>
      <c r="E2241" s="71"/>
      <c r="H2241" s="71"/>
      <c r="K2241" s="71"/>
    </row>
    <row r="2242" spans="2:11">
      <c r="B2242" s="71"/>
      <c r="E2242" s="71"/>
      <c r="H2242" s="71"/>
      <c r="K2242" s="71"/>
    </row>
    <row r="2243" spans="2:11">
      <c r="B2243" s="71"/>
      <c r="E2243" s="71"/>
      <c r="H2243" s="71"/>
      <c r="K2243" s="71"/>
    </row>
    <row r="2244" spans="2:11">
      <c r="B2244" s="71"/>
      <c r="E2244" s="71"/>
      <c r="H2244" s="71"/>
      <c r="K2244" s="71"/>
    </row>
    <row r="2245" spans="2:11">
      <c r="B2245" s="71"/>
      <c r="E2245" s="71"/>
      <c r="H2245" s="71"/>
      <c r="K2245" s="71"/>
    </row>
    <row r="2246" spans="2:11">
      <c r="B2246" s="71"/>
      <c r="E2246" s="71"/>
      <c r="H2246" s="71"/>
      <c r="K2246" s="71"/>
    </row>
    <row r="2247" spans="2:11">
      <c r="B2247" s="71"/>
      <c r="E2247" s="71"/>
      <c r="H2247" s="71"/>
      <c r="K2247" s="71"/>
    </row>
    <row r="2248" spans="2:11">
      <c r="B2248" s="71"/>
      <c r="E2248" s="71"/>
      <c r="H2248" s="71"/>
      <c r="K2248" s="71"/>
    </row>
    <row r="2249" spans="2:11">
      <c r="B2249" s="71"/>
      <c r="E2249" s="71"/>
      <c r="H2249" s="71"/>
      <c r="K2249" s="71"/>
    </row>
    <row r="2250" spans="2:11">
      <c r="B2250" s="71"/>
      <c r="E2250" s="71"/>
      <c r="H2250" s="71"/>
      <c r="K2250" s="71"/>
    </row>
    <row r="2251" spans="2:11">
      <c r="B2251" s="71"/>
      <c r="E2251" s="71"/>
      <c r="H2251" s="71"/>
      <c r="K2251" s="71"/>
    </row>
    <row r="2252" spans="2:11">
      <c r="B2252" s="71"/>
      <c r="E2252" s="71"/>
      <c r="H2252" s="71"/>
      <c r="K2252" s="71"/>
    </row>
    <row r="2253" spans="2:11">
      <c r="B2253" s="71"/>
      <c r="E2253" s="71"/>
      <c r="H2253" s="71"/>
      <c r="K2253" s="71"/>
    </row>
    <row r="2254" spans="2:11">
      <c r="B2254" s="71"/>
      <c r="E2254" s="71"/>
      <c r="H2254" s="71"/>
      <c r="K2254" s="71"/>
    </row>
    <row r="2255" spans="2:11">
      <c r="B2255" s="71"/>
      <c r="E2255" s="71"/>
      <c r="H2255" s="71"/>
      <c r="K2255" s="71"/>
    </row>
    <row r="2256" spans="2:11">
      <c r="B2256" s="71"/>
      <c r="E2256" s="71"/>
      <c r="H2256" s="71"/>
      <c r="K2256" s="71"/>
    </row>
    <row r="2257" spans="2:11">
      <c r="B2257" s="71"/>
      <c r="E2257" s="71"/>
      <c r="H2257" s="71"/>
      <c r="K2257" s="71"/>
    </row>
    <row r="2258" spans="2:11">
      <c r="B2258" s="71"/>
      <c r="E2258" s="71"/>
      <c r="H2258" s="71"/>
      <c r="K2258" s="71"/>
    </row>
    <row r="2259" spans="2:11">
      <c r="B2259" s="71"/>
      <c r="E2259" s="71"/>
      <c r="H2259" s="71"/>
      <c r="K2259" s="71"/>
    </row>
    <row r="2260" spans="2:11">
      <c r="B2260" s="71"/>
      <c r="E2260" s="71"/>
      <c r="H2260" s="71"/>
      <c r="K2260" s="71"/>
    </row>
    <row r="2261" spans="2:11">
      <c r="B2261" s="71"/>
      <c r="E2261" s="71"/>
      <c r="H2261" s="71"/>
      <c r="K2261" s="71"/>
    </row>
    <row r="2262" spans="2:11">
      <c r="B2262" s="71"/>
      <c r="E2262" s="71"/>
      <c r="H2262" s="71"/>
      <c r="K2262" s="71"/>
    </row>
    <row r="2263" spans="2:11">
      <c r="B2263" s="71"/>
      <c r="E2263" s="71"/>
      <c r="H2263" s="71"/>
      <c r="K2263" s="71"/>
    </row>
    <row r="2264" spans="2:11">
      <c r="B2264" s="71"/>
      <c r="E2264" s="71"/>
      <c r="H2264" s="71"/>
      <c r="K2264" s="71"/>
    </row>
    <row r="2265" spans="2:11">
      <c r="B2265" s="71"/>
      <c r="E2265" s="71"/>
      <c r="H2265" s="71"/>
      <c r="K2265" s="71"/>
    </row>
    <row r="2266" spans="2:11">
      <c r="B2266" s="71"/>
      <c r="E2266" s="71"/>
      <c r="H2266" s="71"/>
      <c r="K2266" s="71"/>
    </row>
    <row r="2267" spans="2:11">
      <c r="B2267" s="71"/>
      <c r="E2267" s="71"/>
      <c r="H2267" s="71"/>
      <c r="K2267" s="71"/>
    </row>
    <row r="2268" spans="2:11">
      <c r="B2268" s="71"/>
      <c r="E2268" s="71"/>
      <c r="H2268" s="71"/>
      <c r="K2268" s="71"/>
    </row>
    <row r="2269" spans="2:11">
      <c r="B2269" s="71"/>
      <c r="E2269" s="71"/>
      <c r="H2269" s="71"/>
      <c r="K2269" s="71"/>
    </row>
    <row r="2270" spans="2:11">
      <c r="B2270" s="71"/>
      <c r="E2270" s="71"/>
      <c r="H2270" s="71"/>
      <c r="K2270" s="71"/>
    </row>
    <row r="2271" spans="2:11">
      <c r="B2271" s="71"/>
      <c r="E2271" s="71"/>
      <c r="H2271" s="71"/>
      <c r="K2271" s="71"/>
    </row>
    <row r="2272" spans="2:11">
      <c r="B2272" s="71"/>
      <c r="E2272" s="71"/>
      <c r="H2272" s="71"/>
      <c r="K2272" s="71"/>
    </row>
    <row r="2273" spans="2:11">
      <c r="B2273" s="71"/>
      <c r="E2273" s="71"/>
      <c r="H2273" s="71"/>
      <c r="K2273" s="71"/>
    </row>
    <row r="2274" spans="2:11">
      <c r="B2274" s="71"/>
      <c r="E2274" s="71"/>
      <c r="H2274" s="71"/>
      <c r="K2274" s="71"/>
    </row>
    <row r="2275" spans="2:11">
      <c r="B2275" s="71"/>
      <c r="E2275" s="71"/>
      <c r="H2275" s="71"/>
      <c r="K2275" s="71"/>
    </row>
    <row r="2276" spans="2:11">
      <c r="B2276" s="71"/>
      <c r="E2276" s="71"/>
      <c r="H2276" s="71"/>
      <c r="K2276" s="71"/>
    </row>
    <row r="2277" spans="2:11">
      <c r="B2277" s="71"/>
      <c r="E2277" s="71"/>
      <c r="H2277" s="71"/>
      <c r="K2277" s="71"/>
    </row>
    <row r="2278" spans="2:11">
      <c r="B2278" s="71"/>
      <c r="E2278" s="71"/>
      <c r="H2278" s="71"/>
      <c r="K2278" s="71"/>
    </row>
    <row r="2279" spans="2:11">
      <c r="B2279" s="71"/>
      <c r="E2279" s="71"/>
      <c r="H2279" s="71"/>
      <c r="K2279" s="71"/>
    </row>
    <row r="2280" spans="2:11">
      <c r="B2280" s="71"/>
      <c r="E2280" s="71"/>
      <c r="H2280" s="71"/>
      <c r="K2280" s="71"/>
    </row>
    <row r="2281" spans="2:11">
      <c r="B2281" s="71"/>
      <c r="E2281" s="71"/>
      <c r="H2281" s="71"/>
      <c r="K2281" s="71"/>
    </row>
    <row r="2282" spans="2:11">
      <c r="B2282" s="71"/>
      <c r="E2282" s="71"/>
      <c r="H2282" s="71"/>
      <c r="K2282" s="71"/>
    </row>
    <row r="2283" spans="2:11">
      <c r="B2283" s="71"/>
      <c r="E2283" s="71"/>
      <c r="H2283" s="71"/>
      <c r="K2283" s="71"/>
    </row>
    <row r="2284" spans="2:11">
      <c r="B2284" s="71"/>
      <c r="E2284" s="71"/>
      <c r="H2284" s="71"/>
      <c r="K2284" s="71"/>
    </row>
    <row r="2285" spans="2:11">
      <c r="B2285" s="71"/>
      <c r="E2285" s="71"/>
      <c r="H2285" s="71"/>
      <c r="K2285" s="71"/>
    </row>
    <row r="2286" spans="2:11">
      <c r="B2286" s="71"/>
      <c r="E2286" s="71"/>
      <c r="H2286" s="71"/>
      <c r="K2286" s="71"/>
    </row>
    <row r="2287" spans="2:11">
      <c r="B2287" s="71"/>
      <c r="E2287" s="71"/>
      <c r="H2287" s="71"/>
      <c r="K2287" s="71"/>
    </row>
    <row r="2288" spans="2:11">
      <c r="B2288" s="71"/>
      <c r="E2288" s="71"/>
      <c r="H2288" s="71"/>
      <c r="K2288" s="71"/>
    </row>
    <row r="2289" spans="2:11">
      <c r="B2289" s="71"/>
      <c r="E2289" s="71"/>
      <c r="H2289" s="71"/>
      <c r="K2289" s="71"/>
    </row>
    <row r="2290" spans="2:11">
      <c r="B2290" s="71"/>
      <c r="E2290" s="71"/>
      <c r="H2290" s="71"/>
      <c r="K2290" s="71"/>
    </row>
    <row r="2291" spans="2:11">
      <c r="B2291" s="71"/>
      <c r="E2291" s="71"/>
      <c r="H2291" s="71"/>
      <c r="K2291" s="71"/>
    </row>
    <row r="2292" spans="2:11">
      <c r="B2292" s="71"/>
      <c r="E2292" s="71"/>
      <c r="H2292" s="71"/>
      <c r="K2292" s="71"/>
    </row>
    <row r="2293" spans="2:11">
      <c r="B2293" s="71"/>
      <c r="E2293" s="71"/>
      <c r="H2293" s="71"/>
      <c r="K2293" s="71"/>
    </row>
    <row r="2294" spans="2:11">
      <c r="B2294" s="71"/>
      <c r="E2294" s="71"/>
      <c r="H2294" s="71"/>
      <c r="K2294" s="71"/>
    </row>
    <row r="2295" spans="2:11">
      <c r="B2295" s="71"/>
      <c r="E2295" s="71"/>
      <c r="H2295" s="71"/>
      <c r="K2295" s="71"/>
    </row>
    <row r="2296" spans="2:11">
      <c r="B2296" s="71"/>
      <c r="E2296" s="71"/>
      <c r="H2296" s="71"/>
      <c r="K2296" s="71"/>
    </row>
    <row r="2297" spans="2:11">
      <c r="B2297" s="71"/>
      <c r="E2297" s="71"/>
      <c r="H2297" s="71"/>
      <c r="K2297" s="71"/>
    </row>
    <row r="2298" spans="2:11">
      <c r="B2298" s="71"/>
      <c r="E2298" s="71"/>
      <c r="H2298" s="71"/>
      <c r="K2298" s="71"/>
    </row>
    <row r="2299" spans="2:11">
      <c r="B2299" s="71"/>
      <c r="E2299" s="71"/>
      <c r="H2299" s="71"/>
      <c r="K2299" s="71"/>
    </row>
    <row r="2300" spans="2:11">
      <c r="B2300" s="71"/>
      <c r="E2300" s="71"/>
      <c r="H2300" s="71"/>
      <c r="K2300" s="71"/>
    </row>
    <row r="2301" spans="2:11">
      <c r="B2301" s="71"/>
      <c r="E2301" s="71"/>
      <c r="H2301" s="71"/>
      <c r="K2301" s="71"/>
    </row>
    <row r="2302" spans="2:11">
      <c r="B2302" s="71"/>
      <c r="E2302" s="71"/>
      <c r="H2302" s="71"/>
      <c r="K2302" s="71"/>
    </row>
    <row r="2303" spans="2:11">
      <c r="B2303" s="71"/>
      <c r="E2303" s="71"/>
      <c r="H2303" s="71"/>
      <c r="K2303" s="71"/>
    </row>
    <row r="2304" spans="2:11">
      <c r="B2304" s="71"/>
      <c r="E2304" s="71"/>
      <c r="H2304" s="71"/>
      <c r="K2304" s="71"/>
    </row>
    <row r="2305" spans="2:11">
      <c r="B2305" s="71"/>
      <c r="E2305" s="71"/>
      <c r="H2305" s="71"/>
      <c r="K2305" s="71"/>
    </row>
    <row r="2306" spans="2:11">
      <c r="B2306" s="71"/>
      <c r="E2306" s="71"/>
      <c r="H2306" s="71"/>
      <c r="K2306" s="71"/>
    </row>
    <row r="2307" spans="2:11">
      <c r="B2307" s="71"/>
      <c r="E2307" s="71"/>
      <c r="H2307" s="71"/>
      <c r="K2307" s="71"/>
    </row>
    <row r="2308" spans="2:11">
      <c r="B2308" s="71"/>
      <c r="E2308" s="71"/>
      <c r="H2308" s="71"/>
      <c r="K2308" s="71"/>
    </row>
    <row r="2309" spans="2:11">
      <c r="B2309" s="71"/>
      <c r="E2309" s="71"/>
      <c r="H2309" s="71"/>
      <c r="K2309" s="71"/>
    </row>
    <row r="2310" spans="2:11">
      <c r="B2310" s="71"/>
      <c r="E2310" s="71"/>
      <c r="H2310" s="71"/>
      <c r="K2310" s="71"/>
    </row>
    <row r="2311" spans="2:11">
      <c r="B2311" s="71"/>
      <c r="E2311" s="71"/>
      <c r="H2311" s="71"/>
      <c r="K2311" s="71"/>
    </row>
    <row r="2312" spans="2:11">
      <c r="B2312" s="71"/>
      <c r="E2312" s="71"/>
      <c r="H2312" s="71"/>
      <c r="K2312" s="71"/>
    </row>
    <row r="2313" spans="2:11">
      <c r="E2313" s="71"/>
      <c r="H2313" s="71"/>
      <c r="K2313" s="71"/>
    </row>
    <row r="2314" spans="2:11">
      <c r="B2314" s="71"/>
      <c r="E2314" s="71"/>
      <c r="H2314" s="71"/>
      <c r="K2314" s="71"/>
    </row>
    <row r="2315" spans="2:11">
      <c r="B2315" s="71"/>
      <c r="E2315" s="71"/>
      <c r="H2315" s="71"/>
      <c r="K2315" s="71"/>
    </row>
    <row r="2316" spans="2:11">
      <c r="B2316" s="71"/>
      <c r="E2316" s="71"/>
      <c r="H2316" s="71"/>
      <c r="K2316" s="71"/>
    </row>
    <row r="2317" spans="2:11">
      <c r="B2317" s="71"/>
      <c r="E2317" s="71"/>
      <c r="H2317" s="71"/>
      <c r="K2317" s="71"/>
    </row>
    <row r="2318" spans="2:11">
      <c r="B2318" s="71"/>
      <c r="E2318" s="71"/>
      <c r="H2318" s="71"/>
      <c r="K2318" s="71"/>
    </row>
    <row r="2319" spans="2:11">
      <c r="B2319" s="71"/>
      <c r="E2319" s="71"/>
      <c r="H2319" s="71"/>
      <c r="K2319" s="71"/>
    </row>
    <row r="2320" spans="2:11">
      <c r="B2320" s="71"/>
      <c r="E2320" s="71"/>
      <c r="H2320" s="71"/>
      <c r="K2320" s="71"/>
    </row>
    <row r="2321" spans="2:11">
      <c r="B2321" s="71"/>
      <c r="E2321" s="71"/>
      <c r="H2321" s="71"/>
      <c r="K2321" s="71"/>
    </row>
    <row r="2322" spans="2:11">
      <c r="B2322" s="71"/>
      <c r="E2322" s="71"/>
      <c r="H2322" s="71"/>
      <c r="K2322" s="71"/>
    </row>
    <row r="2323" spans="2:11">
      <c r="B2323" s="71"/>
      <c r="E2323" s="71"/>
      <c r="H2323" s="71"/>
      <c r="K2323" s="71"/>
    </row>
    <row r="2324" spans="2:11">
      <c r="B2324" s="71"/>
      <c r="E2324" s="71"/>
      <c r="H2324" s="71"/>
      <c r="K2324" s="71"/>
    </row>
    <row r="2325" spans="2:11">
      <c r="B2325" s="71"/>
      <c r="E2325" s="71"/>
      <c r="H2325" s="71"/>
      <c r="K2325" s="71"/>
    </row>
    <row r="2326" spans="2:11">
      <c r="B2326" s="71"/>
      <c r="E2326" s="71"/>
      <c r="H2326" s="71"/>
      <c r="K2326" s="71"/>
    </row>
    <row r="2327" spans="2:11">
      <c r="B2327" s="71"/>
      <c r="E2327" s="71"/>
      <c r="H2327" s="71"/>
      <c r="K2327" s="71"/>
    </row>
    <row r="2328" spans="2:11">
      <c r="B2328" s="71"/>
      <c r="E2328" s="71"/>
      <c r="H2328" s="71"/>
      <c r="K2328" s="71"/>
    </row>
    <row r="2329" spans="2:11">
      <c r="B2329" s="71"/>
      <c r="E2329" s="71"/>
      <c r="H2329" s="71"/>
      <c r="K2329" s="71"/>
    </row>
    <row r="2330" spans="2:11">
      <c r="B2330" s="71"/>
      <c r="E2330" s="71"/>
      <c r="H2330" s="71"/>
      <c r="K2330" s="71"/>
    </row>
    <row r="2331" spans="2:11">
      <c r="B2331" s="71"/>
      <c r="E2331" s="71"/>
      <c r="H2331" s="71"/>
      <c r="K2331" s="71"/>
    </row>
    <row r="2332" spans="2:11">
      <c r="B2332" s="71"/>
      <c r="E2332" s="71"/>
      <c r="H2332" s="71"/>
      <c r="K2332" s="71"/>
    </row>
    <row r="2333" spans="2:11">
      <c r="B2333" s="71"/>
      <c r="E2333" s="71"/>
      <c r="H2333" s="71"/>
      <c r="K2333" s="71"/>
    </row>
    <row r="2334" spans="2:11">
      <c r="B2334" s="71"/>
      <c r="E2334" s="71"/>
      <c r="H2334" s="71"/>
      <c r="K2334" s="71"/>
    </row>
    <row r="2335" spans="2:11">
      <c r="B2335" s="71"/>
      <c r="E2335" s="71"/>
      <c r="H2335" s="71"/>
      <c r="K2335" s="71"/>
    </row>
    <row r="2336" spans="2:11">
      <c r="B2336" s="71"/>
      <c r="E2336" s="71"/>
      <c r="H2336" s="71"/>
      <c r="K2336" s="71"/>
    </row>
    <row r="2337" spans="2:11">
      <c r="B2337" s="71"/>
      <c r="E2337" s="71"/>
      <c r="H2337" s="71"/>
      <c r="K2337" s="71"/>
    </row>
    <row r="2338" spans="2:11">
      <c r="B2338" s="71"/>
      <c r="E2338" s="71"/>
      <c r="H2338" s="71"/>
      <c r="K2338" s="71"/>
    </row>
    <row r="2339" spans="2:11">
      <c r="B2339" s="71"/>
      <c r="E2339" s="71"/>
      <c r="H2339" s="71"/>
      <c r="K2339" s="71"/>
    </row>
    <row r="2340" spans="2:11">
      <c r="B2340" s="71"/>
      <c r="E2340" s="71"/>
      <c r="H2340" s="71"/>
      <c r="K2340" s="71"/>
    </row>
    <row r="2341" spans="2:11">
      <c r="B2341" s="71"/>
      <c r="E2341" s="71"/>
      <c r="H2341" s="71"/>
      <c r="K2341" s="71"/>
    </row>
    <row r="2342" spans="2:11">
      <c r="B2342" s="71"/>
      <c r="E2342" s="71"/>
      <c r="H2342" s="71"/>
      <c r="K2342" s="71"/>
    </row>
    <row r="2343" spans="2:11">
      <c r="B2343" s="71"/>
      <c r="E2343" s="71"/>
      <c r="H2343" s="71"/>
      <c r="K2343" s="71"/>
    </row>
    <row r="2344" spans="2:11">
      <c r="B2344" s="71"/>
      <c r="E2344" s="71"/>
      <c r="H2344" s="71"/>
      <c r="K2344" s="71"/>
    </row>
    <row r="2345" spans="2:11">
      <c r="B2345" s="71"/>
      <c r="E2345" s="71"/>
      <c r="H2345" s="71"/>
      <c r="K2345" s="71"/>
    </row>
    <row r="2346" spans="2:11">
      <c r="B2346" s="71"/>
      <c r="E2346" s="71"/>
      <c r="H2346" s="71"/>
      <c r="K2346" s="71"/>
    </row>
    <row r="2347" spans="2:11">
      <c r="B2347" s="71"/>
      <c r="E2347" s="71"/>
      <c r="H2347" s="71"/>
      <c r="K2347" s="71"/>
    </row>
    <row r="2348" spans="2:11">
      <c r="B2348" s="71"/>
      <c r="E2348" s="71"/>
      <c r="H2348" s="71"/>
      <c r="K2348" s="71"/>
    </row>
    <row r="2349" spans="2:11">
      <c r="B2349" s="71"/>
      <c r="E2349" s="71"/>
      <c r="H2349" s="71"/>
      <c r="K2349" s="71"/>
    </row>
    <row r="2350" spans="2:11">
      <c r="B2350" s="71"/>
      <c r="E2350" s="71"/>
      <c r="H2350" s="71"/>
      <c r="K2350" s="71"/>
    </row>
    <row r="2351" spans="2:11">
      <c r="B2351" s="71"/>
      <c r="E2351" s="71"/>
      <c r="H2351" s="71"/>
      <c r="K2351" s="71"/>
    </row>
    <row r="2352" spans="2:11">
      <c r="B2352" s="71"/>
      <c r="E2352" s="71"/>
      <c r="H2352" s="71"/>
      <c r="K2352" s="71"/>
    </row>
    <row r="2353" spans="2:11">
      <c r="B2353" s="71"/>
      <c r="E2353" s="71"/>
      <c r="H2353" s="71"/>
      <c r="K2353" s="71"/>
    </row>
    <row r="2354" spans="2:11">
      <c r="B2354" s="71"/>
      <c r="E2354" s="71"/>
      <c r="H2354" s="71"/>
      <c r="K2354" s="71"/>
    </row>
    <row r="2355" spans="2:11">
      <c r="B2355" s="71"/>
      <c r="E2355" s="71"/>
      <c r="H2355" s="71"/>
      <c r="K2355" s="71"/>
    </row>
    <row r="2356" spans="2:11">
      <c r="B2356" s="71"/>
      <c r="E2356" s="71"/>
      <c r="H2356" s="71"/>
      <c r="K2356" s="71"/>
    </row>
    <row r="2357" spans="2:11">
      <c r="B2357" s="71"/>
      <c r="E2357" s="71"/>
      <c r="H2357" s="71"/>
      <c r="K2357" s="71"/>
    </row>
    <row r="2358" spans="2:11">
      <c r="B2358" s="71"/>
      <c r="E2358" s="71"/>
      <c r="H2358" s="71"/>
      <c r="K2358" s="71"/>
    </row>
    <row r="2359" spans="2:11">
      <c r="B2359" s="71"/>
      <c r="E2359" s="71"/>
      <c r="H2359" s="71"/>
      <c r="K2359" s="71"/>
    </row>
    <row r="2360" spans="2:11">
      <c r="B2360" s="71"/>
      <c r="E2360" s="71"/>
      <c r="H2360" s="71"/>
      <c r="K2360" s="71"/>
    </row>
    <row r="2361" spans="2:11">
      <c r="B2361" s="71"/>
      <c r="E2361" s="71"/>
      <c r="H2361" s="71"/>
      <c r="K2361" s="71"/>
    </row>
    <row r="2362" spans="2:11">
      <c r="B2362" s="71"/>
      <c r="E2362" s="71"/>
      <c r="H2362" s="71"/>
      <c r="K2362" s="71"/>
    </row>
    <row r="2363" spans="2:11">
      <c r="B2363" s="71"/>
      <c r="E2363" s="71"/>
      <c r="H2363" s="71"/>
      <c r="K2363" s="71"/>
    </row>
    <row r="2364" spans="2:11">
      <c r="B2364" s="71"/>
      <c r="E2364" s="71"/>
      <c r="H2364" s="71"/>
      <c r="K2364" s="71"/>
    </row>
    <row r="2365" spans="2:11">
      <c r="B2365" s="71"/>
      <c r="E2365" s="71"/>
      <c r="H2365" s="71"/>
      <c r="K2365" s="71"/>
    </row>
    <row r="2366" spans="2:11">
      <c r="B2366" s="71"/>
      <c r="E2366" s="71"/>
      <c r="H2366" s="71"/>
      <c r="K2366" s="71"/>
    </row>
    <row r="2367" spans="2:11">
      <c r="B2367" s="71"/>
      <c r="E2367" s="71"/>
      <c r="H2367" s="71"/>
      <c r="K2367" s="71"/>
    </row>
    <row r="2368" spans="2:11">
      <c r="E2368" s="71"/>
      <c r="H2368" s="71"/>
      <c r="K2368" s="71"/>
    </row>
    <row r="2369" spans="2:11">
      <c r="B2369" s="71"/>
      <c r="E2369" s="71"/>
      <c r="H2369" s="71"/>
      <c r="K2369" s="71"/>
    </row>
    <row r="2370" spans="2:11">
      <c r="B2370" s="71"/>
      <c r="E2370" s="71"/>
      <c r="H2370" s="71"/>
      <c r="K2370" s="71"/>
    </row>
    <row r="2371" spans="2:11">
      <c r="B2371" s="71"/>
      <c r="E2371" s="71"/>
      <c r="H2371" s="71"/>
      <c r="K2371" s="71"/>
    </row>
    <row r="2372" spans="2:11">
      <c r="B2372" s="71"/>
      <c r="E2372" s="71"/>
      <c r="H2372" s="71"/>
      <c r="K2372" s="71"/>
    </row>
    <row r="2373" spans="2:11">
      <c r="B2373" s="71"/>
      <c r="E2373" s="71"/>
      <c r="H2373" s="71"/>
      <c r="K2373" s="71"/>
    </row>
    <row r="2374" spans="2:11">
      <c r="B2374" s="71"/>
      <c r="E2374" s="71"/>
      <c r="H2374" s="71"/>
      <c r="K2374" s="71"/>
    </row>
    <row r="2375" spans="2:11">
      <c r="B2375" s="71"/>
      <c r="E2375" s="71"/>
      <c r="H2375" s="71"/>
      <c r="K2375" s="71"/>
    </row>
    <row r="2376" spans="2:11">
      <c r="B2376" s="71"/>
      <c r="E2376" s="71"/>
      <c r="H2376" s="71"/>
      <c r="K2376" s="71"/>
    </row>
    <row r="2377" spans="2:11">
      <c r="B2377" s="71"/>
      <c r="E2377" s="71"/>
      <c r="H2377" s="71"/>
      <c r="K2377" s="71"/>
    </row>
    <row r="2378" spans="2:11">
      <c r="B2378" s="71"/>
      <c r="E2378" s="71"/>
      <c r="H2378" s="71"/>
      <c r="K2378" s="71"/>
    </row>
    <row r="2379" spans="2:11">
      <c r="B2379" s="71"/>
      <c r="E2379" s="71"/>
      <c r="H2379" s="71"/>
      <c r="K2379" s="71"/>
    </row>
    <row r="2380" spans="2:11">
      <c r="B2380" s="71"/>
      <c r="E2380" s="71"/>
      <c r="H2380" s="71"/>
      <c r="K2380" s="71"/>
    </row>
    <row r="2381" spans="2:11">
      <c r="B2381" s="71"/>
      <c r="E2381" s="71"/>
      <c r="H2381" s="71"/>
      <c r="K2381" s="71"/>
    </row>
    <row r="2382" spans="2:11">
      <c r="B2382" s="71"/>
      <c r="E2382" s="71"/>
      <c r="H2382" s="71"/>
      <c r="K2382" s="71"/>
    </row>
    <row r="2383" spans="2:11">
      <c r="B2383" s="71"/>
      <c r="E2383" s="71"/>
      <c r="H2383" s="71"/>
      <c r="K2383" s="71"/>
    </row>
    <row r="2384" spans="2:11">
      <c r="B2384" s="71"/>
      <c r="E2384" s="71"/>
      <c r="H2384" s="71"/>
      <c r="K2384" s="71"/>
    </row>
    <row r="2385" spans="2:11">
      <c r="B2385" s="71"/>
      <c r="E2385" s="71"/>
      <c r="H2385" s="71"/>
      <c r="K2385" s="71"/>
    </row>
    <row r="2386" spans="2:11">
      <c r="B2386" s="71"/>
      <c r="E2386" s="71"/>
      <c r="H2386" s="71"/>
      <c r="K2386" s="71"/>
    </row>
    <row r="2387" spans="2:11">
      <c r="B2387" s="71"/>
      <c r="E2387" s="71"/>
      <c r="H2387" s="71"/>
      <c r="K2387" s="71"/>
    </row>
    <row r="2388" spans="2:11">
      <c r="B2388" s="71"/>
      <c r="E2388" s="71"/>
      <c r="H2388" s="71"/>
      <c r="K2388" s="71"/>
    </row>
    <row r="2389" spans="2:11">
      <c r="B2389" s="71"/>
      <c r="E2389" s="71"/>
      <c r="H2389" s="71"/>
      <c r="K2389" s="71"/>
    </row>
    <row r="2390" spans="2:11">
      <c r="B2390" s="71"/>
      <c r="E2390" s="71"/>
      <c r="H2390" s="71"/>
      <c r="K2390" s="71"/>
    </row>
    <row r="2391" spans="2:11">
      <c r="B2391" s="71"/>
      <c r="E2391" s="71"/>
      <c r="H2391" s="71"/>
      <c r="K2391" s="71"/>
    </row>
    <row r="2392" spans="2:11">
      <c r="B2392" s="71"/>
      <c r="E2392" s="71"/>
      <c r="H2392" s="71"/>
      <c r="K2392" s="71"/>
    </row>
    <row r="2393" spans="2:11">
      <c r="B2393" s="71"/>
      <c r="E2393" s="71"/>
      <c r="H2393" s="71"/>
      <c r="K2393" s="71"/>
    </row>
    <row r="2394" spans="2:11">
      <c r="B2394" s="71"/>
      <c r="E2394" s="71"/>
      <c r="H2394" s="71"/>
      <c r="K2394" s="71"/>
    </row>
    <row r="2395" spans="2:11">
      <c r="B2395" s="71"/>
      <c r="E2395" s="71"/>
      <c r="H2395" s="71"/>
      <c r="K2395" s="71"/>
    </row>
    <row r="2396" spans="2:11">
      <c r="B2396" s="71"/>
      <c r="E2396" s="71"/>
      <c r="H2396" s="71"/>
      <c r="K2396" s="71"/>
    </row>
    <row r="2397" spans="2:11">
      <c r="B2397" s="71"/>
      <c r="E2397" s="71"/>
      <c r="H2397" s="71"/>
      <c r="K2397" s="71"/>
    </row>
    <row r="2398" spans="2:11">
      <c r="B2398" s="71"/>
      <c r="E2398" s="71"/>
      <c r="H2398" s="71"/>
      <c r="K2398" s="71"/>
    </row>
    <row r="2399" spans="2:11">
      <c r="B2399" s="71"/>
      <c r="E2399" s="71"/>
      <c r="H2399" s="71"/>
      <c r="K2399" s="71"/>
    </row>
    <row r="2400" spans="2:11">
      <c r="B2400" s="71"/>
      <c r="E2400" s="71"/>
      <c r="H2400" s="71"/>
      <c r="K2400" s="71"/>
    </row>
    <row r="2401" spans="2:11">
      <c r="B2401" s="71"/>
      <c r="E2401" s="71"/>
      <c r="H2401" s="71"/>
      <c r="K2401" s="71"/>
    </row>
    <row r="2402" spans="2:11">
      <c r="B2402" s="71"/>
      <c r="E2402" s="71"/>
      <c r="H2402" s="71"/>
      <c r="K2402" s="71"/>
    </row>
    <row r="2403" spans="2:11">
      <c r="B2403" s="71"/>
      <c r="E2403" s="71"/>
      <c r="H2403" s="71"/>
      <c r="K2403" s="71"/>
    </row>
    <row r="2404" spans="2:11">
      <c r="B2404" s="71"/>
      <c r="E2404" s="71"/>
      <c r="H2404" s="71"/>
      <c r="K2404" s="71"/>
    </row>
    <row r="2405" spans="2:11">
      <c r="B2405" s="71"/>
      <c r="E2405" s="71"/>
      <c r="H2405" s="71"/>
      <c r="K2405" s="71"/>
    </row>
    <row r="2406" spans="2:11">
      <c r="B2406" s="71"/>
      <c r="E2406" s="71"/>
      <c r="H2406" s="71"/>
      <c r="K2406" s="71"/>
    </row>
    <row r="2407" spans="2:11">
      <c r="B2407" s="71"/>
      <c r="E2407" s="71"/>
      <c r="H2407" s="71"/>
      <c r="K2407" s="71"/>
    </row>
    <row r="2408" spans="2:11">
      <c r="B2408" s="71"/>
      <c r="E2408" s="71"/>
      <c r="H2408" s="71"/>
      <c r="K2408" s="71"/>
    </row>
    <row r="2409" spans="2:11">
      <c r="B2409" s="71"/>
      <c r="E2409" s="71"/>
      <c r="H2409" s="71"/>
      <c r="K2409" s="71"/>
    </row>
    <row r="2410" spans="2:11">
      <c r="B2410" s="71"/>
      <c r="E2410" s="71"/>
      <c r="H2410" s="71"/>
      <c r="K2410" s="71"/>
    </row>
    <row r="2411" spans="2:11">
      <c r="B2411" s="71"/>
      <c r="E2411" s="71"/>
      <c r="H2411" s="71"/>
      <c r="K2411" s="71"/>
    </row>
    <row r="2412" spans="2:11">
      <c r="B2412" s="71"/>
      <c r="E2412" s="71"/>
      <c r="H2412" s="71"/>
      <c r="K2412" s="71"/>
    </row>
    <row r="2413" spans="2:11">
      <c r="B2413" s="71"/>
      <c r="E2413" s="71"/>
      <c r="H2413" s="71"/>
      <c r="K2413" s="71"/>
    </row>
    <row r="2414" spans="2:11">
      <c r="B2414" s="71"/>
      <c r="E2414" s="71"/>
      <c r="H2414" s="71"/>
      <c r="K2414" s="71"/>
    </row>
    <row r="2415" spans="2:11">
      <c r="B2415" s="71"/>
      <c r="E2415" s="71"/>
      <c r="H2415" s="71"/>
      <c r="K2415" s="71"/>
    </row>
    <row r="2416" spans="2:11">
      <c r="B2416" s="71"/>
      <c r="E2416" s="71"/>
      <c r="H2416" s="71"/>
      <c r="K2416" s="71"/>
    </row>
    <row r="2417" spans="2:11">
      <c r="B2417" s="71"/>
      <c r="E2417" s="71"/>
      <c r="H2417" s="71"/>
      <c r="K2417" s="71"/>
    </row>
    <row r="2418" spans="2:11">
      <c r="B2418" s="71"/>
      <c r="E2418" s="71"/>
      <c r="H2418" s="71"/>
      <c r="K2418" s="71"/>
    </row>
    <row r="2419" spans="2:11">
      <c r="B2419" s="71"/>
      <c r="E2419" s="71"/>
      <c r="H2419" s="71"/>
      <c r="K2419" s="71"/>
    </row>
    <row r="2420" spans="2:11">
      <c r="B2420" s="71"/>
      <c r="E2420" s="71"/>
      <c r="H2420" s="71"/>
      <c r="K2420" s="71"/>
    </row>
    <row r="2421" spans="2:11">
      <c r="B2421" s="71"/>
      <c r="E2421" s="71"/>
      <c r="H2421" s="71"/>
      <c r="K2421" s="71"/>
    </row>
    <row r="2422" spans="2:11">
      <c r="B2422" s="71"/>
      <c r="E2422" s="71"/>
      <c r="H2422" s="71"/>
      <c r="K2422" s="71"/>
    </row>
    <row r="2423" spans="2:11">
      <c r="B2423" s="71"/>
      <c r="E2423" s="71"/>
      <c r="H2423" s="71"/>
      <c r="K2423" s="71"/>
    </row>
    <row r="2424" spans="2:11">
      <c r="B2424" s="71"/>
      <c r="E2424" s="71"/>
      <c r="H2424" s="71"/>
      <c r="K2424" s="71"/>
    </row>
    <row r="2425" spans="2:11">
      <c r="B2425" s="71"/>
      <c r="E2425" s="71"/>
      <c r="H2425" s="71"/>
      <c r="K2425" s="71"/>
    </row>
    <row r="2426" spans="2:11">
      <c r="B2426" s="71"/>
      <c r="E2426" s="71"/>
      <c r="H2426" s="71"/>
      <c r="K2426" s="71"/>
    </row>
    <row r="2427" spans="2:11">
      <c r="B2427" s="71"/>
      <c r="E2427" s="71"/>
      <c r="H2427" s="71"/>
      <c r="K2427" s="71"/>
    </row>
    <row r="2428" spans="2:11">
      <c r="B2428" s="71"/>
      <c r="E2428" s="71"/>
      <c r="H2428" s="71"/>
      <c r="K2428" s="71"/>
    </row>
    <row r="2429" spans="2:11">
      <c r="B2429" s="71"/>
      <c r="E2429" s="71"/>
      <c r="H2429" s="71"/>
      <c r="K2429" s="71"/>
    </row>
    <row r="2430" spans="2:11">
      <c r="B2430" s="71"/>
      <c r="E2430" s="71"/>
      <c r="H2430" s="71"/>
      <c r="K2430" s="71"/>
    </row>
    <row r="2431" spans="2:11">
      <c r="B2431" s="71"/>
      <c r="E2431" s="71"/>
      <c r="H2431" s="71"/>
      <c r="K2431" s="71"/>
    </row>
    <row r="2432" spans="2:11">
      <c r="B2432" s="71"/>
      <c r="E2432" s="71"/>
      <c r="H2432" s="71"/>
      <c r="K2432" s="71"/>
    </row>
    <row r="2433" spans="2:11">
      <c r="B2433" s="71"/>
      <c r="E2433" s="71"/>
      <c r="H2433" s="71"/>
      <c r="K2433" s="71"/>
    </row>
    <row r="2434" spans="2:11">
      <c r="B2434" s="71"/>
      <c r="E2434" s="71"/>
      <c r="H2434" s="71"/>
      <c r="K2434" s="71"/>
    </row>
    <row r="2435" spans="2:11">
      <c r="B2435" s="71"/>
      <c r="E2435" s="71"/>
      <c r="H2435" s="71"/>
      <c r="K2435" s="71"/>
    </row>
    <row r="2436" spans="2:11">
      <c r="B2436" s="71"/>
      <c r="E2436" s="71"/>
      <c r="H2436" s="71"/>
      <c r="K2436" s="71"/>
    </row>
    <row r="2437" spans="2:11">
      <c r="B2437" s="71"/>
      <c r="E2437" s="71"/>
      <c r="H2437" s="71"/>
      <c r="K2437" s="71"/>
    </row>
    <row r="2438" spans="2:11">
      <c r="B2438" s="71"/>
      <c r="E2438" s="71"/>
      <c r="H2438" s="71"/>
      <c r="K2438" s="71"/>
    </row>
    <row r="2439" spans="2:11">
      <c r="B2439" s="71"/>
      <c r="E2439" s="71"/>
      <c r="H2439" s="71"/>
      <c r="K2439" s="71"/>
    </row>
    <row r="2440" spans="2:11">
      <c r="B2440" s="71"/>
      <c r="E2440" s="71"/>
      <c r="H2440" s="71"/>
      <c r="K2440" s="71"/>
    </row>
    <row r="2441" spans="2:11">
      <c r="B2441" s="71"/>
      <c r="E2441" s="71"/>
      <c r="H2441" s="71"/>
      <c r="K2441" s="71"/>
    </row>
    <row r="2442" spans="2:11">
      <c r="B2442" s="71"/>
      <c r="E2442" s="71"/>
      <c r="H2442" s="71"/>
      <c r="K2442" s="71"/>
    </row>
    <row r="2443" spans="2:11">
      <c r="B2443" s="71"/>
      <c r="E2443" s="71"/>
      <c r="H2443" s="71"/>
      <c r="K2443" s="71"/>
    </row>
    <row r="2444" spans="2:11">
      <c r="B2444" s="71"/>
      <c r="E2444" s="71"/>
      <c r="H2444" s="71"/>
      <c r="K2444" s="71"/>
    </row>
    <row r="2445" spans="2:11">
      <c r="B2445" s="71"/>
      <c r="E2445" s="71"/>
      <c r="H2445" s="71"/>
      <c r="K2445" s="71"/>
    </row>
    <row r="2446" spans="2:11">
      <c r="B2446" s="71"/>
      <c r="E2446" s="71"/>
      <c r="H2446" s="71"/>
      <c r="K2446" s="71"/>
    </row>
    <row r="2447" spans="2:11">
      <c r="B2447" s="71"/>
      <c r="E2447" s="71"/>
      <c r="H2447" s="71"/>
      <c r="K2447" s="71"/>
    </row>
    <row r="2448" spans="2:11">
      <c r="B2448" s="71"/>
      <c r="E2448" s="71"/>
      <c r="H2448" s="71"/>
      <c r="K2448" s="71"/>
    </row>
    <row r="2449" spans="2:14">
      <c r="B2449" s="71"/>
      <c r="E2449" s="71"/>
      <c r="H2449" s="71"/>
      <c r="K2449" s="71"/>
    </row>
    <row r="2450" spans="2:14">
      <c r="B2450" s="71"/>
      <c r="E2450" s="71"/>
      <c r="H2450" s="71"/>
      <c r="K2450" s="71"/>
    </row>
    <row r="2451" spans="2:14">
      <c r="B2451" s="71"/>
      <c r="E2451" s="71"/>
      <c r="H2451" s="71"/>
      <c r="K2451" s="71"/>
    </row>
    <row r="2452" spans="2:14">
      <c r="B2452" s="71"/>
      <c r="E2452" s="71"/>
      <c r="H2452" s="71"/>
      <c r="K2452" s="71"/>
    </row>
    <row r="2453" spans="2:14">
      <c r="B2453" s="71"/>
      <c r="E2453" s="71"/>
      <c r="H2453" s="71"/>
      <c r="K2453" s="71"/>
    </row>
    <row r="2454" spans="2:14">
      <c r="B2454" s="71"/>
      <c r="E2454" s="71"/>
      <c r="H2454" s="71"/>
      <c r="K2454" s="71"/>
    </row>
    <row r="2455" spans="2:14">
      <c r="B2455" s="71"/>
      <c r="E2455" s="71"/>
      <c r="H2455" s="71"/>
      <c r="K2455" s="71"/>
    </row>
    <row r="2456" spans="2:14">
      <c r="B2456" s="71"/>
      <c r="E2456" s="71"/>
      <c r="H2456" s="71"/>
      <c r="K2456" s="71"/>
    </row>
    <row r="2457" spans="2:14">
      <c r="B2457" s="71"/>
      <c r="E2457" s="71"/>
      <c r="H2457" s="71"/>
      <c r="K2457" s="71"/>
    </row>
    <row r="2458" spans="2:14">
      <c r="B2458" s="71"/>
      <c r="E2458" s="71"/>
      <c r="H2458" s="71"/>
      <c r="K2458" s="71"/>
    </row>
    <row r="2459" spans="2:14">
      <c r="B2459" s="71"/>
      <c r="E2459" s="71"/>
      <c r="H2459" s="71"/>
      <c r="K2459" s="71"/>
    </row>
    <row r="2460" spans="2:14">
      <c r="B2460" s="71"/>
      <c r="E2460" s="71"/>
      <c r="H2460" s="71"/>
      <c r="K2460" s="71"/>
    </row>
    <row r="2461" spans="2:14">
      <c r="B2461" s="71"/>
      <c r="E2461" s="71"/>
      <c r="H2461" s="71"/>
      <c r="M2461" t="s">
        <v>485</v>
      </c>
      <c r="N2461" t="s">
        <v>486</v>
      </c>
    </row>
    <row r="2462" spans="2:14">
      <c r="B2462" s="71"/>
      <c r="E2462" s="71"/>
    </row>
    <row r="2463" spans="2:14">
      <c r="B2463" s="71"/>
      <c r="H2463" s="71"/>
    </row>
    <row r="2464" spans="2:14">
      <c r="B2464" s="71"/>
      <c r="H2464" s="71"/>
    </row>
    <row r="2465" spans="2:8">
      <c r="B2465" s="71"/>
      <c r="H2465" s="71"/>
    </row>
    <row r="2466" spans="2:8">
      <c r="B2466" s="71"/>
      <c r="H2466" s="71"/>
    </row>
    <row r="2467" spans="2:8">
      <c r="B2467" s="71"/>
      <c r="H2467" s="71"/>
    </row>
    <row r="2468" spans="2:8">
      <c r="B2468" s="71"/>
      <c r="H2468" s="71"/>
    </row>
    <row r="2469" spans="2:8">
      <c r="B2469" s="71"/>
      <c r="H2469" s="71"/>
    </row>
    <row r="2470" spans="2:8">
      <c r="B2470" s="71"/>
      <c r="H2470" s="71"/>
    </row>
    <row r="2471" spans="2:8">
      <c r="B2471" s="71"/>
      <c r="H2471" s="71"/>
    </row>
    <row r="2472" spans="2:8">
      <c r="B2472" s="71"/>
      <c r="H2472" s="71"/>
    </row>
    <row r="2473" spans="2:8">
      <c r="B2473" s="71"/>
      <c r="H2473" s="71"/>
    </row>
    <row r="2474" spans="2:8">
      <c r="B2474" s="71"/>
      <c r="H2474" s="71"/>
    </row>
    <row r="2475" spans="2:8">
      <c r="B2475" s="71"/>
      <c r="H2475" s="71"/>
    </row>
    <row r="2476" spans="2:8">
      <c r="B2476" s="71"/>
      <c r="H2476" s="71"/>
    </row>
    <row r="2477" spans="2:8">
      <c r="B2477" s="71"/>
      <c r="H2477" s="71"/>
    </row>
    <row r="2478" spans="2:8">
      <c r="B2478" s="71"/>
      <c r="H2478" s="71"/>
    </row>
    <row r="2479" spans="2:8">
      <c r="B2479" s="71"/>
      <c r="H2479" s="71"/>
    </row>
    <row r="2480" spans="2:8">
      <c r="B2480" s="71"/>
      <c r="H2480" s="71"/>
    </row>
    <row r="2481" spans="2:8">
      <c r="B2481" s="71"/>
      <c r="H2481" s="71"/>
    </row>
    <row r="2482" spans="2:8">
      <c r="B2482" s="71"/>
      <c r="H2482" s="71"/>
    </row>
    <row r="2483" spans="2:8">
      <c r="B2483" s="71"/>
      <c r="H2483" s="71"/>
    </row>
    <row r="2484" spans="2:8">
      <c r="B2484" s="71"/>
      <c r="H2484" s="71"/>
    </row>
    <row r="2485" spans="2:8">
      <c r="B2485" s="71"/>
      <c r="H2485" s="71"/>
    </row>
    <row r="2486" spans="2:8">
      <c r="B2486" s="71"/>
      <c r="H2486" s="71"/>
    </row>
    <row r="2487" spans="2:8">
      <c r="B2487" s="71"/>
      <c r="H2487" s="71"/>
    </row>
    <row r="2488" spans="2:8">
      <c r="B2488" s="71"/>
      <c r="H2488" s="71"/>
    </row>
    <row r="2489" spans="2:8">
      <c r="B2489" s="71"/>
      <c r="H2489" s="71"/>
    </row>
    <row r="2490" spans="2:8">
      <c r="B2490" s="71"/>
      <c r="H2490" s="71"/>
    </row>
    <row r="2491" spans="2:8">
      <c r="B2491" s="71"/>
      <c r="H2491" s="71"/>
    </row>
    <row r="2492" spans="2:8">
      <c r="B2492" s="71"/>
      <c r="H2492" s="71"/>
    </row>
    <row r="2493" spans="2:8">
      <c r="B2493" s="71"/>
      <c r="H2493" s="71"/>
    </row>
    <row r="2494" spans="2:8">
      <c r="B2494" s="71"/>
      <c r="H2494" s="71"/>
    </row>
    <row r="2495" spans="2:8">
      <c r="B2495" s="71"/>
      <c r="H2495" s="71"/>
    </row>
    <row r="2496" spans="2:8">
      <c r="B2496" s="71"/>
      <c r="H2496" s="71"/>
    </row>
    <row r="2497" spans="2:8">
      <c r="B2497" s="71"/>
      <c r="H2497" s="71"/>
    </row>
    <row r="2498" spans="2:8">
      <c r="B2498" s="71"/>
      <c r="H2498" s="71"/>
    </row>
    <row r="2499" spans="2:8">
      <c r="B2499" s="71"/>
      <c r="H2499" s="71"/>
    </row>
    <row r="2500" spans="2:8">
      <c r="B2500" s="71"/>
      <c r="H2500" s="71"/>
    </row>
    <row r="2501" spans="2:8">
      <c r="B2501" s="71"/>
      <c r="H2501" s="71"/>
    </row>
    <row r="2502" spans="2:8">
      <c r="B2502" s="71"/>
      <c r="H2502" s="71"/>
    </row>
    <row r="2503" spans="2:8">
      <c r="B2503" s="71"/>
      <c r="H2503" s="71"/>
    </row>
    <row r="2504" spans="2:8">
      <c r="B2504" s="71"/>
      <c r="H2504" s="71"/>
    </row>
    <row r="2505" spans="2:8">
      <c r="B2505" s="71"/>
      <c r="H2505" s="71"/>
    </row>
    <row r="2506" spans="2:8">
      <c r="B2506" s="71"/>
      <c r="H2506" s="71"/>
    </row>
    <row r="2507" spans="2:8">
      <c r="B2507" s="71"/>
      <c r="H2507" s="71"/>
    </row>
    <row r="2508" spans="2:8">
      <c r="B2508" s="71"/>
      <c r="H2508" s="71"/>
    </row>
    <row r="2509" spans="2:8">
      <c r="B2509" s="71"/>
      <c r="H2509" s="71"/>
    </row>
    <row r="2510" spans="2:8">
      <c r="B2510" s="71"/>
      <c r="H2510" s="71"/>
    </row>
    <row r="2511" spans="2:8">
      <c r="B2511" s="71"/>
      <c r="H2511" s="71"/>
    </row>
    <row r="2512" spans="2:8">
      <c r="B2512" s="71"/>
      <c r="H2512" s="71"/>
    </row>
    <row r="2513" spans="2:8">
      <c r="B2513" s="71"/>
      <c r="H2513" s="71"/>
    </row>
    <row r="2514" spans="2:8">
      <c r="B2514" s="71"/>
      <c r="H2514" s="71"/>
    </row>
    <row r="2515" spans="2:8">
      <c r="B2515" s="71"/>
      <c r="H2515" s="71"/>
    </row>
    <row r="2516" spans="2:8">
      <c r="B2516" s="71"/>
      <c r="H2516" s="71"/>
    </row>
    <row r="2517" spans="2:8">
      <c r="B2517" s="71"/>
      <c r="H2517" s="71"/>
    </row>
    <row r="2518" spans="2:8">
      <c r="B2518" s="71"/>
      <c r="H2518" s="71"/>
    </row>
    <row r="2519" spans="2:8">
      <c r="B2519" s="71"/>
      <c r="H2519" s="71"/>
    </row>
    <row r="2520" spans="2:8">
      <c r="B2520" s="71"/>
      <c r="H2520" s="71"/>
    </row>
    <row r="2521" spans="2:8">
      <c r="B2521" s="71"/>
      <c r="H2521" s="71"/>
    </row>
    <row r="2522" spans="2:8">
      <c r="B2522" s="71"/>
      <c r="H2522" s="71"/>
    </row>
    <row r="2523" spans="2:8">
      <c r="B2523" s="71"/>
      <c r="H2523" s="71"/>
    </row>
    <row r="2524" spans="2:8">
      <c r="B2524" s="71"/>
      <c r="H2524" s="71"/>
    </row>
    <row r="2525" spans="2:8">
      <c r="B2525" s="71"/>
      <c r="H2525" s="71"/>
    </row>
    <row r="2526" spans="2:8">
      <c r="B2526" s="71"/>
      <c r="H2526" s="71"/>
    </row>
    <row r="2527" spans="2:8">
      <c r="B2527" s="71"/>
      <c r="H2527" s="71"/>
    </row>
    <row r="2528" spans="2:8">
      <c r="B2528" s="71"/>
      <c r="H2528" s="71"/>
    </row>
    <row r="2529" spans="2:8">
      <c r="B2529" s="71"/>
      <c r="H2529" s="71"/>
    </row>
    <row r="2530" spans="2:8">
      <c r="B2530" s="71"/>
      <c r="H2530" s="71"/>
    </row>
    <row r="2531" spans="2:8">
      <c r="B2531" s="71"/>
      <c r="H2531" s="71"/>
    </row>
    <row r="2532" spans="2:8">
      <c r="B2532" s="71"/>
      <c r="H2532" s="71"/>
    </row>
    <row r="2533" spans="2:8">
      <c r="B2533" s="71"/>
      <c r="H2533" s="71"/>
    </row>
    <row r="2534" spans="2:8">
      <c r="B2534" s="71"/>
      <c r="H2534" s="71"/>
    </row>
    <row r="2535" spans="2:8">
      <c r="B2535" s="71"/>
      <c r="H2535" s="71"/>
    </row>
    <row r="2536" spans="2:8">
      <c r="B2536" s="71"/>
      <c r="H2536" s="71"/>
    </row>
    <row r="2537" spans="2:8">
      <c r="B2537" s="71"/>
      <c r="H2537" s="71"/>
    </row>
    <row r="2538" spans="2:8">
      <c r="B2538" s="71"/>
      <c r="H2538" s="71"/>
    </row>
    <row r="2539" spans="2:8">
      <c r="B2539" s="71"/>
      <c r="H2539" s="71"/>
    </row>
    <row r="2540" spans="2:8">
      <c r="B2540" s="71"/>
      <c r="H2540" s="71"/>
    </row>
    <row r="2541" spans="2:8">
      <c r="B2541" s="71"/>
      <c r="H2541" s="71"/>
    </row>
    <row r="2542" spans="2:8">
      <c r="B2542" s="71"/>
      <c r="H2542" s="71"/>
    </row>
    <row r="2543" spans="2:8">
      <c r="B2543" s="71"/>
      <c r="H2543" s="71"/>
    </row>
    <row r="2544" spans="2:8">
      <c r="B2544" s="71"/>
      <c r="H2544" s="71"/>
    </row>
    <row r="2545" spans="2:8">
      <c r="B2545" s="71"/>
      <c r="H2545" s="71"/>
    </row>
    <row r="2546" spans="2:8">
      <c r="B2546" s="71"/>
      <c r="H2546" s="71"/>
    </row>
    <row r="2547" spans="2:8">
      <c r="B2547" s="71"/>
      <c r="H2547" s="71"/>
    </row>
    <row r="2548" spans="2:8">
      <c r="B2548" s="71"/>
      <c r="H2548" s="71"/>
    </row>
    <row r="2549" spans="2:8">
      <c r="H2549" s="71"/>
    </row>
    <row r="2550" spans="2:8">
      <c r="B2550" s="71"/>
      <c r="H2550" s="71"/>
    </row>
    <row r="2551" spans="2:8">
      <c r="B2551" s="71"/>
      <c r="H2551" s="71"/>
    </row>
    <row r="2552" spans="2:8">
      <c r="B2552" s="71"/>
      <c r="H2552" s="71"/>
    </row>
    <row r="2553" spans="2:8">
      <c r="B2553" s="71"/>
      <c r="H2553" s="71"/>
    </row>
    <row r="2554" spans="2:8">
      <c r="B2554" s="71"/>
      <c r="H2554" s="71"/>
    </row>
    <row r="2555" spans="2:8">
      <c r="B2555" s="71"/>
      <c r="H2555" s="71"/>
    </row>
    <row r="2556" spans="2:8">
      <c r="B2556" s="71"/>
      <c r="H2556" s="71"/>
    </row>
    <row r="2557" spans="2:8">
      <c r="B2557" s="71"/>
      <c r="H2557" s="71"/>
    </row>
    <row r="2558" spans="2:8">
      <c r="B2558" s="71"/>
      <c r="H2558" s="71"/>
    </row>
    <row r="2559" spans="2:8">
      <c r="B2559" s="71"/>
      <c r="H2559" s="71"/>
    </row>
    <row r="2560" spans="2:8">
      <c r="B2560" s="71"/>
      <c r="H2560" s="71"/>
    </row>
    <row r="2561" spans="2:8">
      <c r="B2561" s="71"/>
      <c r="H2561" s="71"/>
    </row>
    <row r="2562" spans="2:8">
      <c r="B2562" s="71"/>
      <c r="H2562" s="71"/>
    </row>
    <row r="2563" spans="2:8">
      <c r="B2563" s="71"/>
      <c r="H2563" s="71"/>
    </row>
    <row r="2564" spans="2:8">
      <c r="B2564" s="71"/>
      <c r="H2564" s="71"/>
    </row>
    <row r="2565" spans="2:8">
      <c r="B2565" s="71"/>
      <c r="H2565" s="71"/>
    </row>
    <row r="2566" spans="2:8">
      <c r="B2566" s="71"/>
      <c r="H2566" s="71"/>
    </row>
    <row r="2567" spans="2:8">
      <c r="B2567" s="71"/>
      <c r="H2567" s="71"/>
    </row>
    <row r="2568" spans="2:8">
      <c r="B2568" s="71"/>
      <c r="H2568" s="71"/>
    </row>
    <row r="2569" spans="2:8">
      <c r="B2569" s="71"/>
      <c r="H2569" s="71"/>
    </row>
    <row r="2570" spans="2:8">
      <c r="B2570" s="71"/>
      <c r="H2570" s="71"/>
    </row>
    <row r="2571" spans="2:8">
      <c r="B2571" s="71"/>
      <c r="H2571" s="71"/>
    </row>
    <row r="2572" spans="2:8">
      <c r="B2572" s="71"/>
      <c r="H2572" s="71"/>
    </row>
    <row r="2573" spans="2:8">
      <c r="B2573" s="71"/>
      <c r="H2573" s="71"/>
    </row>
    <row r="2574" spans="2:8">
      <c r="B2574" s="71"/>
      <c r="H2574" s="71"/>
    </row>
    <row r="2575" spans="2:8">
      <c r="B2575" s="71"/>
      <c r="H2575" s="71"/>
    </row>
    <row r="2576" spans="2:8">
      <c r="B2576" s="71"/>
      <c r="H2576" s="71"/>
    </row>
    <row r="2577" spans="2:8">
      <c r="B2577" s="71"/>
      <c r="H2577" s="71"/>
    </row>
    <row r="2578" spans="2:8">
      <c r="B2578" s="71"/>
      <c r="H2578" s="71"/>
    </row>
    <row r="2579" spans="2:8">
      <c r="B2579" s="71"/>
      <c r="H2579" s="71"/>
    </row>
    <row r="2580" spans="2:8">
      <c r="B2580" s="71"/>
    </row>
    <row r="2581" spans="2:8">
      <c r="B2581" s="71"/>
    </row>
    <row r="2582" spans="2:8">
      <c r="B2582" s="71"/>
    </row>
    <row r="2583" spans="2:8">
      <c r="B2583" s="71"/>
    </row>
    <row r="2584" spans="2:8">
      <c r="B2584" s="71"/>
    </row>
    <row r="2585" spans="2:8">
      <c r="B2585" s="71"/>
    </row>
    <row r="2586" spans="2:8">
      <c r="B2586" s="71"/>
    </row>
    <row r="2587" spans="2:8">
      <c r="B2587" s="71"/>
    </row>
    <row r="2588" spans="2:8">
      <c r="B2588" s="71"/>
    </row>
    <row r="2589" spans="2:8">
      <c r="B2589" s="71"/>
    </row>
    <row r="2590" spans="2:8">
      <c r="B2590" s="71"/>
    </row>
    <row r="2591" spans="2:8">
      <c r="B2591" s="71"/>
    </row>
    <row r="2592" spans="2:8">
      <c r="B2592" s="71"/>
    </row>
    <row r="2593" spans="2:2">
      <c r="B2593" s="71"/>
    </row>
    <row r="2594" spans="2:2">
      <c r="B2594" s="71"/>
    </row>
    <row r="2595" spans="2:2">
      <c r="B2595" s="71"/>
    </row>
    <row r="2596" spans="2:2">
      <c r="B2596" s="71"/>
    </row>
    <row r="2597" spans="2:2">
      <c r="B2597" s="71"/>
    </row>
    <row r="2598" spans="2:2">
      <c r="B2598" s="71"/>
    </row>
    <row r="2599" spans="2:2">
      <c r="B2599" s="71"/>
    </row>
    <row r="2600" spans="2:2">
      <c r="B2600" s="7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13</vt:i4>
      </vt:variant>
    </vt:vector>
  </HeadingPairs>
  <TitlesOfParts>
    <vt:vector size="13" baseType="lpstr">
      <vt:lpstr>Query 1x</vt:lpstr>
      <vt:lpstr>Mig 1x</vt:lpstr>
      <vt:lpstr>Query 2x</vt:lpstr>
      <vt:lpstr>Mig 2x</vt:lpstr>
      <vt:lpstr>Query 5x</vt:lpstr>
      <vt:lpstr>Mig 5x</vt:lpstr>
      <vt:lpstr>Query 10x</vt:lpstr>
      <vt:lpstr>Mig 10x</vt:lpstr>
      <vt:lpstr>Storage</vt:lpstr>
      <vt:lpstr>Optimization</vt:lpstr>
      <vt:lpstr>Migration</vt:lpstr>
      <vt:lpstr>Workload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Enrico Gallinucci</dc:creator>
  <cp:lastModifiedBy>Enrico Gallinucci</cp:lastModifiedBy>
  <dcterms:created xsi:type="dcterms:W3CDTF">2024-11-19T20:35:28Z</dcterms:created>
  <dcterms:modified xsi:type="dcterms:W3CDTF">2024-12-13T07:35:14Z</dcterms:modified>
</cp:coreProperties>
</file>