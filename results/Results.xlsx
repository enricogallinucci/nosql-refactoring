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E:\Git\nosql-refactoring\results\"/>
    </mc:Choice>
  </mc:AlternateContent>
  <xr:revisionPtr revIDLastSave="0" documentId="13_ncr:1_{5712243A-70D8-4325-A491-FEDF0CE4D60C}" xr6:coauthVersionLast="47" xr6:coauthVersionMax="47" xr10:uidLastSave="{00000000-0000-0000-0000-000000000000}"/>
  <bookViews>
    <workbookView xWindow="-110" yWindow="-110" windowWidth="38620" windowHeight="21100" activeTab="3" xr2:uid="{9DCFC8E8-6974-4295-BC43-7328B70AD737}"/>
  </bookViews>
  <sheets>
    <sheet name="Query 1x" sheetId="1" r:id="rId1"/>
    <sheet name="Mig 1x" sheetId="2" r:id="rId2"/>
    <sheet name="Query 2x" sheetId="4" r:id="rId3"/>
    <sheet name="Mig 2x" sheetId="6" r:id="rId4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3" i="6" l="1"/>
  <c r="B12" i="6"/>
  <c r="B11" i="6"/>
  <c r="B8" i="6"/>
  <c r="B7" i="6"/>
  <c r="D24" i="6"/>
  <c r="L13" i="6" s="1"/>
  <c r="M13" i="6" s="1"/>
  <c r="N13" i="6" s="1"/>
  <c r="O13" i="6" s="1"/>
  <c r="D13" i="6"/>
  <c r="G13" i="6" s="1"/>
  <c r="H13" i="6" s="1"/>
  <c r="I13" i="6" s="1"/>
  <c r="D12" i="6"/>
  <c r="G12" i="6" s="1"/>
  <c r="H12" i="6" s="1"/>
  <c r="I12" i="6" s="1"/>
  <c r="C12" i="6"/>
  <c r="F12" i="6" s="1"/>
  <c r="D11" i="6"/>
  <c r="G11" i="6" s="1"/>
  <c r="H11" i="6" s="1"/>
  <c r="I11" i="6" s="1"/>
  <c r="C11" i="6"/>
  <c r="F11" i="6" s="1"/>
  <c r="D8" i="6"/>
  <c r="G8" i="6" s="1"/>
  <c r="D7" i="6"/>
  <c r="G7" i="6" s="1"/>
  <c r="I11" i="2"/>
  <c r="H12" i="2"/>
  <c r="H13" i="2"/>
  <c r="H11" i="2"/>
  <c r="G11" i="2"/>
  <c r="G7" i="2"/>
  <c r="L8" i="6" l="1"/>
  <c r="M8" i="6" s="1"/>
  <c r="N8" i="6" s="1"/>
  <c r="O8" i="6" s="1"/>
  <c r="C7" i="6"/>
  <c r="F7" i="6" s="1"/>
  <c r="C13" i="6"/>
  <c r="F13" i="6" s="1"/>
  <c r="C8" i="6"/>
  <c r="F8" i="6" s="1"/>
  <c r="U49" i="4"/>
  <c r="M49" i="4"/>
  <c r="E49" i="4"/>
  <c r="M30" i="4"/>
  <c r="E30" i="4"/>
  <c r="E17" i="4"/>
  <c r="E8" i="4"/>
  <c r="D24" i="2"/>
  <c r="L13" i="2" s="1"/>
  <c r="M13" i="2" s="1"/>
  <c r="N13" i="2" s="1"/>
  <c r="O13" i="2" s="1"/>
  <c r="B12" i="2"/>
  <c r="B11" i="2"/>
  <c r="B8" i="2"/>
  <c r="B7" i="2"/>
  <c r="E8" i="1"/>
  <c r="U49" i="1"/>
  <c r="B13" i="2" s="1"/>
  <c r="M49" i="1"/>
  <c r="M30" i="1"/>
  <c r="E49" i="1"/>
  <c r="E30" i="1"/>
  <c r="E17" i="1"/>
  <c r="C8" i="2" l="1"/>
  <c r="F8" i="2" s="1"/>
  <c r="D8" i="2"/>
  <c r="G8" i="2" s="1"/>
  <c r="C12" i="2"/>
  <c r="F12" i="2" s="1"/>
  <c r="I12" i="2" s="1"/>
  <c r="D12" i="2"/>
  <c r="G12" i="2" s="1"/>
  <c r="D13" i="2"/>
  <c r="G13" i="2" s="1"/>
  <c r="C13" i="2"/>
  <c r="F13" i="2" s="1"/>
  <c r="I13" i="2" s="1"/>
  <c r="D7" i="2"/>
  <c r="C7" i="2"/>
  <c r="F7" i="2" s="1"/>
  <c r="D11" i="2"/>
  <c r="C11" i="2"/>
  <c r="F11" i="2" s="1"/>
  <c r="L8" i="2"/>
  <c r="M8" i="2" s="1"/>
  <c r="N8" i="2" s="1"/>
  <c r="O8" i="2" s="1"/>
</calcChain>
</file>

<file path=xl/sharedStrings.xml><?xml version="1.0" encoding="utf-8"?>
<sst xmlns="http://schemas.openxmlformats.org/spreadsheetml/2006/main" count="190" uniqueCount="46">
  <si>
    <t>Total_Execution_Time</t>
  </si>
  <si>
    <t>Execution_Count</t>
  </si>
  <si>
    <t>Mean_Execution_Time</t>
  </si>
  <si>
    <t>Std_Dev_Execution_Time</t>
  </si>
  <si>
    <t>Total_Execution_Percentage</t>
  </si>
  <si>
    <t>QueryType</t>
  </si>
  <si>
    <t>2003 opt</t>
  </si>
  <si>
    <t>2013 over03opt</t>
  </si>
  <si>
    <t>2013 opt</t>
  </si>
  <si>
    <t>Weight</t>
  </si>
  <si>
    <t>2023 over03opt</t>
  </si>
  <si>
    <t>2023 over13opt</t>
  </si>
  <si>
    <t>2023 opt</t>
  </si>
  <si>
    <t>Query volume</t>
  </si>
  <si>
    <t>D2_alpha</t>
  </si>
  <si>
    <t>D2_beta</t>
  </si>
  <si>
    <t>Avg q time</t>
  </si>
  <si>
    <t>D3_alpha</t>
  </si>
  <si>
    <t>D3_beta</t>
  </si>
  <si>
    <t>D3_gamma</t>
  </si>
  <si>
    <t>Mig time (sec) from alpha</t>
  </si>
  <si>
    <t>Mig time (sec) from beta</t>
  </si>
  <si>
    <t>W</t>
  </si>
  <si>
    <t>alpha</t>
  </si>
  <si>
    <t>beta</t>
  </si>
  <si>
    <t>gamma</t>
  </si>
  <si>
    <t>Table</t>
  </si>
  <si>
    <t>Original card</t>
  </si>
  <si>
    <t>Sample card</t>
  </si>
  <si>
    <t>Rate</t>
  </si>
  <si>
    <t>PhotoObjAll</t>
  </si>
  <si>
    <t>Scaled (sec)</t>
  </si>
  <si>
    <t>Scaled (min)</t>
  </si>
  <si>
    <t>Scaled (h)</t>
  </si>
  <si>
    <t>Scaled (d)</t>
  </si>
  <si>
    <t>Original query volume</t>
  </si>
  <si>
    <t>W beta (2013)</t>
  </si>
  <si>
    <t>W gamma (2023)</t>
  </si>
  <si>
    <t>Total time (sec) on original query volume</t>
  </si>
  <si>
    <t>Total time (sec) on query volume</t>
  </si>
  <si>
    <t>Total time (min) on query volume</t>
  </si>
  <si>
    <t>Total time (min) on original query volume</t>
  </si>
  <si>
    <t>Total time (h) on original query volume</t>
  </si>
  <si>
    <t>Total time (d) on original query volume</t>
  </si>
  <si>
    <t>Mig time (sec) from D1_alpha</t>
  </si>
  <si>
    <t>Mig time (sec) from D2_beta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</si>
</sst>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0"/>
    <numFmt numFmtId="165" formatCode="0.0"/>
  </numFmts>
  <fonts count="6">
    <font>
      <sz val="11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theme="1"/>
      <name val="Aptos Narrow"/>
      <scheme val="minor"/>
    </font>
  </fonts>
  <fills count="8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6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4" fontId="2" fillId="0" borderId="1" xfId="0" applyNumberFormat="1" applyFont="1" applyBorder="1" applyAlignment="1">
      <alignment vertical="center" wrapText="1"/>
    </xf>
    <xf numFmtId="164" fontId="2" fillId="0" borderId="1" xfId="0" applyNumberFormat="1" applyFont="1" applyBorder="1" applyAlignment="1">
      <alignment vertical="center" wrapText="1"/>
    </xf>
    <xf numFmtId="4" fontId="2" fillId="2" borderId="1" xfId="0" applyNumberFormat="1" applyFont="1" applyFill="1" applyBorder="1" applyAlignment="1">
      <alignment vertical="center" wrapText="1"/>
    </xf>
    <xf numFmtId="164" fontId="2" fillId="2" borderId="1" xfId="0" applyNumberFormat="1" applyFont="1" applyFill="1" applyBorder="1" applyAlignment="1">
      <alignment vertical="center" wrapText="1"/>
    </xf>
    <xf numFmtId="2" fontId="0" fillId="0" borderId="0" xfId="0" applyNumberFormat="1"/>
    <xf numFmtId="10" fontId="3" fillId="0" borderId="1" xfId="0" applyNumberFormat="1" applyFont="1" applyBorder="1" applyAlignment="1">
      <alignment horizontal="center" vertical="center" wrapText="1"/>
    </xf>
    <xf numFmtId="0" fontId="4" fillId="0" borderId="0" xfId="0" applyFont="1"/>
    <xf numFmtId="0" fontId="3" fillId="0" borderId="1" xfId="0" applyFont="1" applyBorder="1" applyAlignment="1">
      <alignment horizontal="center" vertical="center" wrapText="1"/>
    </xf>
    <xf numFmtId="2" fontId="0" fillId="3" borderId="0" xfId="0" applyNumberFormat="1" applyFill="1"/>
    <xf numFmtId="4" fontId="2" fillId="4" borderId="1" xfId="0" applyNumberFormat="1" applyFont="1" applyFill="1" applyBorder="1" applyAlignment="1">
      <alignment vertical="center" wrapText="1"/>
    </xf>
    <xf numFmtId="0" fontId="0" fillId="0" borderId="0" xfId="0" applyAlignment="1">
      <alignment wrapText="1"/>
    </xf>
    <xf numFmtId="0" fontId="5" fillId="0" borderId="0" xfId="0" applyFont="1" applyAlignment="1">
      <alignment wrapText="1"/>
    </xf>
    <xf numFmtId="2" fontId="0" fillId="5" borderId="0" xfId="0" applyNumberFormat="1" applyFill="1" applyAlignment="1">
      <alignment wrapText="1"/>
    </xf>
    <xf numFmtId="165" fontId="0" fillId="5" borderId="0" xfId="0" applyNumberFormat="1" applyFill="1" applyAlignment="1">
      <alignment wrapText="1"/>
    </xf>
    <xf numFmtId="165" fontId="0" fillId="0" borderId="0" xfId="0" applyNumberFormat="1" applyAlignment="1">
      <alignment wrapText="1"/>
    </xf>
    <xf numFmtId="0" fontId="0" fillId="5" borderId="0" xfId="0" applyFill="1" applyAlignment="1">
      <alignment wrapText="1"/>
    </xf>
    <xf numFmtId="0" fontId="0" fillId="0" borderId="0" xfId="0" applyFill="1" applyAlignment="1">
      <alignment horizontal="right" wrapText="1"/>
    </xf>
    <xf numFmtId="0" fontId="0" fillId="0" borderId="0" xfId="0" applyAlignment="1">
      <alignment horizontal="right" wrapText="1"/>
    </xf>
    <xf numFmtId="0" fontId="0" fillId="0" borderId="0" xfId="0" applyFill="1" applyAlignment="1">
      <alignment wrapText="1"/>
    </xf>
    <xf numFmtId="0" fontId="5" fillId="6" borderId="0" xfId="0" applyFont="1" applyFill="1" applyAlignment="1">
      <alignment wrapText="1"/>
    </xf>
    <xf numFmtId="1" fontId="0" fillId="6" borderId="0" xfId="0" applyNumberFormat="1" applyFill="1" applyAlignment="1">
      <alignment wrapText="1"/>
    </xf>
    <xf numFmtId="165" fontId="0" fillId="6" borderId="0" xfId="0" applyNumberFormat="1" applyFill="1" applyAlignment="1">
      <alignment wrapText="1"/>
    </xf>
    <xf numFmtId="1" fontId="0" fillId="7" borderId="0" xfId="0" applyNumberFormat="1" applyFill="1" applyAlignment="1">
      <alignment wrapText="1"/>
    </xf>
    <xf numFmtId="0" fontId="5" fillId="7" borderId="0" xfId="0" applyFont="1" applyFill="1" applyAlignment="1">
      <alignment wrapText="1"/>
    </xf>
    <xf numFmtId="165" fontId="0" fillId="7" borderId="0" xfId="0" applyNumberFormat="1" applyFill="1" applyAlignment="1">
      <alignment wrapText="1"/>
    </xf>
    <xf numFmtId="0" fontId="5" fillId="0" borderId="0" xfId="0" applyFont="1" applyFill="1" applyAlignment="1">
      <alignment wrapText="1"/>
    </xf>
    <xf numFmtId="1" fontId="0" fillId="0" borderId="0" xfId="0" applyNumberFormat="1" applyFill="1" applyAlignment="1">
      <alignment wrapText="1"/>
    </xf>
    <xf numFmtId="165" fontId="0" fillId="0" borderId="0" xfId="0" applyNumberFormat="1" applyFill="1" applyAlignment="1">
      <alignment wrapText="1"/>
    </xf>
  </cellXfs>
  <cellStyles count="1">
    <cellStyle name="Normale" xfId="0" builtinId="0"/>
  </cellStyles>
  <dxfs count="0"/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3E1D44-AC13-4E05-B908-0B5C89C2B65C}">
  <dimension ref="A1:W49"/>
  <sheetViews>
    <sheetView topLeftCell="A7" zoomScaleNormal="100" workbookViewId="0">
      <selection activeCell="S39" sqref="S39"/>
    </sheetView>
  </sheetViews>
  <sheetFormatPr defaultColWidth="28.1640625" defaultRowHeight="14"/>
  <cols>
    <col min="1" max="1" width="7.83203125" customWidth="1"/>
    <col min="2" max="2" width="6.25" bestFit="1" customWidth="1"/>
    <col min="3" max="5" width="12.58203125" customWidth="1"/>
    <col min="6" max="6" width="12.58203125" hidden="1" customWidth="1"/>
    <col min="7" max="7" width="12.58203125" customWidth="1"/>
    <col min="8" max="8" width="4.83203125" customWidth="1"/>
    <col min="9" max="9" width="7.5" customWidth="1"/>
    <col min="10" max="10" width="6.4140625" bestFit="1" customWidth="1"/>
    <col min="11" max="13" width="11.83203125" customWidth="1"/>
    <col min="14" max="14" width="11.83203125" hidden="1" customWidth="1"/>
    <col min="15" max="15" width="11.83203125" customWidth="1"/>
    <col min="16" max="16" width="5.75" customWidth="1"/>
    <col min="17" max="18" width="6.75" customWidth="1"/>
    <col min="19" max="21" width="12.5" customWidth="1"/>
    <col min="22" max="22" width="12.5" hidden="1" customWidth="1"/>
    <col min="23" max="23" width="12.5" customWidth="1"/>
  </cols>
  <sheetData>
    <row r="1" spans="1:7" ht="26">
      <c r="A1" s="1">
        <v>2003</v>
      </c>
      <c r="B1" s="1" t="s">
        <v>9</v>
      </c>
      <c r="C1" s="1" t="s">
        <v>0</v>
      </c>
      <c r="D1" s="1" t="s">
        <v>1</v>
      </c>
      <c r="E1" s="1" t="s">
        <v>2</v>
      </c>
      <c r="F1" s="1" t="s">
        <v>3</v>
      </c>
      <c r="G1" s="1" t="s">
        <v>4</v>
      </c>
    </row>
    <row r="2" spans="1:7" ht="26">
      <c r="A2" s="1" t="s">
        <v>5</v>
      </c>
      <c r="B2" s="1"/>
      <c r="C2" s="1"/>
      <c r="D2" s="1"/>
      <c r="E2" s="1"/>
      <c r="F2" s="1"/>
      <c r="G2" s="1"/>
    </row>
    <row r="3" spans="1:7">
      <c r="A3" s="1">
        <v>1</v>
      </c>
      <c r="B3" s="7">
        <v>0.60299999999999998</v>
      </c>
      <c r="C3" s="2">
        <v>827.58900000000006</v>
      </c>
      <c r="D3" s="2">
        <v>569</v>
      </c>
      <c r="E3" s="4">
        <v>1.4544619999999999</v>
      </c>
      <c r="F3" s="2">
        <v>2.3388460000000002</v>
      </c>
      <c r="G3" s="2">
        <v>1.0448409999999999</v>
      </c>
    </row>
    <row r="4" spans="1:7">
      <c r="A4" s="1">
        <v>2</v>
      </c>
      <c r="B4" s="7">
        <v>0.22459999999999999</v>
      </c>
      <c r="C4" s="2">
        <v>45250.428999999996</v>
      </c>
      <c r="D4" s="2">
        <v>235</v>
      </c>
      <c r="E4" s="4">
        <v>192.55501699999999</v>
      </c>
      <c r="F4" s="2">
        <v>120.07904000000001</v>
      </c>
      <c r="G4" s="2">
        <v>57.129185</v>
      </c>
    </row>
    <row r="5" spans="1:7">
      <c r="A5" s="1">
        <v>3</v>
      </c>
      <c r="B5" s="7">
        <v>4.7500000000000001E-2</v>
      </c>
      <c r="C5" s="2">
        <v>8857.1110000000008</v>
      </c>
      <c r="D5" s="2">
        <v>45</v>
      </c>
      <c r="E5" s="4">
        <v>196.82468900000001</v>
      </c>
      <c r="F5" s="2">
        <v>157.26190800000001</v>
      </c>
      <c r="G5" s="2">
        <v>11.182204</v>
      </c>
    </row>
    <row r="6" spans="1:7">
      <c r="A6" s="1">
        <v>4</v>
      </c>
      <c r="B6" s="7">
        <v>0.114</v>
      </c>
      <c r="C6" s="2">
        <v>24271.597000000002</v>
      </c>
      <c r="D6" s="2">
        <v>136</v>
      </c>
      <c r="E6" s="4">
        <v>178.467625</v>
      </c>
      <c r="F6" s="2">
        <v>143.379818</v>
      </c>
      <c r="G6" s="2">
        <v>30.643169</v>
      </c>
    </row>
    <row r="7" spans="1:7">
      <c r="A7" s="1">
        <v>5</v>
      </c>
      <c r="B7" s="7">
        <v>1.09E-2</v>
      </c>
      <c r="C7" s="2">
        <v>0.47599999999999998</v>
      </c>
      <c r="D7" s="2">
        <v>15</v>
      </c>
      <c r="E7" s="4">
        <v>3.1732999999999997E-2</v>
      </c>
      <c r="F7" s="2">
        <v>2.5003999999999998E-2</v>
      </c>
      <c r="G7" s="2">
        <v>6.0099999999999997E-4</v>
      </c>
    </row>
    <row r="8" spans="1:7">
      <c r="B8" s="8"/>
      <c r="E8" s="10">
        <f>SUMPRODUCT(B3:B7,E3:E7)</f>
        <v>73.819725271400003</v>
      </c>
    </row>
    <row r="9" spans="1:7">
      <c r="B9" s="8"/>
      <c r="E9" s="6"/>
    </row>
    <row r="10" spans="1:7" ht="26">
      <c r="A10" s="1" t="s">
        <v>6</v>
      </c>
      <c r="B10" s="1" t="s">
        <v>9</v>
      </c>
      <c r="C10" s="1" t="s">
        <v>0</v>
      </c>
      <c r="D10" s="1" t="s">
        <v>1</v>
      </c>
      <c r="E10" s="1" t="s">
        <v>2</v>
      </c>
      <c r="F10" s="1" t="s">
        <v>3</v>
      </c>
      <c r="G10" s="1" t="s">
        <v>4</v>
      </c>
    </row>
    <row r="11" spans="1:7" ht="26">
      <c r="A11" s="1" t="s">
        <v>5</v>
      </c>
      <c r="B11" s="9"/>
      <c r="C11" s="1"/>
      <c r="D11" s="1"/>
      <c r="E11" s="1"/>
      <c r="F11" s="1"/>
      <c r="G11" s="1"/>
    </row>
    <row r="12" spans="1:7">
      <c r="A12" s="1">
        <v>1</v>
      </c>
      <c r="B12" s="7">
        <v>0.60299999999999998</v>
      </c>
      <c r="C12" s="2">
        <v>915.39800000000002</v>
      </c>
      <c r="D12" s="3">
        <v>586</v>
      </c>
      <c r="E12" s="5">
        <v>1.5621130000000001</v>
      </c>
      <c r="F12" s="3">
        <v>1.3263879999999999</v>
      </c>
      <c r="G12" s="3">
        <v>12.084562999999999</v>
      </c>
    </row>
    <row r="13" spans="1:7">
      <c r="A13" s="1">
        <v>2</v>
      </c>
      <c r="B13" s="7">
        <v>0.22459999999999999</v>
      </c>
      <c r="C13" s="2">
        <v>2855.54</v>
      </c>
      <c r="D13" s="3">
        <v>248</v>
      </c>
      <c r="E13" s="5">
        <v>11.514274</v>
      </c>
      <c r="F13" s="3">
        <v>7.6724079999999999</v>
      </c>
      <c r="G13" s="3">
        <v>37.697211000000003</v>
      </c>
    </row>
    <row r="14" spans="1:7">
      <c r="A14" s="1">
        <v>3</v>
      </c>
      <c r="B14" s="7">
        <v>4.7500000000000001E-2</v>
      </c>
      <c r="C14" s="2">
        <v>1130.3620000000001</v>
      </c>
      <c r="D14" s="3">
        <v>42</v>
      </c>
      <c r="E14" s="5">
        <v>26.913381000000001</v>
      </c>
      <c r="F14" s="3">
        <v>20.521536999999999</v>
      </c>
      <c r="G14" s="3">
        <v>14.922395</v>
      </c>
    </row>
    <row r="15" spans="1:7">
      <c r="A15" s="1">
        <v>4</v>
      </c>
      <c r="B15" s="7">
        <v>0.114</v>
      </c>
      <c r="C15" s="2">
        <v>2672.6379999999999</v>
      </c>
      <c r="D15" s="3">
        <v>110</v>
      </c>
      <c r="E15" s="5">
        <v>24.296709</v>
      </c>
      <c r="F15" s="3">
        <v>19.526899</v>
      </c>
      <c r="G15" s="3">
        <v>35.282643</v>
      </c>
    </row>
    <row r="16" spans="1:7">
      <c r="A16" s="1">
        <v>5</v>
      </c>
      <c r="B16" s="7">
        <v>1.09E-2</v>
      </c>
      <c r="C16" s="2">
        <v>0.999</v>
      </c>
      <c r="D16" s="3">
        <v>14</v>
      </c>
      <c r="E16" s="5">
        <v>7.1357000000000004E-2</v>
      </c>
      <c r="F16" s="3">
        <v>3.7962999999999997E-2</v>
      </c>
      <c r="G16" s="3">
        <v>1.3188E-2</v>
      </c>
    </row>
    <row r="17" spans="1:23">
      <c r="B17" s="8"/>
      <c r="E17" s="10">
        <f>SUMPRODUCT(B12:B16,E12:E16)</f>
        <v>7.5770482941999999</v>
      </c>
    </row>
    <row r="18" spans="1:23">
      <c r="B18" s="8"/>
    </row>
    <row r="19" spans="1:23" ht="39">
      <c r="A19" s="1" t="s">
        <v>7</v>
      </c>
      <c r="B19" s="1" t="s">
        <v>9</v>
      </c>
      <c r="C19" s="1" t="s">
        <v>0</v>
      </c>
      <c r="D19" s="1" t="s">
        <v>1</v>
      </c>
      <c r="E19" s="1" t="s">
        <v>2</v>
      </c>
      <c r="F19" s="1" t="s">
        <v>3</v>
      </c>
      <c r="G19" s="1" t="s">
        <v>4</v>
      </c>
      <c r="I19" s="1" t="s">
        <v>8</v>
      </c>
      <c r="J19" s="1" t="s">
        <v>9</v>
      </c>
      <c r="K19" s="1" t="s">
        <v>0</v>
      </c>
      <c r="L19" s="1" t="s">
        <v>1</v>
      </c>
      <c r="M19" s="1" t="s">
        <v>2</v>
      </c>
      <c r="N19" s="1" t="s">
        <v>3</v>
      </c>
      <c r="O19" s="1" t="s">
        <v>4</v>
      </c>
    </row>
    <row r="20" spans="1:23" ht="26">
      <c r="A20" s="1" t="s">
        <v>5</v>
      </c>
      <c r="B20" s="9"/>
      <c r="C20" s="1"/>
      <c r="D20" s="1"/>
      <c r="E20" s="1"/>
      <c r="F20" s="1"/>
      <c r="G20" s="1"/>
      <c r="I20" s="1" t="s">
        <v>5</v>
      </c>
      <c r="J20" s="9"/>
      <c r="K20" s="1"/>
      <c r="L20" s="1"/>
      <c r="M20" s="1"/>
      <c r="N20" s="1"/>
      <c r="O20" s="1"/>
    </row>
    <row r="21" spans="1:23">
      <c r="A21" s="1">
        <v>1</v>
      </c>
      <c r="B21" s="7">
        <v>0.1066</v>
      </c>
      <c r="C21" s="2">
        <v>310.04399999999998</v>
      </c>
      <c r="D21" s="2">
        <v>208</v>
      </c>
      <c r="E21" s="2">
        <v>1.490596</v>
      </c>
      <c r="F21" s="2">
        <v>1.334058</v>
      </c>
      <c r="G21" s="2">
        <v>10.774594</v>
      </c>
      <c r="I21" s="1">
        <v>1</v>
      </c>
      <c r="J21" s="7">
        <v>0.1066</v>
      </c>
      <c r="K21" s="2">
        <v>139.41300000000001</v>
      </c>
      <c r="L21" s="2">
        <v>186</v>
      </c>
      <c r="M21" s="2">
        <v>0.74953199999999998</v>
      </c>
      <c r="N21" s="2">
        <v>0.66182200000000002</v>
      </c>
      <c r="O21" s="2">
        <v>5.8642649999999996</v>
      </c>
    </row>
    <row r="22" spans="1:23">
      <c r="A22" s="1">
        <v>2</v>
      </c>
      <c r="B22" s="7">
        <v>1.3299999999999999E-2</v>
      </c>
      <c r="C22" s="2">
        <v>273.95100000000002</v>
      </c>
      <c r="D22" s="2">
        <v>22</v>
      </c>
      <c r="E22" s="2">
        <v>12.452318</v>
      </c>
      <c r="F22" s="2">
        <v>8.1029339999999994</v>
      </c>
      <c r="G22" s="2">
        <v>9.5202960000000001</v>
      </c>
      <c r="I22" s="1">
        <v>2</v>
      </c>
      <c r="J22" s="7">
        <v>1.3299999999999999E-2</v>
      </c>
      <c r="K22" s="2">
        <v>302.42399999999998</v>
      </c>
      <c r="L22" s="2">
        <v>28</v>
      </c>
      <c r="M22" s="2">
        <v>10.800857000000001</v>
      </c>
      <c r="N22" s="2">
        <v>5.8230250000000003</v>
      </c>
      <c r="O22" s="2">
        <v>12.721157</v>
      </c>
    </row>
    <row r="23" spans="1:23">
      <c r="A23" s="1">
        <v>3</v>
      </c>
      <c r="B23" s="7">
        <v>0.14130000000000001</v>
      </c>
      <c r="C23" s="2">
        <v>1931.423</v>
      </c>
      <c r="D23" s="2">
        <v>238</v>
      </c>
      <c r="E23" s="2">
        <v>8.1152230000000003</v>
      </c>
      <c r="F23" s="2">
        <v>5.8016170000000002</v>
      </c>
      <c r="G23" s="2">
        <v>67.120468000000002</v>
      </c>
      <c r="I23" s="1">
        <v>3</v>
      </c>
      <c r="J23" s="7">
        <v>0.14130000000000001</v>
      </c>
      <c r="K23" s="2">
        <v>1632.0989999999999</v>
      </c>
      <c r="L23" s="2">
        <v>261</v>
      </c>
      <c r="M23" s="2">
        <v>6.253253</v>
      </c>
      <c r="N23" s="2">
        <v>3.178553</v>
      </c>
      <c r="O23" s="2">
        <v>68.652576999999994</v>
      </c>
    </row>
    <row r="24" spans="1:23">
      <c r="A24" s="1">
        <v>4</v>
      </c>
      <c r="B24" s="7">
        <v>5.4699999999999999E-2</v>
      </c>
      <c r="C24" s="2">
        <v>6.0979999999999999</v>
      </c>
      <c r="D24" s="2">
        <v>91</v>
      </c>
      <c r="E24" s="2">
        <v>6.7011000000000001E-2</v>
      </c>
      <c r="F24" s="2">
        <v>2.9250000000000002E-2</v>
      </c>
      <c r="G24" s="2">
        <v>0.21191699999999999</v>
      </c>
      <c r="I24" s="1">
        <v>4</v>
      </c>
      <c r="J24" s="7">
        <v>5.4699999999999999E-2</v>
      </c>
      <c r="K24" s="2">
        <v>3.109</v>
      </c>
      <c r="L24" s="2">
        <v>96</v>
      </c>
      <c r="M24" s="2">
        <v>3.2384999999999997E-2</v>
      </c>
      <c r="N24" s="2">
        <v>1.3297E-2</v>
      </c>
      <c r="O24" s="2">
        <v>0.130777</v>
      </c>
    </row>
    <row r="25" spans="1:23">
      <c r="A25" s="1">
        <v>5</v>
      </c>
      <c r="B25" s="7">
        <v>4.6800000000000001E-2</v>
      </c>
      <c r="C25" s="2">
        <v>4.133</v>
      </c>
      <c r="D25" s="2">
        <v>79</v>
      </c>
      <c r="E25" s="2">
        <v>5.2316000000000001E-2</v>
      </c>
      <c r="F25" s="2">
        <v>2.7047000000000002E-2</v>
      </c>
      <c r="G25" s="2">
        <v>0.14362900000000001</v>
      </c>
      <c r="I25" s="1">
        <v>5</v>
      </c>
      <c r="J25" s="7">
        <v>4.6800000000000001E-2</v>
      </c>
      <c r="K25" s="2">
        <v>3.9220000000000002</v>
      </c>
      <c r="L25" s="2">
        <v>76</v>
      </c>
      <c r="M25" s="2">
        <v>5.1604999999999998E-2</v>
      </c>
      <c r="N25" s="2">
        <v>2.4756E-2</v>
      </c>
      <c r="O25" s="2">
        <v>0.16497500000000001</v>
      </c>
    </row>
    <row r="26" spans="1:23">
      <c r="A26" s="1">
        <v>6</v>
      </c>
      <c r="B26" s="7">
        <v>0.10780000000000001</v>
      </c>
      <c r="C26" s="2">
        <v>36.787999999999997</v>
      </c>
      <c r="D26" s="2">
        <v>176</v>
      </c>
      <c r="E26" s="2">
        <v>0.20902299999999999</v>
      </c>
      <c r="F26" s="2">
        <v>0.22097</v>
      </c>
      <c r="G26" s="2">
        <v>1.2784500000000001</v>
      </c>
      <c r="I26" s="1">
        <v>6</v>
      </c>
      <c r="J26" s="7">
        <v>0.10780000000000001</v>
      </c>
      <c r="K26" s="2">
        <v>19.577000000000002</v>
      </c>
      <c r="L26" s="2">
        <v>190</v>
      </c>
      <c r="M26" s="2">
        <v>0.103037</v>
      </c>
      <c r="N26" s="2">
        <v>0.100836</v>
      </c>
      <c r="O26" s="2">
        <v>0.82348699999999997</v>
      </c>
    </row>
    <row r="27" spans="1:23">
      <c r="A27" s="1">
        <v>7</v>
      </c>
      <c r="B27" s="7">
        <v>3.49E-2</v>
      </c>
      <c r="C27" s="2">
        <v>3.6429999999999998</v>
      </c>
      <c r="D27" s="2">
        <v>74</v>
      </c>
      <c r="E27" s="2">
        <v>4.9230000000000003E-2</v>
      </c>
      <c r="F27" s="2">
        <v>2.6492000000000002E-2</v>
      </c>
      <c r="G27" s="2">
        <v>0.12660099999999999</v>
      </c>
      <c r="I27" s="1">
        <v>7</v>
      </c>
      <c r="J27" s="7">
        <v>3.49E-2</v>
      </c>
      <c r="K27" s="2">
        <v>3.2330000000000001</v>
      </c>
      <c r="L27" s="2">
        <v>74</v>
      </c>
      <c r="M27" s="2">
        <v>4.3688999999999999E-2</v>
      </c>
      <c r="N27" s="2">
        <v>1.9809E-2</v>
      </c>
      <c r="O27" s="2">
        <v>0.135993</v>
      </c>
    </row>
    <row r="28" spans="1:23">
      <c r="A28" s="1">
        <v>8</v>
      </c>
      <c r="B28" s="7">
        <v>2.63E-2</v>
      </c>
      <c r="C28" s="2">
        <v>2.04</v>
      </c>
      <c r="D28" s="2">
        <v>58</v>
      </c>
      <c r="E28" s="2">
        <v>3.5172000000000002E-2</v>
      </c>
      <c r="F28" s="2">
        <v>1.8804999999999999E-2</v>
      </c>
      <c r="G28" s="2">
        <v>7.0893999999999999E-2</v>
      </c>
      <c r="I28" s="1">
        <v>8</v>
      </c>
      <c r="J28" s="7">
        <v>2.63E-2</v>
      </c>
      <c r="K28" s="2">
        <v>1.5349999999999999</v>
      </c>
      <c r="L28" s="2">
        <v>45</v>
      </c>
      <c r="M28" s="2">
        <v>3.4111000000000002E-2</v>
      </c>
      <c r="N28" s="2">
        <v>1.3339999999999999E-2</v>
      </c>
      <c r="O28" s="2">
        <v>6.4568E-2</v>
      </c>
    </row>
    <row r="29" spans="1:23">
      <c r="A29" s="1">
        <v>9</v>
      </c>
      <c r="B29" s="7">
        <v>2.7300000000000001E-2</v>
      </c>
      <c r="C29" s="2">
        <v>309.42700000000002</v>
      </c>
      <c r="D29" s="2">
        <v>54</v>
      </c>
      <c r="E29" s="2">
        <v>5.7301299999999999</v>
      </c>
      <c r="F29" s="2">
        <v>2.7215959999999999</v>
      </c>
      <c r="G29" s="2">
        <v>10.753152</v>
      </c>
      <c r="I29" s="1">
        <v>9</v>
      </c>
      <c r="J29" s="7">
        <v>2.7300000000000001E-2</v>
      </c>
      <c r="K29" s="2">
        <v>272.01900000000001</v>
      </c>
      <c r="L29" s="2">
        <v>44</v>
      </c>
      <c r="M29" s="2">
        <v>6.1822499999999998</v>
      </c>
      <c r="N29" s="2">
        <v>2.651535</v>
      </c>
      <c r="O29" s="2">
        <v>11.442201000000001</v>
      </c>
    </row>
    <row r="30" spans="1:23">
      <c r="B30" s="8"/>
      <c r="E30" s="10">
        <f>SUMPRODUCT(B21:B29,E21:E29)</f>
        <v>1.6589166424000004</v>
      </c>
      <c r="M30" s="10">
        <f>SUMPRODUCT(J21:J29,M21:M29)</f>
        <v>1.2936274107000001</v>
      </c>
    </row>
    <row r="31" spans="1:23">
      <c r="B31" s="8"/>
    </row>
    <row r="32" spans="1:23" ht="39">
      <c r="A32" s="1" t="s">
        <v>10</v>
      </c>
      <c r="B32" s="1" t="s">
        <v>9</v>
      </c>
      <c r="C32" s="1" t="s">
        <v>0</v>
      </c>
      <c r="D32" s="1" t="s">
        <v>1</v>
      </c>
      <c r="E32" s="1" t="s">
        <v>2</v>
      </c>
      <c r="F32" s="1" t="s">
        <v>3</v>
      </c>
      <c r="G32" s="1" t="s">
        <v>4</v>
      </c>
      <c r="I32" s="1" t="s">
        <v>11</v>
      </c>
      <c r="J32" s="1" t="s">
        <v>9</v>
      </c>
      <c r="K32" s="1" t="s">
        <v>0</v>
      </c>
      <c r="L32" s="1" t="s">
        <v>1</v>
      </c>
      <c r="M32" s="1" t="s">
        <v>2</v>
      </c>
      <c r="N32" s="1" t="s">
        <v>3</v>
      </c>
      <c r="O32" s="1" t="s">
        <v>4</v>
      </c>
      <c r="Q32" s="1" t="s">
        <v>12</v>
      </c>
      <c r="R32" s="1" t="s">
        <v>9</v>
      </c>
      <c r="S32" s="1" t="s">
        <v>0</v>
      </c>
      <c r="T32" s="1" t="s">
        <v>1</v>
      </c>
      <c r="U32" s="1" t="s">
        <v>2</v>
      </c>
      <c r="V32" s="1" t="s">
        <v>3</v>
      </c>
      <c r="W32" s="1" t="s">
        <v>4</v>
      </c>
    </row>
    <row r="33" spans="1:23" ht="26">
      <c r="A33" s="1" t="s">
        <v>5</v>
      </c>
      <c r="B33" s="9"/>
      <c r="C33" s="1"/>
      <c r="D33" s="1"/>
      <c r="E33" s="1"/>
      <c r="F33" s="1"/>
      <c r="G33" s="1"/>
      <c r="I33" s="1" t="s">
        <v>5</v>
      </c>
      <c r="J33" s="9"/>
      <c r="K33" s="1"/>
      <c r="L33" s="1"/>
      <c r="M33" s="1"/>
      <c r="N33" s="1"/>
      <c r="O33" s="1"/>
      <c r="Q33" s="1" t="s">
        <v>5</v>
      </c>
      <c r="R33" s="9"/>
      <c r="S33" s="1"/>
      <c r="T33" s="1"/>
      <c r="U33" s="1"/>
      <c r="V33" s="1"/>
      <c r="W33" s="1"/>
    </row>
    <row r="34" spans="1:23">
      <c r="A34" s="1">
        <v>1</v>
      </c>
      <c r="B34" s="7">
        <v>7.9299999999999995E-2</v>
      </c>
      <c r="C34" s="2">
        <v>7086.8249999999998</v>
      </c>
      <c r="D34" s="2">
        <v>794</v>
      </c>
      <c r="E34" s="2">
        <v>8.9254719999999992</v>
      </c>
      <c r="F34" s="2">
        <v>7.0637569999999998</v>
      </c>
      <c r="G34" s="2">
        <v>1.13449E-7</v>
      </c>
      <c r="I34" s="1">
        <v>1</v>
      </c>
      <c r="J34" s="7">
        <v>7.9299999999999995E-2</v>
      </c>
      <c r="K34" s="2">
        <v>292597.20199999999</v>
      </c>
      <c r="L34" s="2">
        <v>846</v>
      </c>
      <c r="M34" s="2">
        <v>345.859577</v>
      </c>
      <c r="N34" s="2">
        <v>48.309655999999997</v>
      </c>
      <c r="O34" s="2">
        <v>10.109639</v>
      </c>
      <c r="Q34" s="1">
        <v>1</v>
      </c>
      <c r="R34" s="7">
        <v>7.9299999999999995E-2</v>
      </c>
      <c r="S34">
        <v>10102.714</v>
      </c>
      <c r="T34">
        <v>822</v>
      </c>
      <c r="U34">
        <v>12.290406000000001</v>
      </c>
      <c r="V34">
        <v>8.4700290000000003</v>
      </c>
      <c r="W34">
        <v>1.364325</v>
      </c>
    </row>
    <row r="35" spans="1:23">
      <c r="A35" s="1">
        <v>2</v>
      </c>
      <c r="B35" s="7">
        <v>6.1600000000000002E-2</v>
      </c>
      <c r="C35" s="2">
        <v>535.41700000000003</v>
      </c>
      <c r="D35" s="2">
        <v>616</v>
      </c>
      <c r="E35" s="2">
        <v>8.6918300000000003E-7</v>
      </c>
      <c r="F35" s="2">
        <v>9.3168600000000005E-7</v>
      </c>
      <c r="G35" s="2">
        <v>8.5710000000000011E-9</v>
      </c>
      <c r="I35" s="1">
        <v>2</v>
      </c>
      <c r="J35" s="7">
        <v>6.1600000000000002E-2</v>
      </c>
      <c r="K35" s="2">
        <v>254.613</v>
      </c>
      <c r="L35" s="2">
        <v>607</v>
      </c>
      <c r="M35" s="2">
        <v>4.1946099999999995E-7</v>
      </c>
      <c r="N35" s="2">
        <v>4.5815200000000001E-7</v>
      </c>
      <c r="O35" s="2">
        <v>8.7969999999999993E-9</v>
      </c>
      <c r="Q35" s="1">
        <v>2</v>
      </c>
      <c r="R35" s="7">
        <v>6.1600000000000002E-2</v>
      </c>
      <c r="S35">
        <v>733.52099999999996</v>
      </c>
      <c r="T35">
        <v>608</v>
      </c>
      <c r="U35">
        <v>1.2064490000000001</v>
      </c>
      <c r="V35">
        <v>1.443203</v>
      </c>
      <c r="W35">
        <v>9.9059E-8</v>
      </c>
    </row>
    <row r="36" spans="1:23">
      <c r="A36" s="1">
        <v>3</v>
      </c>
      <c r="B36" s="7">
        <v>9.0300000000000005E-2</v>
      </c>
      <c r="C36" s="2">
        <v>112051.011</v>
      </c>
      <c r="D36" s="2">
        <v>956</v>
      </c>
      <c r="E36" s="2">
        <v>117.20817099999999</v>
      </c>
      <c r="F36" s="2">
        <v>163.155598</v>
      </c>
      <c r="G36" s="2">
        <v>1.7937620000000001</v>
      </c>
      <c r="I36" s="1">
        <v>3</v>
      </c>
      <c r="J36" s="7">
        <v>9.0300000000000005E-2</v>
      </c>
      <c r="K36" s="2">
        <v>6078.9939999999997</v>
      </c>
      <c r="L36" s="2">
        <v>954</v>
      </c>
      <c r="M36" s="2">
        <v>6.3721110000000003</v>
      </c>
      <c r="N36" s="2">
        <v>6.0734680000000001</v>
      </c>
      <c r="O36" s="2">
        <v>2.1003799999999999E-7</v>
      </c>
      <c r="Q36" s="1">
        <v>3</v>
      </c>
      <c r="R36" s="7">
        <v>9.0300000000000005E-2</v>
      </c>
      <c r="S36">
        <v>46837.082999999999</v>
      </c>
      <c r="T36">
        <v>863</v>
      </c>
      <c r="U36">
        <v>54.272402</v>
      </c>
      <c r="V36">
        <v>69.290690999999995</v>
      </c>
      <c r="W36">
        <v>6.325132</v>
      </c>
    </row>
    <row r="37" spans="1:23">
      <c r="A37" s="1">
        <v>4</v>
      </c>
      <c r="B37" s="7">
        <v>7.6700000000000004E-2</v>
      </c>
      <c r="C37" s="2">
        <v>426870.788</v>
      </c>
      <c r="D37" s="2">
        <v>803</v>
      </c>
      <c r="E37" s="2">
        <v>531.59500400000002</v>
      </c>
      <c r="F37" s="2">
        <v>213.16259099999999</v>
      </c>
      <c r="G37" s="2">
        <v>6.8335359999999996</v>
      </c>
      <c r="I37" s="1">
        <v>4</v>
      </c>
      <c r="J37" s="7">
        <v>7.6700000000000004E-2</v>
      </c>
      <c r="K37" s="2">
        <v>99561.641000000003</v>
      </c>
      <c r="L37" s="2">
        <v>807</v>
      </c>
      <c r="M37" s="2">
        <v>123.372542</v>
      </c>
      <c r="N37" s="2">
        <v>296.18137200000001</v>
      </c>
      <c r="O37" s="2">
        <v>3.4399929999999999</v>
      </c>
      <c r="Q37" s="1">
        <v>4</v>
      </c>
      <c r="R37" s="7">
        <v>7.6700000000000004E-2</v>
      </c>
      <c r="S37">
        <v>3620.0160000000001</v>
      </c>
      <c r="T37">
        <v>829</v>
      </c>
      <c r="U37">
        <v>4.3667259999999999</v>
      </c>
      <c r="V37">
        <v>9.7993369999999995</v>
      </c>
      <c r="W37">
        <v>4.88866E-7</v>
      </c>
    </row>
    <row r="38" spans="1:23">
      <c r="A38" s="1">
        <v>5</v>
      </c>
      <c r="B38" s="7">
        <v>1.4200000000000001E-2</v>
      </c>
      <c r="C38" s="2">
        <v>4.931</v>
      </c>
      <c r="D38" s="2">
        <v>139</v>
      </c>
      <c r="E38" s="2">
        <v>3.5474999999999998E-8</v>
      </c>
      <c r="F38" s="2">
        <v>2.7178E-8</v>
      </c>
      <c r="G38" s="2">
        <v>7.8999999999999999E-11</v>
      </c>
      <c r="I38" s="1">
        <v>5</v>
      </c>
      <c r="J38" s="7">
        <v>1.4200000000000001E-2</v>
      </c>
      <c r="K38" s="2">
        <v>5.3159999999999998</v>
      </c>
      <c r="L38" s="2">
        <v>142</v>
      </c>
      <c r="M38" s="2">
        <v>3.7437E-8</v>
      </c>
      <c r="N38" s="2">
        <v>2.3383999999999999E-8</v>
      </c>
      <c r="O38" s="2">
        <v>1.8400000000000001E-10</v>
      </c>
      <c r="Q38" s="1">
        <v>5</v>
      </c>
      <c r="R38" s="7">
        <v>1.4200000000000001E-2</v>
      </c>
      <c r="S38">
        <v>3.4289999999999998</v>
      </c>
      <c r="T38">
        <v>148</v>
      </c>
      <c r="U38">
        <v>2.3168999999999997E-8</v>
      </c>
      <c r="V38">
        <v>1.6193999999999999E-8</v>
      </c>
      <c r="W38">
        <v>4.63E-10</v>
      </c>
    </row>
    <row r="39" spans="1:23">
      <c r="A39" s="1">
        <v>6</v>
      </c>
      <c r="B39" s="7">
        <v>0.38009999999999999</v>
      </c>
      <c r="C39" s="2">
        <v>636.73699999999997</v>
      </c>
      <c r="D39" s="2">
        <v>3886</v>
      </c>
      <c r="E39" s="2">
        <v>1.6385400000000001E-7</v>
      </c>
      <c r="F39" s="2">
        <v>1.6594600000000002E-7</v>
      </c>
      <c r="G39" s="2">
        <v>1.0193000000000001E-8</v>
      </c>
      <c r="I39" s="1">
        <v>6</v>
      </c>
      <c r="J39" s="7">
        <v>0.38009999999999999</v>
      </c>
      <c r="K39" s="2">
        <v>757.43399999999997</v>
      </c>
      <c r="L39" s="2">
        <v>3964</v>
      </c>
      <c r="M39" s="2">
        <v>1.9107799999999999E-7</v>
      </c>
      <c r="N39" s="2">
        <v>1.6928299999999999E-7</v>
      </c>
      <c r="O39" s="2">
        <v>2.6169999999999999E-8</v>
      </c>
      <c r="Q39" s="1">
        <v>6</v>
      </c>
      <c r="R39" s="7">
        <v>0.38009999999999999</v>
      </c>
      <c r="S39">
        <v>938.97500000000002</v>
      </c>
      <c r="T39">
        <v>4079</v>
      </c>
      <c r="U39">
        <v>2.3019700000000001E-7</v>
      </c>
      <c r="V39">
        <v>1.7263400000000001E-7</v>
      </c>
      <c r="W39">
        <v>1.26804E-7</v>
      </c>
    </row>
    <row r="40" spans="1:23">
      <c r="A40" s="1">
        <v>7</v>
      </c>
      <c r="B40" s="7">
        <v>4.53E-2</v>
      </c>
      <c r="C40" s="2">
        <v>4786249.92</v>
      </c>
      <c r="D40" s="2">
        <v>483</v>
      </c>
      <c r="E40" s="2">
        <v>9909.4201240000002</v>
      </c>
      <c r="F40" s="2">
        <v>4050.822917</v>
      </c>
      <c r="G40" s="2">
        <v>76.620407</v>
      </c>
      <c r="I40" s="1">
        <v>7</v>
      </c>
      <c r="J40" s="7">
        <v>4.53E-2</v>
      </c>
      <c r="K40" s="2">
        <v>1812630.284</v>
      </c>
      <c r="L40" s="2">
        <v>496</v>
      </c>
      <c r="M40" s="2">
        <v>3654.4965400000001</v>
      </c>
      <c r="N40" s="2">
        <v>1364.9548030000001</v>
      </c>
      <c r="O40" s="2">
        <v>62.628891000000003</v>
      </c>
      <c r="Q40" s="1">
        <v>7</v>
      </c>
      <c r="R40" s="7">
        <v>4.53E-2</v>
      </c>
      <c r="S40">
        <v>254725.171</v>
      </c>
      <c r="T40">
        <v>463</v>
      </c>
      <c r="U40">
        <v>550.16235600000005</v>
      </c>
      <c r="V40">
        <v>983.88583200000005</v>
      </c>
      <c r="W40">
        <v>34.399461000000002</v>
      </c>
    </row>
    <row r="41" spans="1:23">
      <c r="A41" s="1">
        <v>8</v>
      </c>
      <c r="B41" s="7">
        <v>8.2000000000000003E-2</v>
      </c>
      <c r="C41" s="2">
        <v>173.809</v>
      </c>
      <c r="D41" s="2">
        <v>895</v>
      </c>
      <c r="E41" s="2">
        <v>1.9420000000000001E-7</v>
      </c>
      <c r="F41" s="2">
        <v>2.08083E-7</v>
      </c>
      <c r="G41" s="2">
        <v>2.7820000000000001E-9</v>
      </c>
      <c r="I41" s="1">
        <v>8</v>
      </c>
      <c r="J41" s="7">
        <v>8.2000000000000003E-2</v>
      </c>
      <c r="K41" s="2">
        <v>153.70699999999999</v>
      </c>
      <c r="L41" s="2">
        <v>902</v>
      </c>
      <c r="M41" s="2">
        <v>1.70407E-7</v>
      </c>
      <c r="N41" s="2">
        <v>1.5755E-7</v>
      </c>
      <c r="O41" s="2">
        <v>5.3109999999999995E-9</v>
      </c>
      <c r="Q41" s="1">
        <v>8</v>
      </c>
      <c r="R41" s="7">
        <v>8.2000000000000003E-2</v>
      </c>
      <c r="S41">
        <v>183.233</v>
      </c>
      <c r="T41">
        <v>858</v>
      </c>
      <c r="U41">
        <v>2.1355799999999999E-7</v>
      </c>
      <c r="V41">
        <v>1.8099199999999998E-7</v>
      </c>
      <c r="W41">
        <v>2.4745000000000001E-8</v>
      </c>
    </row>
    <row r="42" spans="1:23">
      <c r="A42" s="1">
        <v>9</v>
      </c>
      <c r="B42" s="7">
        <v>6.1000000000000004E-3</v>
      </c>
      <c r="C42" s="2">
        <v>118452.363</v>
      </c>
      <c r="D42" s="2">
        <v>72</v>
      </c>
      <c r="E42" s="2">
        <v>1645.1717080000001</v>
      </c>
      <c r="F42" s="2">
        <v>498.36442199999999</v>
      </c>
      <c r="G42" s="2">
        <v>1.8962380000000001</v>
      </c>
      <c r="I42" s="1">
        <v>9</v>
      </c>
      <c r="J42" s="7">
        <v>6.1000000000000004E-3</v>
      </c>
      <c r="K42" s="2">
        <v>178472.39</v>
      </c>
      <c r="L42" s="2">
        <v>66</v>
      </c>
      <c r="M42" s="2">
        <v>2704.127121</v>
      </c>
      <c r="N42" s="2">
        <v>1089.722935</v>
      </c>
      <c r="O42" s="2">
        <v>6.1664690000000002</v>
      </c>
      <c r="Q42" s="1">
        <v>9</v>
      </c>
      <c r="R42" s="7">
        <v>6.1000000000000004E-3</v>
      </c>
      <c r="S42">
        <v>3393.6550000000002</v>
      </c>
      <c r="T42">
        <v>62</v>
      </c>
      <c r="U42" s="2">
        <v>54.736370999999998</v>
      </c>
      <c r="V42">
        <v>99.199455</v>
      </c>
      <c r="W42">
        <v>4.5829699999999999E-7</v>
      </c>
    </row>
    <row r="43" spans="1:23">
      <c r="A43" s="1">
        <v>10</v>
      </c>
      <c r="B43" s="7">
        <v>5.4999999999999997E-3</v>
      </c>
      <c r="C43" s="2">
        <v>116362.038</v>
      </c>
      <c r="D43" s="2">
        <v>70</v>
      </c>
      <c r="E43" s="2">
        <v>1662.3148289999999</v>
      </c>
      <c r="F43" s="2">
        <v>480.93154500000003</v>
      </c>
      <c r="G43" s="2">
        <v>1.8627750000000001</v>
      </c>
      <c r="I43" s="1">
        <v>10</v>
      </c>
      <c r="J43" s="7">
        <v>5.4999999999999997E-3</v>
      </c>
      <c r="K43" s="2">
        <v>151989.21299999999</v>
      </c>
      <c r="L43" s="2">
        <v>56</v>
      </c>
      <c r="M43" s="2">
        <v>2714.093089</v>
      </c>
      <c r="N43" s="2">
        <v>864.30380500000001</v>
      </c>
      <c r="O43" s="2">
        <v>5.2514380000000003</v>
      </c>
      <c r="Q43" s="1">
        <v>10</v>
      </c>
      <c r="R43" s="7">
        <v>5.4999999999999997E-3</v>
      </c>
      <c r="S43">
        <v>2795.0509999999999</v>
      </c>
      <c r="T43">
        <v>65</v>
      </c>
      <c r="U43">
        <v>43.000785</v>
      </c>
      <c r="V43">
        <v>19.369022999999999</v>
      </c>
      <c r="W43">
        <v>3.7745899999999997E-7</v>
      </c>
    </row>
    <row r="44" spans="1:23">
      <c r="A44" s="1">
        <v>11</v>
      </c>
      <c r="B44" s="7">
        <v>9.7000000000000003E-3</v>
      </c>
      <c r="C44" s="2">
        <v>83629.521999999997</v>
      </c>
      <c r="D44" s="2">
        <v>102</v>
      </c>
      <c r="E44" s="2">
        <v>819.89727500000004</v>
      </c>
      <c r="F44" s="2">
        <v>14.50006</v>
      </c>
      <c r="G44" s="2">
        <v>1.338778</v>
      </c>
      <c r="I44" s="1">
        <v>11</v>
      </c>
      <c r="J44" s="7">
        <v>9.7000000000000003E-3</v>
      </c>
      <c r="K44" s="2">
        <v>28401.687000000002</v>
      </c>
      <c r="L44" s="2">
        <v>86</v>
      </c>
      <c r="M44" s="2">
        <v>330.25217400000002</v>
      </c>
      <c r="N44" s="2">
        <v>12.928972</v>
      </c>
      <c r="O44" s="2">
        <v>9.8131800000000011E-7</v>
      </c>
      <c r="Q44" s="1">
        <v>11</v>
      </c>
      <c r="R44" s="7">
        <v>9.7000000000000003E-3</v>
      </c>
      <c r="S44">
        <v>672.20699999999999</v>
      </c>
      <c r="T44">
        <v>101</v>
      </c>
      <c r="U44">
        <v>6.6555150000000003</v>
      </c>
      <c r="V44">
        <v>4.3190879999999998</v>
      </c>
      <c r="W44">
        <v>9.0777999999999994E-8</v>
      </c>
    </row>
    <row r="45" spans="1:23">
      <c r="A45" s="1">
        <v>12</v>
      </c>
      <c r="B45" s="7">
        <v>6.1999999999999998E-3</v>
      </c>
      <c r="C45" s="2">
        <v>101664.01300000001</v>
      </c>
      <c r="D45" s="2">
        <v>64</v>
      </c>
      <c r="E45" s="2">
        <v>1588.5002030000001</v>
      </c>
      <c r="F45" s="2">
        <v>517.03240700000003</v>
      </c>
      <c r="G45" s="2">
        <v>1.627483</v>
      </c>
      <c r="I45" s="1">
        <v>12</v>
      </c>
      <c r="J45" s="7">
        <v>6.1999999999999998E-3</v>
      </c>
      <c r="K45" s="2">
        <v>171736.848</v>
      </c>
      <c r="L45" s="2">
        <v>68</v>
      </c>
      <c r="M45" s="2">
        <v>2525.541882</v>
      </c>
      <c r="N45" s="2">
        <v>510.99542000000002</v>
      </c>
      <c r="O45" s="2">
        <v>5.9337460000000002</v>
      </c>
      <c r="Q45" s="1">
        <v>12</v>
      </c>
      <c r="R45" s="7">
        <v>6.1999999999999998E-3</v>
      </c>
      <c r="S45">
        <v>4781.982</v>
      </c>
      <c r="T45">
        <v>70</v>
      </c>
      <c r="U45">
        <v>68.314029000000005</v>
      </c>
      <c r="V45">
        <v>12.51304</v>
      </c>
      <c r="W45">
        <v>6.4578500000000004E-7</v>
      </c>
    </row>
    <row r="46" spans="1:23">
      <c r="A46" s="1">
        <v>13</v>
      </c>
      <c r="B46" s="7">
        <v>6.1000000000000004E-3</v>
      </c>
      <c r="C46" s="2">
        <v>484645.576</v>
      </c>
      <c r="D46" s="2">
        <v>91</v>
      </c>
      <c r="E46" s="2">
        <v>5325.77556</v>
      </c>
      <c r="F46" s="2">
        <v>1694.139874</v>
      </c>
      <c r="G46" s="2">
        <v>7.7584210000000002</v>
      </c>
      <c r="I46" s="1">
        <v>13</v>
      </c>
      <c r="J46" s="7">
        <v>6.1000000000000004E-3</v>
      </c>
      <c r="K46" s="2">
        <v>143296.30600000001</v>
      </c>
      <c r="L46" s="2">
        <v>56</v>
      </c>
      <c r="M46" s="2">
        <v>2558.862607</v>
      </c>
      <c r="N46" s="2">
        <v>466.26275900000002</v>
      </c>
      <c r="O46" s="2">
        <v>4.9510860000000001</v>
      </c>
      <c r="Q46" s="1">
        <v>13</v>
      </c>
      <c r="R46" s="7">
        <v>6.1000000000000004E-3</v>
      </c>
      <c r="S46">
        <v>406167.18300000002</v>
      </c>
      <c r="T46">
        <v>73</v>
      </c>
      <c r="U46">
        <v>5563.9340140000004</v>
      </c>
      <c r="V46">
        <v>19783.101938</v>
      </c>
      <c r="W46">
        <v>54.851007000000003</v>
      </c>
    </row>
    <row r="47" spans="1:23">
      <c r="A47" s="1">
        <v>14</v>
      </c>
      <c r="B47" s="7">
        <v>1.6199999999999999E-2</v>
      </c>
      <c r="C47" s="2">
        <v>1029.6790000000001</v>
      </c>
      <c r="D47" s="2">
        <v>165</v>
      </c>
      <c r="E47" s="2">
        <v>6.2404789999999997</v>
      </c>
      <c r="F47" s="2">
        <v>5.4604229999999996</v>
      </c>
      <c r="G47" s="2">
        <v>1.6483999999999997E-8</v>
      </c>
      <c r="I47" s="1">
        <v>14</v>
      </c>
      <c r="J47" s="7">
        <v>1.6199999999999999E-2</v>
      </c>
      <c r="K47" s="2">
        <v>952.86699999999996</v>
      </c>
      <c r="L47" s="2">
        <v>152</v>
      </c>
      <c r="M47" s="2">
        <v>6.2688620000000004</v>
      </c>
      <c r="N47" s="2">
        <v>5.4402020000000002</v>
      </c>
      <c r="O47" s="2">
        <v>3.2923000000000003E-8</v>
      </c>
      <c r="Q47" s="1">
        <v>14</v>
      </c>
      <c r="R47" s="7">
        <v>1.6199999999999999E-2</v>
      </c>
      <c r="S47">
        <v>74.179000000000002</v>
      </c>
      <c r="T47">
        <v>159</v>
      </c>
      <c r="U47">
        <v>4.6653499999999996E-7</v>
      </c>
      <c r="V47">
        <v>7.9882900000000004E-7</v>
      </c>
      <c r="W47">
        <v>1.0018000000000001E-8</v>
      </c>
    </row>
    <row r="48" spans="1:23">
      <c r="A48" s="1">
        <v>15</v>
      </c>
      <c r="B48" s="7">
        <v>7.6899999999999996E-2</v>
      </c>
      <c r="C48" s="2">
        <v>7311.26</v>
      </c>
      <c r="D48" s="2">
        <v>864</v>
      </c>
      <c r="E48" s="2">
        <v>8.4621060000000003</v>
      </c>
      <c r="F48" s="2">
        <v>5.9198690000000003</v>
      </c>
      <c r="G48" s="2">
        <v>1.17042E-7</v>
      </c>
      <c r="I48" s="1">
        <v>15</v>
      </c>
      <c r="J48" s="7">
        <v>7.6899999999999996E-2</v>
      </c>
      <c r="K48" s="2">
        <v>7351.2960000000003</v>
      </c>
      <c r="L48" s="2">
        <v>798</v>
      </c>
      <c r="M48" s="2">
        <v>9.2121499999999994</v>
      </c>
      <c r="N48" s="2">
        <v>6.0061239999999998</v>
      </c>
      <c r="O48" s="2">
        <v>2.5399699999999999E-7</v>
      </c>
      <c r="Q48" s="1">
        <v>15</v>
      </c>
      <c r="R48" s="7">
        <v>7.6899999999999996E-2</v>
      </c>
      <c r="S48">
        <v>5463.357</v>
      </c>
      <c r="T48">
        <v>800</v>
      </c>
      <c r="U48">
        <v>6.8291959999999996</v>
      </c>
      <c r="V48">
        <v>4.8871390000000003</v>
      </c>
      <c r="W48">
        <v>7.3780100000000008E-7</v>
      </c>
    </row>
    <row r="49" spans="5:21">
      <c r="E49" s="10">
        <f>SUMPRODUCT(B34:B48,E34:E48)</f>
        <v>571.18080275875081</v>
      </c>
      <c r="M49" s="10">
        <f>SUMPRODUCT(J40:J48,M40:M48)</f>
        <v>232.25221826187337</v>
      </c>
      <c r="U49" s="10">
        <f>SUMPRODUCT(R40:R48,U40:U48)</f>
        <v>60.446019065569629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6BBE08-8D6C-418A-913D-957647996473}">
  <dimension ref="A1:O26"/>
  <sheetViews>
    <sheetView zoomScale="115" zoomScaleNormal="115" workbookViewId="0">
      <selection sqref="A1:XFD1048576"/>
    </sheetView>
  </sheetViews>
  <sheetFormatPr defaultRowHeight="14"/>
  <cols>
    <col min="1" max="1" width="15.5" style="12" bestFit="1" customWidth="1"/>
    <col min="2" max="2" width="12.1640625" style="12" bestFit="1" customWidth="1"/>
    <col min="3" max="3" width="13.9140625" style="12" bestFit="1" customWidth="1"/>
    <col min="4" max="4" width="15.1640625" style="12" customWidth="1"/>
    <col min="5" max="5" width="3" style="20" customWidth="1"/>
    <col min="6" max="6" width="14" style="12" bestFit="1" customWidth="1"/>
    <col min="7" max="7" width="15" style="12" customWidth="1"/>
    <col min="8" max="8" width="14.6640625" style="12" bestFit="1" customWidth="1"/>
    <col min="9" max="9" width="13.5" style="12" customWidth="1"/>
    <col min="10" max="10" width="3.1640625" style="20" customWidth="1"/>
    <col min="11" max="11" width="22.1640625" style="12" bestFit="1" customWidth="1"/>
    <col min="12" max="12" width="11.1640625" style="12" bestFit="1" customWidth="1"/>
    <col min="13" max="13" width="11.25" style="12" bestFit="1" customWidth="1"/>
    <col min="14" max="15" width="9.25" style="12" bestFit="1" customWidth="1"/>
    <col min="16" max="16" width="21.25" style="12" bestFit="1" customWidth="1"/>
    <col min="17" max="17" width="11.1640625" style="12" bestFit="1" customWidth="1"/>
    <col min="18" max="18" width="11.25" style="12" bestFit="1" customWidth="1"/>
    <col min="19" max="20" width="9.25" style="12" bestFit="1" customWidth="1"/>
    <col min="21" max="16384" width="8.6640625" style="12"/>
  </cols>
  <sheetData>
    <row r="1" spans="1:15" ht="28">
      <c r="A1" s="13" t="s">
        <v>22</v>
      </c>
      <c r="C1" s="21" t="s">
        <v>13</v>
      </c>
      <c r="D1" s="25" t="s">
        <v>35</v>
      </c>
      <c r="E1" s="27"/>
    </row>
    <row r="2" spans="1:15">
      <c r="A2" s="12" t="s">
        <v>23</v>
      </c>
      <c r="C2" s="12">
        <v>10000</v>
      </c>
      <c r="D2" s="12">
        <v>50333</v>
      </c>
    </row>
    <row r="3" spans="1:15">
      <c r="A3" s="12" t="s">
        <v>24</v>
      </c>
      <c r="C3" s="12">
        <v>10000</v>
      </c>
      <c r="D3" s="12">
        <v>1489126</v>
      </c>
    </row>
    <row r="4" spans="1:15">
      <c r="A4" s="12" t="s">
        <v>25</v>
      </c>
      <c r="C4" s="12">
        <v>10000</v>
      </c>
      <c r="D4" s="12">
        <v>3623390</v>
      </c>
    </row>
    <row r="6" spans="1:15" ht="42">
      <c r="A6" s="13" t="s">
        <v>36</v>
      </c>
      <c r="B6" s="13" t="s">
        <v>16</v>
      </c>
      <c r="C6" s="13" t="s">
        <v>39</v>
      </c>
      <c r="D6" s="13" t="s">
        <v>38</v>
      </c>
      <c r="E6" s="27"/>
      <c r="F6" s="13" t="s">
        <v>40</v>
      </c>
      <c r="G6" s="13" t="s">
        <v>41</v>
      </c>
      <c r="K6" s="13" t="s">
        <v>20</v>
      </c>
      <c r="L6" s="13" t="s">
        <v>31</v>
      </c>
      <c r="M6" s="13" t="s">
        <v>32</v>
      </c>
      <c r="N6" s="13" t="s">
        <v>33</v>
      </c>
      <c r="O6" s="13" t="s">
        <v>34</v>
      </c>
    </row>
    <row r="7" spans="1:15">
      <c r="A7" s="12" t="s">
        <v>14</v>
      </c>
      <c r="B7" s="14">
        <f>'Query 1x'!E30</f>
        <v>1.6589166424000004</v>
      </c>
      <c r="C7" s="22">
        <f>$B7*C$3/1000</f>
        <v>16.589166424000002</v>
      </c>
      <c r="D7" s="24">
        <f>$B7*D$3/1000</f>
        <v>2470.3359040305427</v>
      </c>
      <c r="E7" s="28"/>
      <c r="F7" s="23">
        <f>C7/60</f>
        <v>0.27648610706666671</v>
      </c>
      <c r="G7" s="26">
        <f>D7/60</f>
        <v>41.172265067175708</v>
      </c>
      <c r="H7" s="16"/>
      <c r="I7" s="16"/>
      <c r="J7" s="29"/>
    </row>
    <row r="8" spans="1:15">
      <c r="A8" s="12" t="s">
        <v>15</v>
      </c>
      <c r="B8" s="14">
        <f>'Query 1x'!M30</f>
        <v>1.2936274107000001</v>
      </c>
      <c r="C8" s="22">
        <f>$B8*C$3/1000</f>
        <v>12.936274107000001</v>
      </c>
      <c r="D8" s="24">
        <f>$B8*D$3/1000</f>
        <v>1926.3742115860484</v>
      </c>
      <c r="E8" s="28"/>
      <c r="F8" s="23">
        <f>C8/60</f>
        <v>0.21560456845000001</v>
      </c>
      <c r="G8" s="26">
        <f>D8/60</f>
        <v>32.106236859767471</v>
      </c>
      <c r="H8" s="16"/>
      <c r="I8" s="16"/>
      <c r="J8" s="29"/>
      <c r="K8" s="12">
        <v>55.1</v>
      </c>
      <c r="L8" s="17">
        <f>K8*$D$24</f>
        <v>678281</v>
      </c>
      <c r="M8" s="15">
        <f>L8/60</f>
        <v>11304.683333333332</v>
      </c>
      <c r="N8" s="15">
        <f>M8/60</f>
        <v>188.41138888888887</v>
      </c>
      <c r="O8" s="15">
        <f>N8/24</f>
        <v>7.8504745370370363</v>
      </c>
    </row>
    <row r="10" spans="1:15" ht="42">
      <c r="A10" s="13" t="s">
        <v>37</v>
      </c>
      <c r="B10" s="13" t="s">
        <v>16</v>
      </c>
      <c r="C10" s="13" t="s">
        <v>39</v>
      </c>
      <c r="D10" s="13" t="s">
        <v>38</v>
      </c>
      <c r="E10" s="27"/>
      <c r="F10" s="13" t="s">
        <v>40</v>
      </c>
      <c r="G10" s="13" t="s">
        <v>41</v>
      </c>
      <c r="H10" s="13" t="s">
        <v>42</v>
      </c>
      <c r="I10" s="13" t="s">
        <v>43</v>
      </c>
      <c r="J10" s="27"/>
      <c r="K10" s="13" t="s">
        <v>21</v>
      </c>
      <c r="L10" s="13" t="s">
        <v>31</v>
      </c>
      <c r="M10" s="13" t="s">
        <v>32</v>
      </c>
      <c r="N10" s="13" t="s">
        <v>33</v>
      </c>
      <c r="O10" s="13" t="s">
        <v>34</v>
      </c>
    </row>
    <row r="11" spans="1:15">
      <c r="A11" s="12" t="s">
        <v>17</v>
      </c>
      <c r="B11" s="14">
        <f>'Query 1x'!E49</f>
        <v>571.18080275875081</v>
      </c>
      <c r="C11" s="22">
        <f>$B11*C$4/1000</f>
        <v>5711.8080275875081</v>
      </c>
      <c r="D11" s="24">
        <f>$B11*D$4/1000</f>
        <v>2069610.8089080299</v>
      </c>
      <c r="E11" s="28"/>
      <c r="F11" s="23">
        <f>C11/60</f>
        <v>95.196800459791802</v>
      </c>
      <c r="G11" s="26">
        <f>D11/60</f>
        <v>34493.513481800495</v>
      </c>
      <c r="H11" s="26">
        <f>G11/60</f>
        <v>574.89189136334164</v>
      </c>
      <c r="I11" s="26">
        <f>H11/24</f>
        <v>23.953828806805902</v>
      </c>
      <c r="J11" s="29"/>
      <c r="K11" s="18"/>
      <c r="L11" s="18"/>
      <c r="M11" s="18"/>
      <c r="N11" s="18"/>
      <c r="O11" s="18"/>
    </row>
    <row r="12" spans="1:15">
      <c r="A12" s="12" t="s">
        <v>18</v>
      </c>
      <c r="B12" s="14">
        <f>'Query 1x'!M49</f>
        <v>232.25221826187337</v>
      </c>
      <c r="C12" s="22">
        <f t="shared" ref="C12:D13" si="0">$B12*C$4/1000</f>
        <v>2322.5221826187335</v>
      </c>
      <c r="D12" s="24">
        <f t="shared" si="0"/>
        <v>841540.36512788944</v>
      </c>
      <c r="E12" s="28"/>
      <c r="F12" s="23">
        <f t="shared" ref="F12:F13" si="1">C12/60</f>
        <v>38.708703043645556</v>
      </c>
      <c r="G12" s="26">
        <f t="shared" ref="G12:G13" si="2">D12/60</f>
        <v>14025.672752131492</v>
      </c>
      <c r="H12" s="26">
        <f t="shared" ref="H12:H13" si="3">G12/60</f>
        <v>233.76121253552486</v>
      </c>
      <c r="I12" s="26">
        <f>H12/24</f>
        <v>9.7400505223135365</v>
      </c>
      <c r="J12" s="29"/>
      <c r="K12" s="18"/>
      <c r="L12" s="18"/>
      <c r="M12" s="18"/>
      <c r="N12" s="18"/>
      <c r="O12" s="18"/>
    </row>
    <row r="13" spans="1:15">
      <c r="A13" s="12" t="s">
        <v>19</v>
      </c>
      <c r="B13" s="14">
        <f>'Query 1x'!U49</f>
        <v>60.446019065569629</v>
      </c>
      <c r="C13" s="22">
        <f t="shared" si="0"/>
        <v>604.46019065569635</v>
      </c>
      <c r="D13" s="24">
        <f t="shared" si="0"/>
        <v>219019.50102199437</v>
      </c>
      <c r="E13" s="28"/>
      <c r="F13" s="23">
        <f t="shared" si="1"/>
        <v>10.074336510928273</v>
      </c>
      <c r="G13" s="26">
        <f t="shared" si="2"/>
        <v>3650.3250170332394</v>
      </c>
      <c r="H13" s="26">
        <f t="shared" si="3"/>
        <v>60.838750283887322</v>
      </c>
      <c r="I13" s="26">
        <f>H13/24</f>
        <v>2.5349479284953049</v>
      </c>
      <c r="J13" s="29"/>
      <c r="K13" s="19">
        <v>93</v>
      </c>
      <c r="L13" s="17">
        <f>K13*$D$24</f>
        <v>1144830</v>
      </c>
      <c r="M13" s="15">
        <f>L13/60</f>
        <v>19080.5</v>
      </c>
      <c r="N13" s="15">
        <f>M13/60</f>
        <v>318.00833333333333</v>
      </c>
      <c r="O13" s="15">
        <f>N13/24</f>
        <v>13.250347222222222</v>
      </c>
    </row>
    <row r="23" spans="1:7">
      <c r="A23" s="13" t="s">
        <v>26</v>
      </c>
      <c r="B23" s="13" t="s">
        <v>27</v>
      </c>
      <c r="C23" s="13" t="s">
        <v>28</v>
      </c>
      <c r="D23" s="13" t="s">
        <v>29</v>
      </c>
      <c r="E23" s="27"/>
      <c r="G23" s="13"/>
    </row>
    <row r="24" spans="1:7">
      <c r="A24" s="12" t="s">
        <v>30</v>
      </c>
      <c r="B24" s="12">
        <v>1231000000</v>
      </c>
      <c r="C24" s="12">
        <v>100000</v>
      </c>
      <c r="D24" s="17">
        <f>B24/C24</f>
        <v>12310</v>
      </c>
      <c r="G24" s="20"/>
    </row>
    <row r="26" spans="1:7">
      <c r="B26" s="20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24097-27B2-4865-90BD-DFB4E26E291F}">
  <dimension ref="A1:W49"/>
  <sheetViews>
    <sheetView zoomScaleNormal="100" workbookViewId="0">
      <selection activeCell="O32" sqref="O32"/>
    </sheetView>
  </sheetViews>
  <sheetFormatPr defaultColWidth="28.1640625" defaultRowHeight="14"/>
  <cols>
    <col min="1" max="1" width="7.83203125" customWidth="1"/>
    <col min="2" max="2" width="6.25" bestFit="1" customWidth="1"/>
    <col min="3" max="5" width="12.58203125" customWidth="1"/>
    <col min="6" max="6" width="12.58203125" hidden="1" customWidth="1"/>
    <col min="7" max="7" width="12.58203125" customWidth="1"/>
    <col min="8" max="8" width="4.83203125" customWidth="1"/>
    <col min="9" max="9" width="7.5" customWidth="1"/>
    <col min="10" max="10" width="6.4140625" bestFit="1" customWidth="1"/>
    <col min="11" max="13" width="11.83203125" customWidth="1"/>
    <col min="14" max="14" width="11.83203125" hidden="1" customWidth="1"/>
    <col min="15" max="15" width="11.83203125" customWidth="1"/>
    <col min="16" max="16" width="5.75" customWidth="1"/>
    <col min="17" max="18" width="6.75" customWidth="1"/>
    <col min="19" max="21" width="12.5" customWidth="1"/>
    <col min="22" max="22" width="12.5" hidden="1" customWidth="1"/>
    <col min="23" max="23" width="12.5" customWidth="1"/>
  </cols>
  <sheetData>
    <row r="1" spans="1:7" ht="26">
      <c r="A1" s="1">
        <v>2003</v>
      </c>
      <c r="B1" s="1" t="s">
        <v>9</v>
      </c>
      <c r="C1" s="1" t="s">
        <v>0</v>
      </c>
      <c r="D1" s="1" t="s">
        <v>1</v>
      </c>
      <c r="E1" s="1" t="s">
        <v>2</v>
      </c>
      <c r="F1" s="1" t="s">
        <v>3</v>
      </c>
      <c r="G1" s="1" t="s">
        <v>4</v>
      </c>
    </row>
    <row r="2" spans="1:7" ht="26">
      <c r="A2" s="1" t="s">
        <v>5</v>
      </c>
      <c r="B2" s="1"/>
      <c r="C2" s="1"/>
      <c r="D2" s="1"/>
      <c r="E2" s="1"/>
      <c r="F2" s="1"/>
      <c r="G2" s="1"/>
    </row>
    <row r="3" spans="1:7">
      <c r="A3" s="1">
        <v>1</v>
      </c>
      <c r="B3" s="7">
        <v>0.60299999999999998</v>
      </c>
      <c r="C3" s="2">
        <v>422.07400000000001</v>
      </c>
      <c r="D3" s="2">
        <v>606</v>
      </c>
      <c r="E3" s="4">
        <v>6.9649200000000001E-7</v>
      </c>
      <c r="F3" s="2">
        <v>5.1492200000000001E-7</v>
      </c>
      <c r="G3" s="2">
        <v>5.9945400000000004E-7</v>
      </c>
    </row>
    <row r="4" spans="1:7">
      <c r="A4" s="1">
        <v>2</v>
      </c>
      <c r="B4" s="7">
        <v>0.22459999999999999</v>
      </c>
      <c r="C4" s="2">
        <v>37755.192999999999</v>
      </c>
      <c r="D4" s="2">
        <v>229</v>
      </c>
      <c r="E4" s="4">
        <v>164.86983799999999</v>
      </c>
      <c r="F4" s="2">
        <v>81.929844000000003</v>
      </c>
      <c r="G4" s="2">
        <v>53.622110999999997</v>
      </c>
    </row>
    <row r="5" spans="1:7">
      <c r="A5" s="1">
        <v>3</v>
      </c>
      <c r="B5" s="7">
        <v>4.7500000000000001E-2</v>
      </c>
      <c r="C5" s="2">
        <v>9367.6059999999998</v>
      </c>
      <c r="D5" s="2">
        <v>44</v>
      </c>
      <c r="E5" s="4">
        <v>212.900136</v>
      </c>
      <c r="F5" s="2">
        <v>158.20355799999999</v>
      </c>
      <c r="G5" s="2">
        <v>13.304417000000001</v>
      </c>
    </row>
    <row r="6" spans="1:7">
      <c r="A6" s="1">
        <v>4</v>
      </c>
      <c r="B6" s="7">
        <v>0.114</v>
      </c>
      <c r="C6" s="2">
        <v>22864.569</v>
      </c>
      <c r="D6" s="2">
        <v>108</v>
      </c>
      <c r="E6" s="4">
        <v>211.70897199999999</v>
      </c>
      <c r="F6" s="2">
        <v>153.71595300000001</v>
      </c>
      <c r="G6" s="2">
        <v>32.473585</v>
      </c>
    </row>
    <row r="7" spans="1:7">
      <c r="A7" s="1">
        <v>5</v>
      </c>
      <c r="B7" s="7">
        <v>1.09E-2</v>
      </c>
      <c r="C7" s="2">
        <v>3.0499999999999999E-4</v>
      </c>
      <c r="D7" s="2">
        <v>13</v>
      </c>
      <c r="E7" s="4">
        <v>2.3461999999999999E-8</v>
      </c>
      <c r="F7" s="2">
        <v>1.1949E-8</v>
      </c>
      <c r="G7" s="2">
        <v>4.33E-10</v>
      </c>
    </row>
    <row r="8" spans="1:7">
      <c r="B8" s="8"/>
      <c r="E8" s="10">
        <f>SUMPRODUCT(B3:B7,E3:E7)</f>
        <v>71.277345303040406</v>
      </c>
    </row>
    <row r="9" spans="1:7">
      <c r="B9" s="8"/>
      <c r="E9" s="6"/>
    </row>
    <row r="10" spans="1:7" ht="26">
      <c r="A10" s="1" t="s">
        <v>6</v>
      </c>
      <c r="B10" s="1" t="s">
        <v>9</v>
      </c>
      <c r="C10" s="1" t="s">
        <v>0</v>
      </c>
      <c r="D10" s="1" t="s">
        <v>1</v>
      </c>
      <c r="E10" s="1" t="s">
        <v>2</v>
      </c>
      <c r="F10" s="1" t="s">
        <v>3</v>
      </c>
      <c r="G10" s="1" t="s">
        <v>4</v>
      </c>
    </row>
    <row r="11" spans="1:7" ht="26">
      <c r="A11" s="1" t="s">
        <v>5</v>
      </c>
      <c r="B11" s="9"/>
      <c r="C11" s="1"/>
      <c r="D11" s="1"/>
      <c r="E11" s="1"/>
      <c r="F11" s="1"/>
      <c r="G11" s="1"/>
    </row>
    <row r="12" spans="1:7">
      <c r="A12" s="1">
        <v>1</v>
      </c>
      <c r="B12" s="7">
        <v>0.60299999999999998</v>
      </c>
      <c r="C12" s="2">
        <v>617.27599999999995</v>
      </c>
      <c r="D12" s="3">
        <v>623</v>
      </c>
      <c r="E12" s="5">
        <v>9.9081200000000002E-7</v>
      </c>
      <c r="F12" s="3">
        <v>9.0683899999999996E-7</v>
      </c>
      <c r="G12" s="3">
        <v>10.401206</v>
      </c>
    </row>
    <row r="13" spans="1:7">
      <c r="A13" s="1">
        <v>2</v>
      </c>
      <c r="B13" s="7">
        <v>0.22459999999999999</v>
      </c>
      <c r="C13" s="2">
        <v>1902.6079999999999</v>
      </c>
      <c r="D13" s="3">
        <v>187</v>
      </c>
      <c r="E13" s="5">
        <v>10.174374</v>
      </c>
      <c r="F13" s="3">
        <v>8.9871020000000001</v>
      </c>
      <c r="G13" s="3">
        <v>32.059269</v>
      </c>
    </row>
    <row r="14" spans="1:7">
      <c r="A14" s="1">
        <v>3</v>
      </c>
      <c r="B14" s="7">
        <v>4.7500000000000001E-2</v>
      </c>
      <c r="C14" s="2">
        <v>768.80499999999995</v>
      </c>
      <c r="D14" s="3">
        <v>54</v>
      </c>
      <c r="E14" s="5">
        <v>14.237130000000001</v>
      </c>
      <c r="F14" s="3">
        <v>19.181145000000001</v>
      </c>
      <c r="G14" s="3">
        <v>12.954495</v>
      </c>
    </row>
    <row r="15" spans="1:7">
      <c r="A15" s="1">
        <v>4</v>
      </c>
      <c r="B15" s="7">
        <v>0.114</v>
      </c>
      <c r="C15" s="2">
        <v>2645.3760000000002</v>
      </c>
      <c r="D15" s="3">
        <v>122</v>
      </c>
      <c r="E15" s="5">
        <v>21.683409999999999</v>
      </c>
      <c r="F15" s="3">
        <v>20.490525999999999</v>
      </c>
      <c r="G15" s="3">
        <v>44.575037000000002</v>
      </c>
    </row>
    <row r="16" spans="1:7">
      <c r="A16" s="1">
        <v>5</v>
      </c>
      <c r="B16" s="7">
        <v>1.09E-2</v>
      </c>
      <c r="C16" s="2">
        <v>5.9299999999999999E-4</v>
      </c>
      <c r="D16" s="3">
        <v>14</v>
      </c>
      <c r="E16" s="5">
        <v>4.2357E-8</v>
      </c>
      <c r="F16" s="3">
        <v>2.2687E-8</v>
      </c>
      <c r="G16" s="3">
        <v>9.9919999999999994E-9</v>
      </c>
    </row>
    <row r="17" spans="1:23">
      <c r="B17" s="8"/>
      <c r="E17" s="10">
        <f>SUMPRODUCT(B12:B16,E12:E16)</f>
        <v>5.4333374133213272</v>
      </c>
    </row>
    <row r="18" spans="1:23">
      <c r="B18" s="8"/>
    </row>
    <row r="19" spans="1:23" ht="39">
      <c r="A19" s="1" t="s">
        <v>7</v>
      </c>
      <c r="B19" s="1" t="s">
        <v>9</v>
      </c>
      <c r="C19" s="1" t="s">
        <v>0</v>
      </c>
      <c r="D19" s="1" t="s">
        <v>1</v>
      </c>
      <c r="E19" s="1" t="s">
        <v>2</v>
      </c>
      <c r="F19" s="1" t="s">
        <v>3</v>
      </c>
      <c r="G19" s="1" t="s">
        <v>4</v>
      </c>
      <c r="I19" s="1" t="s">
        <v>8</v>
      </c>
      <c r="J19" s="1" t="s">
        <v>9</v>
      </c>
      <c r="K19" s="1" t="s">
        <v>0</v>
      </c>
      <c r="L19" s="1" t="s">
        <v>1</v>
      </c>
      <c r="M19" s="1" t="s">
        <v>2</v>
      </c>
      <c r="N19" s="1" t="s">
        <v>3</v>
      </c>
      <c r="O19" s="1" t="s">
        <v>4</v>
      </c>
    </row>
    <row r="20" spans="1:23" ht="26">
      <c r="A20" s="1" t="s">
        <v>5</v>
      </c>
      <c r="B20" s="9"/>
      <c r="C20" s="1"/>
      <c r="D20" s="1"/>
      <c r="E20" s="1"/>
      <c r="F20" s="1"/>
      <c r="G20" s="1"/>
      <c r="I20" s="1" t="s">
        <v>5</v>
      </c>
      <c r="J20" s="9"/>
      <c r="K20" s="1"/>
      <c r="L20" s="1"/>
      <c r="M20" s="1"/>
      <c r="N20" s="1"/>
      <c r="O20" s="1"/>
    </row>
    <row r="21" spans="1:23">
      <c r="A21" s="1">
        <v>1</v>
      </c>
      <c r="B21" s="7">
        <v>0.1066</v>
      </c>
      <c r="C21" s="2">
        <v>200.81899999999999</v>
      </c>
      <c r="D21" s="2">
        <v>191</v>
      </c>
      <c r="E21" s="2">
        <v>1.0514079999999999</v>
      </c>
      <c r="F21" s="2">
        <v>1.0241180000000001</v>
      </c>
      <c r="G21" s="2">
        <v>8.9309010000000004</v>
      </c>
      <c r="I21" s="1">
        <v>1</v>
      </c>
      <c r="J21" s="7">
        <v>0.1066</v>
      </c>
      <c r="K21" s="2">
        <v>92.126999999999995</v>
      </c>
      <c r="L21" s="2">
        <v>188</v>
      </c>
      <c r="M21" s="2">
        <v>4.9003700000000004E-7</v>
      </c>
      <c r="N21" s="2">
        <v>6.5983199999999995E-7</v>
      </c>
      <c r="O21" s="2">
        <v>4.3833260000000003</v>
      </c>
    </row>
    <row r="22" spans="1:23">
      <c r="A22" s="1">
        <v>2</v>
      </c>
      <c r="B22" s="7">
        <v>1.3299999999999999E-2</v>
      </c>
      <c r="C22" s="2">
        <v>265.28500000000003</v>
      </c>
      <c r="D22" s="2">
        <v>25</v>
      </c>
      <c r="E22" s="2">
        <v>10.6114</v>
      </c>
      <c r="F22" s="2">
        <v>9.9084529999999997</v>
      </c>
      <c r="G22" s="2">
        <v>11.797859000000001</v>
      </c>
      <c r="I22" s="1">
        <v>2</v>
      </c>
      <c r="J22" s="7">
        <v>1.3299999999999999E-2</v>
      </c>
      <c r="K22" s="2">
        <v>381.87900000000002</v>
      </c>
      <c r="L22" s="2">
        <v>21</v>
      </c>
      <c r="M22" s="2">
        <v>18.184714</v>
      </c>
      <c r="N22" s="2">
        <v>10.819851999999999</v>
      </c>
      <c r="O22" s="2">
        <v>18.169487</v>
      </c>
    </row>
    <row r="23" spans="1:23">
      <c r="A23" s="1">
        <v>3</v>
      </c>
      <c r="B23" s="7">
        <v>0.14130000000000001</v>
      </c>
      <c r="C23" s="2">
        <v>1742.56</v>
      </c>
      <c r="D23" s="2">
        <v>240</v>
      </c>
      <c r="E23" s="2">
        <v>7.2606669999999998</v>
      </c>
      <c r="F23" s="2">
        <v>7.0237910000000001</v>
      </c>
      <c r="G23" s="2">
        <v>77.495812999999998</v>
      </c>
      <c r="I23" s="1">
        <v>3</v>
      </c>
      <c r="J23" s="7">
        <v>0.14130000000000001</v>
      </c>
      <c r="K23" s="2">
        <v>1601.298</v>
      </c>
      <c r="L23" s="2">
        <v>228</v>
      </c>
      <c r="M23" s="2">
        <v>7.023237</v>
      </c>
      <c r="N23" s="2">
        <v>3.98386</v>
      </c>
      <c r="O23" s="2">
        <v>76.188433000000003</v>
      </c>
    </row>
    <row r="24" spans="1:23">
      <c r="A24" s="1">
        <v>4</v>
      </c>
      <c r="B24" s="7">
        <v>5.4699999999999999E-2</v>
      </c>
      <c r="C24" s="2">
        <v>4.9119999999999999</v>
      </c>
      <c r="D24" s="2">
        <v>98</v>
      </c>
      <c r="E24" s="2">
        <v>5.0121999999999997E-8</v>
      </c>
      <c r="F24" s="2">
        <v>3.0819E-8</v>
      </c>
      <c r="G24" s="2">
        <v>2.18448E-7</v>
      </c>
      <c r="I24" s="1">
        <v>4</v>
      </c>
      <c r="J24" s="7">
        <v>5.4699999999999999E-2</v>
      </c>
      <c r="K24" s="2">
        <v>2.1800000000000002</v>
      </c>
      <c r="L24" s="2">
        <v>79</v>
      </c>
      <c r="M24" s="2">
        <v>2.7595E-8</v>
      </c>
      <c r="N24" s="2">
        <v>1.2442999999999999E-8</v>
      </c>
      <c r="O24" s="2">
        <v>1.03723E-7</v>
      </c>
    </row>
    <row r="25" spans="1:23">
      <c r="A25" s="1">
        <v>5</v>
      </c>
      <c r="B25" s="7">
        <v>4.6800000000000001E-2</v>
      </c>
      <c r="C25" s="2">
        <v>3.657</v>
      </c>
      <c r="D25" s="2">
        <v>97</v>
      </c>
      <c r="E25" s="2">
        <v>3.7701000000000001E-8</v>
      </c>
      <c r="F25" s="2">
        <v>2.2419999999999998E-8</v>
      </c>
      <c r="G25" s="2">
        <v>1.62636E-7</v>
      </c>
      <c r="I25" s="1">
        <v>5</v>
      </c>
      <c r="J25" s="7">
        <v>4.6800000000000001E-2</v>
      </c>
      <c r="K25" s="2">
        <v>3.8319999999999999</v>
      </c>
      <c r="L25" s="2">
        <v>100</v>
      </c>
      <c r="M25" s="2">
        <v>3.8320000000000002E-8</v>
      </c>
      <c r="N25" s="2">
        <v>2.5664000000000001E-8</v>
      </c>
      <c r="O25" s="2">
        <v>1.8232300000000001E-7</v>
      </c>
    </row>
    <row r="26" spans="1:23">
      <c r="A26" s="1">
        <v>6</v>
      </c>
      <c r="B26" s="7">
        <v>0.10780000000000001</v>
      </c>
      <c r="C26" s="2">
        <v>26.067</v>
      </c>
      <c r="D26" s="2">
        <v>189</v>
      </c>
      <c r="E26" s="2">
        <v>1.3792099999999998E-7</v>
      </c>
      <c r="F26" s="2">
        <v>1.5746699999999999E-7</v>
      </c>
      <c r="G26" s="2">
        <v>1.159262</v>
      </c>
      <c r="I26" s="1">
        <v>6</v>
      </c>
      <c r="J26" s="7">
        <v>0.10780000000000001</v>
      </c>
      <c r="K26" s="2">
        <v>15.868</v>
      </c>
      <c r="L26" s="2">
        <v>223</v>
      </c>
      <c r="M26" s="2">
        <v>7.1156999999999993E-8</v>
      </c>
      <c r="N26" s="2">
        <v>7.4731000000000009E-8</v>
      </c>
      <c r="O26" s="2">
        <v>7.5498600000000001E-7</v>
      </c>
    </row>
    <row r="27" spans="1:23">
      <c r="A27" s="1">
        <v>7</v>
      </c>
      <c r="B27" s="7">
        <v>3.49E-2</v>
      </c>
      <c r="C27" s="2">
        <v>2.573</v>
      </c>
      <c r="D27" s="2">
        <v>67</v>
      </c>
      <c r="E27" s="2">
        <v>3.8402999999999997E-8</v>
      </c>
      <c r="F27" s="2">
        <v>2.4360000000000001E-8</v>
      </c>
      <c r="G27" s="2">
        <v>1.14427E-7</v>
      </c>
      <c r="I27" s="1">
        <v>7</v>
      </c>
      <c r="J27" s="7">
        <v>3.49E-2</v>
      </c>
      <c r="K27" s="2">
        <v>1.6659999999999999</v>
      </c>
      <c r="L27" s="2">
        <v>53</v>
      </c>
      <c r="M27" s="2">
        <v>3.1433999999999995E-8</v>
      </c>
      <c r="N27" s="2">
        <v>1.5244999999999999E-8</v>
      </c>
      <c r="O27" s="2">
        <v>7.9267000000000004E-8</v>
      </c>
    </row>
    <row r="28" spans="1:23">
      <c r="A28" s="1">
        <v>8</v>
      </c>
      <c r="B28" s="7">
        <v>2.63E-2</v>
      </c>
      <c r="C28" s="2">
        <v>1.3340000000000001</v>
      </c>
      <c r="D28" s="2">
        <v>47</v>
      </c>
      <c r="E28" s="2">
        <v>2.8383E-8</v>
      </c>
      <c r="F28" s="2">
        <v>1.8866999999999999E-8</v>
      </c>
      <c r="G28" s="2">
        <v>5.9325999999999998E-8</v>
      </c>
      <c r="I28" s="1">
        <v>8</v>
      </c>
      <c r="J28" s="7">
        <v>2.63E-2</v>
      </c>
      <c r="K28" s="2">
        <v>1.3640000000000001</v>
      </c>
      <c r="L28" s="2">
        <v>54</v>
      </c>
      <c r="M28" s="2">
        <v>2.5259000000000001E-8</v>
      </c>
      <c r="N28" s="2">
        <v>1.295E-8</v>
      </c>
      <c r="O28" s="2">
        <v>6.4898000000000003E-8</v>
      </c>
    </row>
    <row r="29" spans="1:23">
      <c r="A29" s="1">
        <v>9</v>
      </c>
      <c r="B29" s="7">
        <v>2.7300000000000001E-2</v>
      </c>
      <c r="C29" s="2">
        <v>1.379</v>
      </c>
      <c r="D29" s="2">
        <v>46</v>
      </c>
      <c r="E29" s="2">
        <v>2.9977999999999999E-8</v>
      </c>
      <c r="F29" s="2">
        <v>1.7270000000000002E-8</v>
      </c>
      <c r="G29" s="2">
        <v>6.1327000000000004E-8</v>
      </c>
      <c r="I29" s="1">
        <v>9</v>
      </c>
      <c r="J29" s="7">
        <v>2.7300000000000001E-2</v>
      </c>
      <c r="K29" s="2">
        <v>1.546</v>
      </c>
      <c r="L29" s="2">
        <v>54</v>
      </c>
      <c r="M29" s="2">
        <v>2.8629999999999999E-8</v>
      </c>
      <c r="N29" s="2">
        <v>1.681E-8</v>
      </c>
      <c r="O29" s="2">
        <v>7.3557000000000001E-8</v>
      </c>
    </row>
    <row r="30" spans="1:23">
      <c r="B30" s="8"/>
      <c r="E30" s="10">
        <f>SUMPRODUCT(B21:B29,E21:E29)</f>
        <v>1.2791439821791011</v>
      </c>
      <c r="M30" s="10">
        <f>SUMPRODUCT(J21:J29,M21:M29)</f>
        <v>1.2342401500544486</v>
      </c>
    </row>
    <row r="31" spans="1:23">
      <c r="B31" s="8"/>
    </row>
    <row r="32" spans="1:23" ht="39">
      <c r="A32" s="1" t="s">
        <v>10</v>
      </c>
      <c r="B32" s="1" t="s">
        <v>9</v>
      </c>
      <c r="C32" s="1" t="s">
        <v>0</v>
      </c>
      <c r="D32" s="1" t="s">
        <v>1</v>
      </c>
      <c r="E32" s="1" t="s">
        <v>2</v>
      </c>
      <c r="F32" s="1" t="s">
        <v>3</v>
      </c>
      <c r="G32" s="1" t="s">
        <v>4</v>
      </c>
      <c r="I32" s="1" t="s">
        <v>11</v>
      </c>
      <c r="J32" s="1" t="s">
        <v>9</v>
      </c>
      <c r="K32" s="1" t="s">
        <v>0</v>
      </c>
      <c r="L32" s="1" t="s">
        <v>1</v>
      </c>
      <c r="M32" s="1" t="s">
        <v>2</v>
      </c>
      <c r="N32" s="1" t="s">
        <v>3</v>
      </c>
      <c r="O32" s="1" t="s">
        <v>4</v>
      </c>
      <c r="Q32" s="1" t="s">
        <v>12</v>
      </c>
      <c r="R32" s="1" t="s">
        <v>9</v>
      </c>
      <c r="S32" s="1" t="s">
        <v>0</v>
      </c>
      <c r="T32" s="1" t="s">
        <v>1</v>
      </c>
      <c r="U32" s="1" t="s">
        <v>2</v>
      </c>
      <c r="V32" s="1" t="s">
        <v>3</v>
      </c>
      <c r="W32" s="1" t="s">
        <v>4</v>
      </c>
    </row>
    <row r="33" spans="1:23" ht="26">
      <c r="A33" s="1" t="s">
        <v>5</v>
      </c>
      <c r="B33" s="9"/>
      <c r="C33" s="1"/>
      <c r="D33" s="1"/>
      <c r="E33" s="1"/>
      <c r="F33" s="1"/>
      <c r="G33" s="1"/>
      <c r="I33" s="1" t="s">
        <v>5</v>
      </c>
      <c r="J33" s="9"/>
      <c r="K33" s="1"/>
      <c r="L33" s="1"/>
      <c r="M33" s="1"/>
      <c r="N33" s="1"/>
      <c r="O33" s="1"/>
      <c r="Q33" s="1" t="s">
        <v>5</v>
      </c>
      <c r="R33" s="9"/>
      <c r="S33" s="1"/>
      <c r="T33" s="1"/>
      <c r="U33" s="1"/>
      <c r="V33" s="1"/>
      <c r="W33" s="1"/>
    </row>
    <row r="34" spans="1:23">
      <c r="A34" s="1">
        <v>1</v>
      </c>
      <c r="B34" s="7">
        <v>7.9299999999999995E-2</v>
      </c>
      <c r="C34" s="2">
        <v>677.26499999999999</v>
      </c>
      <c r="D34" s="2">
        <v>65</v>
      </c>
      <c r="E34" s="2">
        <v>10.419461999999999</v>
      </c>
      <c r="F34" s="2">
        <v>8.2835940000000008</v>
      </c>
      <c r="G34" s="2">
        <v>6.5806E-8</v>
      </c>
      <c r="I34" s="1">
        <v>1</v>
      </c>
      <c r="J34" s="7">
        <v>7.9299999999999995E-2</v>
      </c>
      <c r="K34" s="2">
        <v>51899.985000000001</v>
      </c>
      <c r="L34" s="2">
        <v>75</v>
      </c>
      <c r="M34" s="2">
        <v>691.99980000000005</v>
      </c>
      <c r="N34" s="2">
        <v>81.663264999999996</v>
      </c>
      <c r="O34" s="2">
        <v>9.4296579999999999</v>
      </c>
      <c r="Q34" s="1">
        <v>1</v>
      </c>
      <c r="R34" s="7">
        <v>7.9299999999999995E-2</v>
      </c>
      <c r="S34">
        <v>1458.0909999999999</v>
      </c>
      <c r="T34">
        <v>80</v>
      </c>
      <c r="U34">
        <v>18.226137999999999</v>
      </c>
      <c r="V34">
        <v>12.761842</v>
      </c>
      <c r="W34">
        <v>2.915959</v>
      </c>
    </row>
    <row r="35" spans="1:23">
      <c r="A35" s="1">
        <v>2</v>
      </c>
      <c r="B35" s="7">
        <v>6.1600000000000002E-2</v>
      </c>
      <c r="C35" s="2">
        <v>32.441000000000003</v>
      </c>
      <c r="D35" s="2">
        <v>67</v>
      </c>
      <c r="E35" s="2">
        <v>4.84194E-7</v>
      </c>
      <c r="F35" s="2">
        <v>4.7274100000000001E-7</v>
      </c>
      <c r="G35" s="2">
        <v>3.1519999999999999E-9</v>
      </c>
      <c r="I35" s="1">
        <v>2</v>
      </c>
      <c r="J35" s="7">
        <v>6.1600000000000002E-2</v>
      </c>
      <c r="K35" s="2">
        <v>19.242000000000001</v>
      </c>
      <c r="L35" s="2">
        <v>71</v>
      </c>
      <c r="M35" s="2">
        <v>2.7101399999999999E-7</v>
      </c>
      <c r="N35" s="2">
        <v>5.6140199999999999E-7</v>
      </c>
      <c r="O35" s="2">
        <v>3.4959999999999999E-9</v>
      </c>
      <c r="Q35" s="1">
        <v>2</v>
      </c>
      <c r="R35" s="7">
        <v>6.1600000000000002E-2</v>
      </c>
      <c r="S35">
        <v>39.311</v>
      </c>
      <c r="T35">
        <v>69</v>
      </c>
      <c r="U35">
        <v>5.6972500000000008E-7</v>
      </c>
      <c r="V35">
        <v>4.7860000000000006E-7</v>
      </c>
      <c r="W35">
        <v>7.8616000000000007E-8</v>
      </c>
    </row>
    <row r="36" spans="1:23">
      <c r="A36" s="1">
        <v>3</v>
      </c>
      <c r="B36" s="7">
        <v>9.0300000000000005E-2</v>
      </c>
      <c r="C36" s="2">
        <v>24951.17</v>
      </c>
      <c r="D36" s="2">
        <v>98</v>
      </c>
      <c r="E36" s="2">
        <v>254.60377600000001</v>
      </c>
      <c r="F36" s="2">
        <v>356.67767199999997</v>
      </c>
      <c r="G36" s="2">
        <v>2.4243700000000001</v>
      </c>
      <c r="I36" s="1">
        <v>3</v>
      </c>
      <c r="J36" s="7">
        <v>9.0300000000000005E-2</v>
      </c>
      <c r="K36" s="2">
        <v>1580.1959999999999</v>
      </c>
      <c r="L36" s="2">
        <v>100</v>
      </c>
      <c r="M36" s="2">
        <v>15.801959999999999</v>
      </c>
      <c r="N36" s="2">
        <v>15.437245000000001</v>
      </c>
      <c r="O36" s="2">
        <v>2.8710400000000003E-7</v>
      </c>
      <c r="Q36" s="1">
        <v>3</v>
      </c>
      <c r="R36" s="7">
        <v>9.0300000000000005E-2</v>
      </c>
      <c r="S36">
        <v>12340.065000000001</v>
      </c>
      <c r="T36">
        <v>115</v>
      </c>
      <c r="U36">
        <v>107.304913</v>
      </c>
      <c r="V36">
        <v>145.87512699999999</v>
      </c>
      <c r="W36">
        <v>24.678239000000001</v>
      </c>
    </row>
    <row r="37" spans="1:23">
      <c r="A37" s="1">
        <v>4</v>
      </c>
      <c r="B37" s="7">
        <v>7.6700000000000004E-2</v>
      </c>
      <c r="C37" s="2">
        <v>82973.376999999993</v>
      </c>
      <c r="D37" s="2">
        <v>84</v>
      </c>
      <c r="E37" s="2">
        <v>987.77829799999995</v>
      </c>
      <c r="F37" s="2">
        <v>334.42307799999998</v>
      </c>
      <c r="G37" s="2">
        <v>8.0620729999999998</v>
      </c>
      <c r="I37" s="1">
        <v>4</v>
      </c>
      <c r="J37" s="7">
        <v>7.6700000000000004E-2</v>
      </c>
      <c r="K37" s="2">
        <v>23499.771000000001</v>
      </c>
      <c r="L37" s="2">
        <v>79</v>
      </c>
      <c r="M37" s="2">
        <v>297.46545600000002</v>
      </c>
      <c r="N37" s="2">
        <v>671.28152599999999</v>
      </c>
      <c r="O37" s="2">
        <v>4.2696509999999996</v>
      </c>
      <c r="Q37" s="1">
        <v>4</v>
      </c>
      <c r="R37" s="7">
        <v>7.6700000000000004E-2</v>
      </c>
      <c r="S37">
        <v>521.71600000000001</v>
      </c>
      <c r="T37">
        <v>75</v>
      </c>
      <c r="U37">
        <v>6.956213</v>
      </c>
      <c r="V37">
        <v>14.32982</v>
      </c>
      <c r="W37">
        <v>1.0433520000000001</v>
      </c>
    </row>
    <row r="38" spans="1:23">
      <c r="A38" s="1">
        <v>5</v>
      </c>
      <c r="B38" s="7">
        <v>1.4200000000000001E-2</v>
      </c>
      <c r="C38" s="2">
        <v>4.08E-4</v>
      </c>
      <c r="D38" s="2">
        <v>14</v>
      </c>
      <c r="E38" s="2">
        <v>2.9142999999999998E-8</v>
      </c>
      <c r="F38" s="2">
        <v>5.5589999999999995E-9</v>
      </c>
      <c r="G38" s="2">
        <v>4.0000000000000004E-11</v>
      </c>
      <c r="I38" s="1">
        <v>5</v>
      </c>
      <c r="J38" s="7">
        <v>1.4200000000000001E-2</v>
      </c>
      <c r="K38" s="2">
        <v>3.8500000000000003E-4</v>
      </c>
      <c r="L38" s="2">
        <v>13</v>
      </c>
      <c r="M38" s="2">
        <v>2.9614999999999998E-8</v>
      </c>
      <c r="N38" s="2">
        <v>8.5880000000000005E-9</v>
      </c>
      <c r="O38" s="2">
        <v>6.9999999999999991E-11</v>
      </c>
      <c r="Q38" s="1">
        <v>5</v>
      </c>
      <c r="R38" s="7">
        <v>1.4200000000000001E-2</v>
      </c>
      <c r="S38">
        <v>4.7399999999999997E-4</v>
      </c>
      <c r="T38">
        <v>16</v>
      </c>
      <c r="U38">
        <v>2.9624999999999999E-8</v>
      </c>
      <c r="V38">
        <v>2.3799E-8</v>
      </c>
      <c r="W38">
        <v>9.4800000000000004E-10</v>
      </c>
    </row>
    <row r="39" spans="1:23">
      <c r="A39" s="1">
        <v>6</v>
      </c>
      <c r="B39" s="7">
        <v>0.38009999999999999</v>
      </c>
      <c r="C39" s="2">
        <v>54.573999999999998</v>
      </c>
      <c r="D39" s="2">
        <v>415</v>
      </c>
      <c r="E39" s="2">
        <v>1.3150400000000001E-7</v>
      </c>
      <c r="F39" s="2">
        <v>1.1376899999999999E-7</v>
      </c>
      <c r="G39" s="2">
        <v>5.3030000000000004E-9</v>
      </c>
      <c r="I39" s="1">
        <v>6</v>
      </c>
      <c r="J39" s="7">
        <v>0.38009999999999999</v>
      </c>
      <c r="K39" s="2">
        <v>70.576999999999998</v>
      </c>
      <c r="L39" s="2">
        <v>389</v>
      </c>
      <c r="M39" s="2">
        <v>1.8143200000000001E-7</v>
      </c>
      <c r="N39" s="2">
        <v>1.6826E-7</v>
      </c>
      <c r="O39" s="2">
        <v>1.2823E-8</v>
      </c>
      <c r="Q39" s="1">
        <v>6</v>
      </c>
      <c r="R39" s="7">
        <v>0.38009999999999999</v>
      </c>
      <c r="S39">
        <v>83.435000000000002</v>
      </c>
      <c r="T39">
        <v>390</v>
      </c>
      <c r="U39">
        <v>2.1393599999999999E-7</v>
      </c>
      <c r="V39">
        <v>1.78529E-7</v>
      </c>
      <c r="W39">
        <v>1.66857E-7</v>
      </c>
    </row>
    <row r="40" spans="1:23">
      <c r="A40" s="1">
        <v>7</v>
      </c>
      <c r="B40" s="7">
        <v>4.53E-2</v>
      </c>
      <c r="C40" s="2">
        <v>772960.27500000002</v>
      </c>
      <c r="D40" s="2">
        <v>40</v>
      </c>
      <c r="E40" s="2">
        <v>19324.006874999999</v>
      </c>
      <c r="F40" s="2">
        <v>7442.785758</v>
      </c>
      <c r="G40" s="2">
        <v>75.104356999999993</v>
      </c>
      <c r="I40" s="1">
        <v>7</v>
      </c>
      <c r="J40" s="7">
        <v>4.53E-2</v>
      </c>
      <c r="K40" s="2">
        <v>358213.60700000002</v>
      </c>
      <c r="L40" s="2">
        <v>53</v>
      </c>
      <c r="M40" s="2">
        <v>6758.7473019999998</v>
      </c>
      <c r="N40" s="2">
        <v>2403.9389409999999</v>
      </c>
      <c r="O40" s="2">
        <v>65.083482000000004</v>
      </c>
      <c r="Q40" s="1">
        <v>7</v>
      </c>
      <c r="R40" s="7">
        <v>4.53E-2</v>
      </c>
      <c r="S40">
        <v>18131.53</v>
      </c>
      <c r="T40">
        <v>48</v>
      </c>
      <c r="U40">
        <v>377.740208</v>
      </c>
      <c r="V40">
        <v>782.17475400000001</v>
      </c>
      <c r="W40">
        <v>36.260280999999999</v>
      </c>
    </row>
    <row r="41" spans="1:23">
      <c r="A41" s="1">
        <v>8</v>
      </c>
      <c r="B41" s="7">
        <v>8.2000000000000003E-2</v>
      </c>
      <c r="C41" s="2">
        <v>11.648</v>
      </c>
      <c r="D41" s="2">
        <v>77</v>
      </c>
      <c r="E41" s="2">
        <v>1.5127299999999998E-7</v>
      </c>
      <c r="F41" s="2">
        <v>1.01089E-7</v>
      </c>
      <c r="G41" s="2">
        <v>1.132E-9</v>
      </c>
      <c r="I41" s="1">
        <v>8</v>
      </c>
      <c r="J41" s="7">
        <v>8.2000000000000003E-2</v>
      </c>
      <c r="K41" s="2">
        <v>13.765000000000001</v>
      </c>
      <c r="L41" s="2">
        <v>78</v>
      </c>
      <c r="M41" s="2">
        <v>1.76474E-7</v>
      </c>
      <c r="N41" s="2">
        <v>1.8353600000000001E-7</v>
      </c>
      <c r="O41" s="2">
        <v>2.5010000000000004E-9</v>
      </c>
      <c r="Q41" s="1">
        <v>8</v>
      </c>
      <c r="R41" s="7">
        <v>8.2000000000000003E-2</v>
      </c>
      <c r="S41">
        <v>15.606999999999999</v>
      </c>
      <c r="T41">
        <v>75</v>
      </c>
      <c r="U41">
        <v>2.0809300000000001E-7</v>
      </c>
      <c r="V41">
        <v>1.6196300000000001E-7</v>
      </c>
      <c r="W41">
        <v>3.1212000000000002E-8</v>
      </c>
    </row>
    <row r="42" spans="1:23">
      <c r="A42" s="1">
        <v>9</v>
      </c>
      <c r="B42" s="7">
        <v>6.1000000000000004E-3</v>
      </c>
      <c r="C42" s="2">
        <v>14899.731</v>
      </c>
      <c r="D42" s="2">
        <v>5</v>
      </c>
      <c r="E42" s="2">
        <v>2979.9461999999999</v>
      </c>
      <c r="F42" s="2">
        <v>728.64027799999997</v>
      </c>
      <c r="G42" s="2">
        <v>1.4477260000000001</v>
      </c>
      <c r="I42" s="1">
        <v>9</v>
      </c>
      <c r="J42" s="7">
        <v>6.1000000000000004E-3</v>
      </c>
      <c r="K42" s="2">
        <v>21543.946</v>
      </c>
      <c r="L42" s="2">
        <v>6</v>
      </c>
      <c r="M42" s="11">
        <v>3590.6576669999999</v>
      </c>
      <c r="N42" s="2">
        <v>1168.2414229999999</v>
      </c>
      <c r="O42" s="2">
        <v>3.9142990000000002</v>
      </c>
      <c r="Q42" s="1">
        <v>9</v>
      </c>
      <c r="R42" s="7">
        <v>6.1000000000000004E-3</v>
      </c>
      <c r="S42">
        <v>2542.0300000000002</v>
      </c>
      <c r="T42">
        <v>10</v>
      </c>
      <c r="U42" s="11">
        <v>254.203</v>
      </c>
      <c r="V42">
        <v>641.07768199999998</v>
      </c>
      <c r="W42">
        <v>5.0836699999999997</v>
      </c>
    </row>
    <row r="43" spans="1:23">
      <c r="A43" s="1">
        <v>10</v>
      </c>
      <c r="B43" s="7">
        <v>5.4999999999999997E-3</v>
      </c>
      <c r="C43" s="2">
        <v>12877.596</v>
      </c>
      <c r="D43" s="2">
        <v>5</v>
      </c>
      <c r="E43" s="2">
        <v>2575.5192000000002</v>
      </c>
      <c r="F43" s="2">
        <v>384.58791600000001</v>
      </c>
      <c r="G43" s="2">
        <v>1.2512460000000001</v>
      </c>
      <c r="I43" s="1">
        <v>10</v>
      </c>
      <c r="J43" s="7">
        <v>5.4999999999999997E-3</v>
      </c>
      <c r="K43" s="2">
        <v>16404.585999999999</v>
      </c>
      <c r="L43" s="2">
        <v>5</v>
      </c>
      <c r="M43" s="2">
        <v>3280.9171999999999</v>
      </c>
      <c r="N43" s="2">
        <v>964.41263900000001</v>
      </c>
      <c r="O43" s="2">
        <v>2.9805329999999999</v>
      </c>
      <c r="Q43" s="1">
        <v>10</v>
      </c>
      <c r="R43" s="7">
        <v>5.4999999999999997E-3</v>
      </c>
      <c r="S43">
        <v>158.011</v>
      </c>
      <c r="T43">
        <v>4</v>
      </c>
      <c r="U43">
        <v>39.502749999999999</v>
      </c>
      <c r="V43">
        <v>16.667940000000002</v>
      </c>
      <c r="W43">
        <v>3.1599800000000002E-7</v>
      </c>
    </row>
    <row r="44" spans="1:23">
      <c r="A44" s="1">
        <v>11</v>
      </c>
      <c r="B44" s="7">
        <v>9.7000000000000003E-3</v>
      </c>
      <c r="C44" s="2">
        <v>22784.842000000001</v>
      </c>
      <c r="D44" s="2">
        <v>14</v>
      </c>
      <c r="E44" s="2">
        <v>1627.4887140000001</v>
      </c>
      <c r="F44" s="2">
        <v>20.023875</v>
      </c>
      <c r="G44" s="2">
        <v>2.2138789999999999</v>
      </c>
      <c r="I44" s="1">
        <v>11</v>
      </c>
      <c r="J44" s="7">
        <v>9.7000000000000003E-3</v>
      </c>
      <c r="K44" s="2">
        <v>7472.25</v>
      </c>
      <c r="L44" s="2">
        <v>9</v>
      </c>
      <c r="M44" s="2">
        <v>830.25</v>
      </c>
      <c r="N44" s="2">
        <v>19.940591999999999</v>
      </c>
      <c r="O44" s="2">
        <v>1.357626</v>
      </c>
      <c r="Q44" s="1">
        <v>11</v>
      </c>
      <c r="R44" s="7">
        <v>9.7000000000000003E-3</v>
      </c>
      <c r="S44">
        <v>80.415000000000006</v>
      </c>
      <c r="T44">
        <v>7</v>
      </c>
      <c r="U44">
        <v>11.487857</v>
      </c>
      <c r="V44">
        <v>6.2657980000000002</v>
      </c>
      <c r="W44">
        <v>1.6081799999999998E-7</v>
      </c>
    </row>
    <row r="45" spans="1:23">
      <c r="A45" s="1">
        <v>12</v>
      </c>
      <c r="B45" s="7">
        <v>6.1999999999999998E-3</v>
      </c>
      <c r="C45" s="2">
        <v>31841.401000000002</v>
      </c>
      <c r="D45" s="2">
        <v>9</v>
      </c>
      <c r="E45" s="2">
        <v>3537.9334439999998</v>
      </c>
      <c r="F45" s="2">
        <v>1013.381292</v>
      </c>
      <c r="G45" s="2">
        <v>3.0938560000000002</v>
      </c>
      <c r="I45" s="1">
        <v>12</v>
      </c>
      <c r="J45" s="7">
        <v>6.1999999999999998E-3</v>
      </c>
      <c r="K45" s="2">
        <v>39964.139000000003</v>
      </c>
      <c r="L45" s="2">
        <v>9</v>
      </c>
      <c r="M45" s="2">
        <v>4440.4598889999997</v>
      </c>
      <c r="N45" s="2">
        <v>740.67542700000001</v>
      </c>
      <c r="O45" s="2">
        <v>7.2610460000000003</v>
      </c>
      <c r="Q45" s="1">
        <v>12</v>
      </c>
      <c r="R45" s="7">
        <v>6.1999999999999998E-3</v>
      </c>
      <c r="S45">
        <v>490.41699999999997</v>
      </c>
      <c r="T45">
        <v>6</v>
      </c>
      <c r="U45">
        <v>81.736166999999995</v>
      </c>
      <c r="V45">
        <v>12.606175</v>
      </c>
      <c r="W45">
        <v>9.8075900000000013E-7</v>
      </c>
    </row>
    <row r="46" spans="1:23">
      <c r="A46" s="1">
        <v>13</v>
      </c>
      <c r="B46" s="7">
        <v>6.1000000000000004E-3</v>
      </c>
      <c r="C46" s="2">
        <v>65032.997000000003</v>
      </c>
      <c r="D46" s="2">
        <v>5</v>
      </c>
      <c r="E46" s="2">
        <v>13006.599399999999</v>
      </c>
      <c r="F46" s="2">
        <v>2386.8109669999999</v>
      </c>
      <c r="G46" s="2">
        <v>6.3189039999999999</v>
      </c>
      <c r="I46" s="1">
        <v>13</v>
      </c>
      <c r="J46" s="7">
        <v>6.1000000000000004E-3</v>
      </c>
      <c r="K46" s="2">
        <v>29524.234</v>
      </c>
      <c r="L46" s="2">
        <v>6</v>
      </c>
      <c r="M46" s="2">
        <v>4920.7056670000002</v>
      </c>
      <c r="N46" s="2">
        <v>1076.259916</v>
      </c>
      <c r="O46" s="2">
        <v>5.3642289999999999</v>
      </c>
      <c r="Q46" s="1">
        <v>13</v>
      </c>
      <c r="R46" s="7">
        <v>6.1000000000000004E-3</v>
      </c>
      <c r="S46">
        <v>14125.422</v>
      </c>
      <c r="T46">
        <v>6</v>
      </c>
      <c r="U46">
        <v>2354.2370000000001</v>
      </c>
      <c r="V46">
        <v>2714.4491750000002</v>
      </c>
      <c r="W46">
        <v>28.248678999999999</v>
      </c>
    </row>
    <row r="47" spans="1:23">
      <c r="A47" s="1">
        <v>14</v>
      </c>
      <c r="B47" s="7">
        <v>1.6199999999999999E-2</v>
      </c>
      <c r="C47" s="2">
        <v>75.962999999999994</v>
      </c>
      <c r="D47" s="2">
        <v>15</v>
      </c>
      <c r="E47" s="2">
        <v>5.0641999999999996</v>
      </c>
      <c r="F47" s="2">
        <v>3.7441529999999998</v>
      </c>
      <c r="G47" s="2">
        <v>7.3810000000000001E-9</v>
      </c>
      <c r="I47" s="1">
        <v>14</v>
      </c>
      <c r="J47" s="7">
        <v>1.6199999999999999E-2</v>
      </c>
      <c r="K47" s="2">
        <v>176.43100000000001</v>
      </c>
      <c r="L47" s="2">
        <v>32</v>
      </c>
      <c r="M47" s="2">
        <v>5.5134689999999997</v>
      </c>
      <c r="N47" s="2">
        <v>5.4869279999999998</v>
      </c>
      <c r="O47" s="2">
        <v>3.2055999999999999E-8</v>
      </c>
      <c r="Q47" s="1">
        <v>14</v>
      </c>
      <c r="R47" s="7">
        <v>1.6199999999999999E-2</v>
      </c>
      <c r="S47">
        <v>9.8469999999999995</v>
      </c>
      <c r="T47">
        <v>14</v>
      </c>
      <c r="U47">
        <v>7.0335699999999999E-7</v>
      </c>
      <c r="V47">
        <v>1.298154</v>
      </c>
      <c r="W47">
        <v>1.9692000000000002E-8</v>
      </c>
    </row>
    <row r="48" spans="1:23">
      <c r="A48" s="1">
        <v>15</v>
      </c>
      <c r="B48" s="7">
        <v>7.6899999999999996E-2</v>
      </c>
      <c r="C48" s="2">
        <v>7.9880000000000004</v>
      </c>
      <c r="D48" s="2">
        <v>87</v>
      </c>
      <c r="E48" s="2">
        <v>9.1815999999999993E-8</v>
      </c>
      <c r="F48" s="2">
        <v>5.0472999999999998E-8</v>
      </c>
      <c r="G48" s="2">
        <v>7.7600000000000001E-10</v>
      </c>
      <c r="I48" s="1">
        <v>15</v>
      </c>
      <c r="J48" s="7">
        <v>7.6899999999999996E-2</v>
      </c>
      <c r="K48" s="2">
        <v>7.8540000000000001</v>
      </c>
      <c r="L48" s="2">
        <v>75</v>
      </c>
      <c r="M48" s="2">
        <v>1.0471999999999999E-7</v>
      </c>
      <c r="N48" s="2">
        <v>7.9217000000000001E-8</v>
      </c>
      <c r="O48" s="2">
        <v>1.4270000000000001E-9</v>
      </c>
      <c r="Q48" s="1">
        <v>15</v>
      </c>
      <c r="R48" s="7">
        <v>7.6899999999999996E-2</v>
      </c>
      <c r="S48">
        <v>7.4610000000000003</v>
      </c>
      <c r="T48">
        <v>85</v>
      </c>
      <c r="U48">
        <v>8.7776000000000005E-8</v>
      </c>
      <c r="V48">
        <v>6.4220000000000002E-8</v>
      </c>
      <c r="W48">
        <v>1.4921000000000002E-8</v>
      </c>
    </row>
    <row r="49" spans="5:21">
      <c r="E49" s="10">
        <f>SUMPRODUCT(B34:B48,E34:E48)</f>
        <v>1124.4442429817898</v>
      </c>
      <c r="M49" s="10">
        <f>SUMPRODUCT(J40:J48,M40:M48)</f>
        <v>411.80920825012385</v>
      </c>
      <c r="U49" s="10">
        <f>SUMPRODUCT(R40:R48,U40:U48)</f>
        <v>33.858577030907981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FD56F6-0B6F-48F2-BBBB-E0CC77A83875}">
  <dimension ref="A1:O26"/>
  <sheetViews>
    <sheetView tabSelected="1" zoomScale="130" zoomScaleNormal="130" workbookViewId="0">
      <selection activeCell="K34" sqref="K34"/>
    </sheetView>
  </sheetViews>
  <sheetFormatPr defaultRowHeight="14"/>
  <cols>
    <col min="1" max="1" width="15.5" style="12" bestFit="1" customWidth="1"/>
    <col min="2" max="2" width="12.1640625" style="12" bestFit="1" customWidth="1"/>
    <col min="3" max="3" width="13.9140625" style="12" bestFit="1" customWidth="1"/>
    <col min="4" max="4" width="15.1640625" style="12" customWidth="1"/>
    <col min="5" max="5" width="3" style="20" customWidth="1"/>
    <col min="6" max="6" width="14" style="12" bestFit="1" customWidth="1"/>
    <col min="7" max="7" width="15" style="12" customWidth="1"/>
    <col min="8" max="8" width="14.6640625" style="12" bestFit="1" customWidth="1"/>
    <col min="9" max="9" width="13.5" style="12" customWidth="1"/>
    <col min="10" max="10" width="3.1640625" style="20" customWidth="1"/>
    <col min="11" max="11" width="22.1640625" style="12" bestFit="1" customWidth="1"/>
    <col min="12" max="12" width="11.1640625" style="12" bestFit="1" customWidth="1"/>
    <col min="13" max="13" width="11.25" style="12" bestFit="1" customWidth="1"/>
    <col min="14" max="15" width="9.25" style="12" bestFit="1" customWidth="1"/>
    <col min="16" max="16" width="21.25" style="12" bestFit="1" customWidth="1"/>
    <col min="17" max="17" width="11.1640625" style="12" bestFit="1" customWidth="1"/>
    <col min="18" max="18" width="11.25" style="12" bestFit="1" customWidth="1"/>
    <col min="19" max="20" width="9.25" style="12" bestFit="1" customWidth="1"/>
    <col min="21" max="16384" width="8.6640625" style="12"/>
  </cols>
  <sheetData>
    <row r="1" spans="1:15" ht="28">
      <c r="A1" s="13" t="s">
        <v>22</v>
      </c>
      <c r="C1" s="21" t="s">
        <v>13</v>
      </c>
      <c r="D1" s="25" t="s">
        <v>35</v>
      </c>
      <c r="E1" s="27"/>
    </row>
    <row r="2" spans="1:15">
      <c r="A2" s="12" t="s">
        <v>23</v>
      </c>
      <c r="C2" s="12">
        <v>10000</v>
      </c>
      <c r="D2" s="12">
        <v>50333</v>
      </c>
    </row>
    <row r="3" spans="1:15">
      <c r="A3" s="12" t="s">
        <v>24</v>
      </c>
      <c r="C3" s="12">
        <v>10000</v>
      </c>
      <c r="D3" s="12">
        <v>1489126</v>
      </c>
    </row>
    <row r="4" spans="1:15">
      <c r="A4" s="12" t="s">
        <v>25</v>
      </c>
      <c r="C4" s="12">
        <v>10000</v>
      </c>
      <c r="D4" s="12">
        <v>3623390</v>
      </c>
    </row>
    <row r="6" spans="1:15" ht="42">
      <c r="A6" s="13" t="s">
        <v>36</v>
      </c>
      <c r="B6" s="13" t="s">
        <v>16</v>
      </c>
      <c r="C6" s="13" t="s">
        <v>39</v>
      </c>
      <c r="D6" s="13" t="s">
        <v>38</v>
      </c>
      <c r="E6" s="27"/>
      <c r="F6" s="13" t="s">
        <v>40</v>
      </c>
      <c r="G6" s="13" t="s">
        <v>41</v>
      </c>
      <c r="K6" s="13" t="s">
        <v>44</v>
      </c>
      <c r="L6" s="13" t="s">
        <v>31</v>
      </c>
      <c r="M6" s="13" t="s">
        <v>32</v>
      </c>
      <c r="N6" s="13" t="s">
        <v>33</v>
      </c>
      <c r="O6" s="13" t="s">
        <v>34</v>
      </c>
    </row>
    <row r="7" spans="1:15">
      <c r="A7" s="12" t="s">
        <v>14</v>
      </c>
      <c r="B7" s="14">
        <f>'Query 2x'!E30</f>
        <v>1.2791439821791011</v>
      </c>
      <c r="C7" s="22">
        <f>$B7*C$3/1000</f>
        <v>12.791439821791011</v>
      </c>
      <c r="D7" s="24">
        <f>$B7*D$3/1000</f>
        <v>1904.8065616064359</v>
      </c>
      <c r="E7" s="28"/>
      <c r="F7" s="23">
        <f>C7/60</f>
        <v>0.21319066369651685</v>
      </c>
      <c r="G7" s="26">
        <f>D7/60</f>
        <v>31.746776026773933</v>
      </c>
      <c r="H7" s="16"/>
      <c r="I7" s="16"/>
      <c r="J7" s="29"/>
    </row>
    <row r="8" spans="1:15">
      <c r="A8" s="12" t="s">
        <v>15</v>
      </c>
      <c r="B8" s="14">
        <f>'Query 2x'!M30</f>
        <v>1.2342401500544486</v>
      </c>
      <c r="C8" s="22">
        <f>$B8*C$3/1000</f>
        <v>12.342401500544486</v>
      </c>
      <c r="D8" s="24">
        <f>$B8*D$3/1000</f>
        <v>1837.9390976899808</v>
      </c>
      <c r="E8" s="28"/>
      <c r="F8" s="23">
        <f>C8/60</f>
        <v>0.20570669167574143</v>
      </c>
      <c r="G8" s="26">
        <f>D8/60</f>
        <v>30.632318294833013</v>
      </c>
      <c r="H8" s="16"/>
      <c r="I8" s="16"/>
      <c r="J8" s="29"/>
      <c r="K8" s="12">
        <v>127.1</v>
      </c>
      <c r="L8" s="17">
        <f>K8*$D$24</f>
        <v>782300.5</v>
      </c>
      <c r="M8" s="15">
        <f>L8/60</f>
        <v>13038.341666666667</v>
      </c>
      <c r="N8" s="15">
        <f>M8/60</f>
        <v>217.30569444444444</v>
      </c>
      <c r="O8" s="15">
        <f>N8/24</f>
        <v>9.054403935185185</v>
      </c>
    </row>
    <row r="10" spans="1:15" ht="42">
      <c r="A10" s="13" t="s">
        <v>37</v>
      </c>
      <c r="B10" s="13" t="s">
        <v>16</v>
      </c>
      <c r="C10" s="13" t="s">
        <v>39</v>
      </c>
      <c r="D10" s="13" t="s">
        <v>38</v>
      </c>
      <c r="E10" s="27"/>
      <c r="F10" s="13" t="s">
        <v>40</v>
      </c>
      <c r="G10" s="13" t="s">
        <v>41</v>
      </c>
      <c r="H10" s="13" t="s">
        <v>42</v>
      </c>
      <c r="I10" s="13" t="s">
        <v>43</v>
      </c>
      <c r="J10" s="27"/>
      <c r="K10" s="13" t="s">
        <v>45</v>
      </c>
      <c r="L10" s="13" t="s">
        <v>31</v>
      </c>
      <c r="M10" s="13" t="s">
        <v>32</v>
      </c>
      <c r="N10" s="13" t="s">
        <v>33</v>
      </c>
      <c r="O10" s="13" t="s">
        <v>34</v>
      </c>
    </row>
    <row r="11" spans="1:15">
      <c r="A11" s="12" t="s">
        <v>17</v>
      </c>
      <c r="B11" s="14">
        <f>'Query 2x'!E49</f>
        <v>1124.4442429817898</v>
      </c>
      <c r="C11" s="22">
        <f>$B11*C$4/1000</f>
        <v>11244.442429817898</v>
      </c>
      <c r="D11" s="24">
        <f>$B11*D$4/1000</f>
        <v>4074300.0255777873</v>
      </c>
      <c r="E11" s="28"/>
      <c r="F11" s="23">
        <f>C11/60</f>
        <v>187.4073738302983</v>
      </c>
      <c r="G11" s="26">
        <f>D11/60</f>
        <v>67905.00042629645</v>
      </c>
      <c r="H11" s="26">
        <f>G11/60</f>
        <v>1131.7500071049408</v>
      </c>
      <c r="I11" s="26">
        <f>H11/24</f>
        <v>47.156250296039197</v>
      </c>
      <c r="J11" s="29"/>
      <c r="K11" s="18"/>
      <c r="L11" s="18"/>
      <c r="M11" s="18"/>
      <c r="N11" s="18"/>
      <c r="O11" s="18"/>
    </row>
    <row r="12" spans="1:15">
      <c r="A12" s="12" t="s">
        <v>18</v>
      </c>
      <c r="B12" s="14">
        <f>'Query 2x'!M49</f>
        <v>411.80920825012385</v>
      </c>
      <c r="C12" s="22">
        <f t="shared" ref="C12:D13" si="0">$B12*C$4/1000</f>
        <v>4118.092082501239</v>
      </c>
      <c r="D12" s="24">
        <f t="shared" si="0"/>
        <v>1492145.3670814161</v>
      </c>
      <c r="E12" s="28"/>
      <c r="F12" s="23">
        <f t="shared" ref="F12:G13" si="1">C12/60</f>
        <v>68.634868041687312</v>
      </c>
      <c r="G12" s="26">
        <f t="shared" si="1"/>
        <v>24869.089451356933</v>
      </c>
      <c r="H12" s="26">
        <f t="shared" ref="H12:H13" si="2">G12/60</f>
        <v>414.48482418928222</v>
      </c>
      <c r="I12" s="26">
        <f>H12/24</f>
        <v>17.270201007886758</v>
      </c>
      <c r="J12" s="29"/>
      <c r="K12" s="18"/>
      <c r="L12" s="18"/>
      <c r="M12" s="18"/>
      <c r="N12" s="18"/>
      <c r="O12" s="18"/>
    </row>
    <row r="13" spans="1:15">
      <c r="A13" s="12" t="s">
        <v>19</v>
      </c>
      <c r="B13" s="14">
        <f>'Query 2x'!U49</f>
        <v>33.858577030907981</v>
      </c>
      <c r="C13" s="22">
        <f t="shared" si="0"/>
        <v>338.58577030907981</v>
      </c>
      <c r="D13" s="24">
        <f t="shared" si="0"/>
        <v>122682.82942802167</v>
      </c>
      <c r="E13" s="28"/>
      <c r="F13" s="23">
        <f t="shared" si="1"/>
        <v>5.6430961718179971</v>
      </c>
      <c r="G13" s="26">
        <f t="shared" si="1"/>
        <v>2044.7138238003611</v>
      </c>
      <c r="H13" s="26">
        <f t="shared" si="2"/>
        <v>34.078563730006017</v>
      </c>
      <c r="I13" s="26">
        <f>H13/24</f>
        <v>1.4199401554169173</v>
      </c>
      <c r="J13" s="29"/>
      <c r="K13" s="19">
        <v>233.3</v>
      </c>
      <c r="L13" s="17">
        <f>K13*$D$24</f>
        <v>1435961.5</v>
      </c>
      <c r="M13" s="15">
        <f>L13/60</f>
        <v>23932.691666666666</v>
      </c>
      <c r="N13" s="15">
        <f>M13/60</f>
        <v>398.87819444444443</v>
      </c>
      <c r="O13" s="15">
        <f>N13/24</f>
        <v>16.619924768518519</v>
      </c>
    </row>
    <row r="23" spans="1:7">
      <c r="A23" s="13" t="s">
        <v>26</v>
      </c>
      <c r="B23" s="13" t="s">
        <v>27</v>
      </c>
      <c r="C23" s="13" t="s">
        <v>28</v>
      </c>
      <c r="D23" s="13" t="s">
        <v>29</v>
      </c>
      <c r="E23" s="27"/>
      <c r="G23" s="13"/>
    </row>
    <row r="24" spans="1:7">
      <c r="A24" s="12" t="s">
        <v>30</v>
      </c>
      <c r="B24" s="12">
        <v>1231000000</v>
      </c>
      <c r="C24" s="12">
        <v>200000</v>
      </c>
      <c r="D24" s="17">
        <f>B24/C24</f>
        <v>6155</v>
      </c>
      <c r="G24" s="20"/>
    </row>
    <row r="26" spans="1:7">
      <c r="B26" s="20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4</vt:i4>
      </vt:variant>
    </vt:vector>
  </HeadingPairs>
  <TitlesOfParts>
    <vt:vector size="4" baseType="lpstr">
      <vt:lpstr>Query 1x</vt:lpstr>
      <vt:lpstr>Mig 1x</vt:lpstr>
      <vt:lpstr>Query 2x</vt:lpstr>
      <vt:lpstr>Mig 2x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Enrico Gallinucci</dc:creator>
  <cp:lastModifiedBy>Enrico Gallinucci</cp:lastModifiedBy>
  <dcterms:created xsi:type="dcterms:W3CDTF">2024-11-19T20:35:28Z</dcterms:created>
  <dcterms:modified xsi:type="dcterms:W3CDTF">2024-12-02T17:04:38Z</dcterms:modified>
</cp:coreProperties>
</file>