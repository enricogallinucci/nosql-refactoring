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759B97B1-1072-4E31-9E99-FEBD9BF9F8C7}" xr6:coauthVersionLast="47" xr6:coauthVersionMax="47" xr10:uidLastSave="{00000000-0000-0000-0000-000000000000}"/>
  <bookViews>
    <workbookView xWindow="-110" yWindow="-110" windowWidth="38620" windowHeight="21100" xr2:uid="{9DCFC8E8-6974-4295-BC43-7328B70AD73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1" l="1"/>
  <c r="E49" i="1"/>
  <c r="E30" i="1"/>
  <c r="E17" i="1"/>
  <c r="E8" i="1"/>
</calcChain>
</file>

<file path=xl/sharedStrings.xml><?xml version="1.0" encoding="utf-8"?>
<sst xmlns="http://schemas.openxmlformats.org/spreadsheetml/2006/main" count="40" uniqueCount="11">
  <si>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</si>
  <si>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</si>
  <si>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</si>
  <si>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</si>
  <si>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</si>
  <si>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</si>
  <si>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</si>
  <si>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</si>
  <si>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NaN</t>
  </si>
  <si>
    <t>2013 opt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</si>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</sst>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O49"/>
  <sheetViews>
    <sheetView tabSelected="1" zoomScaleNormal="100" workbookViewId="0">
      <selection activeCell="I32" sqref="I32"/>
    </sheetView>
  </sheetViews>
  <sheetFormatPr defaultColWidth="28.1640625" defaultRowHeight="14"/>
  <cols>
    <col min="1" max="1" width="14" bestFit="1" customWidth="1"/>
    <col min="2" max="2" width="6.25" bestFit="1" customWidth="1"/>
    <col min="3" max="3" width="18.83203125" bestFit="1" customWidth="1"/>
    <col min="4" max="4" width="14.83203125" bestFit="1" customWidth="1"/>
    <col min="5" max="5" width="19.25" bestFit="1" customWidth="1"/>
    <col min="6" max="6" width="21.58203125" bestFit="1" customWidth="1"/>
    <col min="7" max="7" width="24.1640625" bestFit="1" customWidth="1"/>
    <col min="8" max="8" width="14.75" customWidth="1"/>
    <col min="9" max="9" width="12.9140625" bestFit="1" customWidth="1"/>
    <col min="10" max="10" width="6.4140625" bestFit="1" customWidth="1"/>
    <col min="11" max="11" width="18.4140625" bestFit="1" customWidth="1"/>
    <col min="12" max="12" width="14.33203125" bestFit="1" customWidth="1"/>
    <col min="13" max="13" width="18.6640625" bestFit="1" customWidth="1"/>
    <col min="14" max="14" width="21.08203125" bestFit="1" customWidth="1"/>
    <col min="15" max="15" width="23.58203125" bestFit="1" customWidth="1"/>
  </cols>
  <sheetData>
    <row r="1" spans="1:7">
      <c r="A1" s="1">
        <v>2003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>
      <c r="A10" s="1" t="s">
        <v>6</v>
      </c>
      <c r="B10" s="1" t="s">
        <v>10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15">
      <c r="B17" s="8"/>
      <c r="E17" s="10">
        <f>SUMPRODUCT(B12:B16,E12:E16)</f>
        <v>7.5770482941999999</v>
      </c>
    </row>
    <row r="18" spans="1:15">
      <c r="B18" s="8"/>
    </row>
    <row r="19" spans="1:15">
      <c r="A19" s="1" t="s">
        <v>7</v>
      </c>
      <c r="B19" s="1" t="s">
        <v>10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9</v>
      </c>
      <c r="J19" s="1" t="s">
        <v>10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15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15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340.72300000000001</v>
      </c>
      <c r="L21" s="2">
        <v>205</v>
      </c>
      <c r="M21" s="2">
        <v>1.6620630000000001</v>
      </c>
      <c r="N21" s="2">
        <v>0.73398200000000002</v>
      </c>
      <c r="O21" s="2">
        <v>4.4111130000000003</v>
      </c>
    </row>
    <row r="22" spans="1:15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5327.8819999999996</v>
      </c>
      <c r="L22" s="2">
        <v>32</v>
      </c>
      <c r="M22" s="2">
        <v>166.49631199999999</v>
      </c>
      <c r="N22" s="2">
        <v>83.198025999999999</v>
      </c>
      <c r="O22" s="2">
        <v>68.976524999999995</v>
      </c>
    </row>
    <row r="23" spans="1:15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1707.26</v>
      </c>
      <c r="L23" s="2">
        <v>246</v>
      </c>
      <c r="M23" s="2">
        <v>6.9400810000000002</v>
      </c>
      <c r="N23" s="2">
        <v>3.6698840000000001</v>
      </c>
      <c r="O23" s="2">
        <v>22.102753</v>
      </c>
    </row>
    <row r="24" spans="1:15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4.5060000000000002</v>
      </c>
      <c r="L24" s="2">
        <v>104</v>
      </c>
      <c r="M24" s="2">
        <v>4.3326999999999997E-2</v>
      </c>
      <c r="N24" s="2">
        <v>2.3377999999999999E-2</v>
      </c>
      <c r="O24" s="2">
        <v>5.8335999999999999E-2</v>
      </c>
    </row>
    <row r="25" spans="1:15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5.4320000000000004</v>
      </c>
      <c r="L25" s="2">
        <v>93</v>
      </c>
      <c r="M25" s="2">
        <v>5.8409000000000003E-2</v>
      </c>
      <c r="N25" s="2">
        <v>3.8696000000000001E-2</v>
      </c>
      <c r="O25" s="2">
        <v>7.0323999999999998E-2</v>
      </c>
    </row>
    <row r="26" spans="1:15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24.638000000000002</v>
      </c>
      <c r="L26" s="2">
        <v>183</v>
      </c>
      <c r="M26" s="2">
        <v>0.134634</v>
      </c>
      <c r="N26" s="2">
        <v>0.130635</v>
      </c>
      <c r="O26" s="2">
        <v>0.31897199999999998</v>
      </c>
    </row>
    <row r="27" spans="1:15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2.3849999999999998</v>
      </c>
      <c r="L27" s="2">
        <v>48</v>
      </c>
      <c r="M27" s="2">
        <v>4.9687000000000002E-2</v>
      </c>
      <c r="N27" s="2">
        <v>2.5253999999999999E-2</v>
      </c>
      <c r="O27" s="2">
        <v>3.0877000000000002E-2</v>
      </c>
    </row>
    <row r="28" spans="1:15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2.0169999999999999</v>
      </c>
      <c r="L28" s="2">
        <v>41</v>
      </c>
      <c r="M28" s="2">
        <v>4.9195000000000003E-2</v>
      </c>
      <c r="N28" s="2">
        <v>2.2377999999999999E-2</v>
      </c>
      <c r="O28" s="2">
        <v>2.6113000000000001E-2</v>
      </c>
    </row>
    <row r="29" spans="1:15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309.35300000000001</v>
      </c>
      <c r="L29" s="2">
        <v>48</v>
      </c>
      <c r="M29" s="2">
        <v>6.4448540000000003</v>
      </c>
      <c r="N29" s="2">
        <v>3.0792039999999998</v>
      </c>
      <c r="O29" s="2">
        <v>4.0049859999999997</v>
      </c>
    </row>
    <row r="30" spans="1:15">
      <c r="B30" s="8"/>
      <c r="E30" s="10">
        <f>SUMPRODUCT(B21:B29,E21:E29)</f>
        <v>1.6589166424000004</v>
      </c>
      <c r="M30" s="10">
        <f>SUMPRODUCT(J21:J29,M21:M29)</f>
        <v>3.5707998029999999</v>
      </c>
    </row>
    <row r="31" spans="1:15">
      <c r="B31" s="8"/>
    </row>
    <row r="32" spans="1:15">
      <c r="A32" s="1" t="s">
        <v>7</v>
      </c>
      <c r="B32" s="1" t="s">
        <v>10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</row>
    <row r="33" spans="1:7">
      <c r="A33" s="1" t="s">
        <v>5</v>
      </c>
      <c r="B33" s="9"/>
      <c r="C33" s="1"/>
      <c r="D33" s="1"/>
      <c r="E33" s="1"/>
      <c r="F33" s="1"/>
      <c r="G33" s="1"/>
    </row>
    <row r="34" spans="1:7">
      <c r="A34" s="1">
        <v>1</v>
      </c>
      <c r="B34" s="7">
        <v>7.9299999999999995E-2</v>
      </c>
      <c r="C34" s="2">
        <v>738.88699999999994</v>
      </c>
      <c r="D34" s="2">
        <v>94</v>
      </c>
      <c r="E34" s="2">
        <v>7.8605</v>
      </c>
      <c r="F34" s="2">
        <v>5.7957970000000003</v>
      </c>
      <c r="G34" s="2">
        <v>0.13674900000000001</v>
      </c>
    </row>
    <row r="35" spans="1:7">
      <c r="A35" s="1">
        <v>2</v>
      </c>
      <c r="B35" s="7">
        <v>6.1600000000000002E-2</v>
      </c>
      <c r="C35" s="2">
        <v>66.319000000000003</v>
      </c>
      <c r="D35" s="2">
        <v>80</v>
      </c>
      <c r="E35" s="2">
        <v>0.82898700000000003</v>
      </c>
      <c r="F35" s="2">
        <v>1.0384059999999999</v>
      </c>
      <c r="G35" s="2">
        <v>1.2274E-2</v>
      </c>
    </row>
    <row r="36" spans="1:7">
      <c r="A36" s="1">
        <v>3</v>
      </c>
      <c r="B36" s="7">
        <v>9.0300000000000005E-2</v>
      </c>
      <c r="C36" s="2">
        <v>10324.712</v>
      </c>
      <c r="D36" s="2">
        <v>79</v>
      </c>
      <c r="E36" s="2">
        <v>130.69255699999999</v>
      </c>
      <c r="F36" s="2">
        <v>132.04952900000001</v>
      </c>
      <c r="G36" s="2">
        <v>1.910836</v>
      </c>
    </row>
    <row r="37" spans="1:7">
      <c r="A37" s="1">
        <v>4</v>
      </c>
      <c r="B37" s="7">
        <v>7.6700000000000004E-2</v>
      </c>
      <c r="C37" s="2">
        <v>41887.194000000003</v>
      </c>
      <c r="D37" s="2">
        <v>81</v>
      </c>
      <c r="E37" s="2">
        <v>517.12585200000001</v>
      </c>
      <c r="F37" s="2">
        <v>199.646749</v>
      </c>
      <c r="G37" s="2">
        <v>7.7522330000000004</v>
      </c>
    </row>
    <row r="38" spans="1:7">
      <c r="A38" s="1">
        <v>5</v>
      </c>
      <c r="B38" s="7">
        <v>1.4200000000000001E-2</v>
      </c>
      <c r="C38" s="2">
        <v>0.56499999999999995</v>
      </c>
      <c r="D38" s="2">
        <v>17</v>
      </c>
      <c r="E38" s="2">
        <v>3.3235000000000001E-2</v>
      </c>
      <c r="F38" s="2">
        <v>2.1340999999999999E-2</v>
      </c>
      <c r="G38" s="2">
        <v>1.05E-4</v>
      </c>
    </row>
    <row r="39" spans="1:7">
      <c r="A39" s="1">
        <v>6</v>
      </c>
      <c r="B39" s="7">
        <v>0.38009999999999999</v>
      </c>
      <c r="C39" s="2">
        <v>55.698999999999998</v>
      </c>
      <c r="D39" s="2">
        <v>365</v>
      </c>
      <c r="E39" s="2">
        <v>0.15260000000000001</v>
      </c>
      <c r="F39" s="2">
        <v>0.15010999999999999</v>
      </c>
      <c r="G39" s="2">
        <v>1.0307999999999999E-2</v>
      </c>
    </row>
    <row r="40" spans="1:7">
      <c r="A40" s="1">
        <v>7</v>
      </c>
      <c r="B40" s="7">
        <v>4.53E-2</v>
      </c>
      <c r="C40" s="2">
        <v>443068.56400000001</v>
      </c>
      <c r="D40" s="2">
        <v>46</v>
      </c>
      <c r="E40" s="2">
        <v>9631.9253040000003</v>
      </c>
      <c r="F40" s="2">
        <v>3790.9459259999999</v>
      </c>
      <c r="G40" s="2">
        <v>82.000496999999996</v>
      </c>
    </row>
    <row r="41" spans="1:7">
      <c r="A41" s="1">
        <v>8</v>
      </c>
      <c r="B41" s="7">
        <v>8.2000000000000003E-2</v>
      </c>
      <c r="C41" s="2">
        <v>13.808</v>
      </c>
      <c r="D41" s="2">
        <v>93</v>
      </c>
      <c r="E41" s="2">
        <v>0.14847299999999999</v>
      </c>
      <c r="F41" s="2">
        <v>0.12529000000000001</v>
      </c>
      <c r="G41" s="2">
        <v>2.5560000000000001E-3</v>
      </c>
    </row>
    <row r="42" spans="1:7">
      <c r="A42" s="1">
        <v>9</v>
      </c>
      <c r="B42" s="7">
        <v>6.1000000000000004E-3</v>
      </c>
      <c r="C42" s="2">
        <v>5209.3130000000001</v>
      </c>
      <c r="D42" s="2">
        <v>3</v>
      </c>
      <c r="E42" s="2">
        <v>1736.4376669999999</v>
      </c>
      <c r="F42" s="2">
        <v>81.985980999999995</v>
      </c>
      <c r="G42" s="2">
        <v>0.96410899999999999</v>
      </c>
    </row>
    <row r="43" spans="1:7">
      <c r="A43" s="1">
        <v>10</v>
      </c>
      <c r="B43" s="7">
        <v>5.4999999999999997E-3</v>
      </c>
      <c r="C43" s="2">
        <v>15271.464</v>
      </c>
      <c r="D43" s="2">
        <v>9</v>
      </c>
      <c r="E43" s="2">
        <v>1696.8293329999999</v>
      </c>
      <c r="F43" s="2">
        <v>395.05252200000001</v>
      </c>
      <c r="G43" s="2">
        <v>2.826352</v>
      </c>
    </row>
    <row r="44" spans="1:7">
      <c r="A44" s="1">
        <v>11</v>
      </c>
      <c r="B44" s="7">
        <v>9.7000000000000003E-3</v>
      </c>
      <c r="C44" s="2">
        <v>9865.7739999999994</v>
      </c>
      <c r="D44" s="2">
        <v>12</v>
      </c>
      <c r="E44" s="2">
        <v>822.14783299999999</v>
      </c>
      <c r="F44" s="2">
        <v>19.119382999999999</v>
      </c>
      <c r="G44" s="2">
        <v>1.8258989999999999</v>
      </c>
    </row>
    <row r="45" spans="1:7">
      <c r="A45" s="1">
        <v>12</v>
      </c>
      <c r="B45" s="7">
        <v>6.1999999999999998E-3</v>
      </c>
      <c r="C45" s="2">
        <v>11693.056</v>
      </c>
      <c r="D45" s="2">
        <v>5</v>
      </c>
      <c r="E45" s="2">
        <v>2338.6111999999998</v>
      </c>
      <c r="F45" s="2">
        <v>619.503289</v>
      </c>
      <c r="G45" s="2">
        <v>2.1640809999999999</v>
      </c>
    </row>
    <row r="46" spans="1:7">
      <c r="A46" s="1">
        <v>13</v>
      </c>
      <c r="B46" s="7">
        <v>6.1000000000000004E-3</v>
      </c>
      <c r="C46" s="2">
        <v>1263.29</v>
      </c>
      <c r="D46" s="2">
        <v>1</v>
      </c>
      <c r="E46" s="2">
        <v>1263.29</v>
      </c>
      <c r="F46" s="2" t="s">
        <v>8</v>
      </c>
      <c r="G46" s="2">
        <v>0.23380200000000001</v>
      </c>
    </row>
    <row r="47" spans="1:7">
      <c r="A47" s="1">
        <v>14</v>
      </c>
      <c r="B47" s="7">
        <v>1.6199999999999999E-2</v>
      </c>
      <c r="C47" s="2">
        <v>146.39699999999999</v>
      </c>
      <c r="D47" s="2">
        <v>21</v>
      </c>
      <c r="E47" s="2">
        <v>6.9712860000000001</v>
      </c>
      <c r="F47" s="2">
        <v>5.3107139999999999</v>
      </c>
      <c r="G47" s="2">
        <v>2.7094E-2</v>
      </c>
    </row>
    <row r="48" spans="1:7">
      <c r="A48" s="1">
        <v>15</v>
      </c>
      <c r="B48" s="7">
        <v>7.6899999999999996E-2</v>
      </c>
      <c r="C48" s="2">
        <v>719.2</v>
      </c>
      <c r="D48" s="2">
        <v>94</v>
      </c>
      <c r="E48" s="2">
        <v>7.6510639999999999</v>
      </c>
      <c r="F48" s="2">
        <v>5.4246119999999998</v>
      </c>
      <c r="G48" s="2">
        <v>0.133105</v>
      </c>
    </row>
    <row r="49" spans="5:5">
      <c r="E49" s="10">
        <f>SUMPRODUCT(B34:B48,E34:E48)</f>
        <v>539.34278542399989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2024-11-22T08:22:36Z</dcterms:modified>
</cp:coreProperties>
</file>