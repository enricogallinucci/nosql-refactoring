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enrico_gallinucci_unibo_it/Documents/Università/38 NoSQL refactoring/"/>
    </mc:Choice>
  </mc:AlternateContent>
  <xr:revisionPtr revIDLastSave="10" documentId="8_{DD314324-0EC6-4071-9405-9E0B05799420}" xr6:coauthVersionLast="47" xr6:coauthVersionMax="47" xr10:uidLastSave="{66C4872E-5B49-45B8-AE25-98258A515E5D}"/>
  <bookViews>
    <workbookView xWindow="-110" yWindow="-110" windowWidth="38620" windowHeight="21100" xr2:uid="{9DCFC8E8-6974-4295-BC43-7328B70AD737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1" l="1"/>
  <c r="E49" i="1"/>
  <c r="E30" i="1"/>
  <c r="E17" i="1"/>
  <c r="E8" i="1"/>
</calcChain>
</file>

<file path=xl/sharedStrings.xml><?xml version="1.0" encoding="utf-8"?>
<sst xmlns="http://schemas.openxmlformats.org/spreadsheetml/2006/main" count="40" uniqueCount="11">
  <si>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</si>
  <si>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</si>
  <si>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</si>
  <si>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</si>
  <si>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</si>
  <si>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</si>
  <si>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</si>
  <si>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</si>
  <si>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NaN</t>
  </si>
  <si>
    <t>2013 opt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</si>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</sst>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5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O49"/>
  <sheetViews>
    <sheetView tabSelected="1" workbookViewId="0">
      <selection activeCell="K12" sqref="K12"/>
    </sheetView>
  </sheetViews>
  <sheetFormatPr defaultColWidth="28.1640625" defaultRowHeight="14"/>
  <cols>
    <col min="1" max="1" width="14" bestFit="1" customWidth="1"/>
    <col min="2" max="2" width="6.25" bestFit="1" customWidth="1"/>
    <col min="3" max="3" width="18.83203125" bestFit="1" customWidth="1"/>
    <col min="4" max="4" width="14.83203125" bestFit="1" customWidth="1"/>
    <col min="5" max="5" width="19.25" bestFit="1" customWidth="1"/>
    <col min="6" max="6" width="21.58203125" bestFit="1" customWidth="1"/>
    <col min="7" max="7" width="24.1640625" bestFit="1" customWidth="1"/>
    <col min="8" max="8" width="14.75" customWidth="1"/>
    <col min="9" max="9" width="12.9140625" bestFit="1" customWidth="1"/>
    <col min="10" max="10" width="6.4140625" bestFit="1" customWidth="1"/>
    <col min="11" max="11" width="18.4140625" bestFit="1" customWidth="1"/>
    <col min="12" max="12" width="14.33203125" bestFit="1" customWidth="1"/>
    <col min="13" max="13" width="18.6640625" bestFit="1" customWidth="1"/>
    <col min="14" max="14" width="21.08203125" bestFit="1" customWidth="1"/>
    <col min="15" max="15" width="23.58203125" bestFit="1" customWidth="1"/>
  </cols>
  <sheetData>
    <row r="1" spans="1:7">
      <c r="A1" s="1">
        <v>2003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>
      <c r="B8" s="8"/>
      <c r="E8" s="10">
        <f>SUMPRODUCT(B3:B7,E3:E7)</f>
        <v>73.819725271400003</v>
      </c>
    </row>
    <row r="9" spans="1:7">
      <c r="B9" s="8"/>
      <c r="E9" s="6"/>
    </row>
    <row r="10" spans="1:7">
      <c r="A10" s="1" t="s">
        <v>6</v>
      </c>
      <c r="B10" s="1" t="s">
        <v>10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15">
      <c r="B17" s="8"/>
      <c r="E17" s="10">
        <f>SUMPRODUCT(B12:B16,E12:E16)</f>
        <v>7.5770482941999999</v>
      </c>
    </row>
    <row r="18" spans="1:15">
      <c r="B18" s="8"/>
    </row>
    <row r="19" spans="1:15">
      <c r="A19" s="1" t="s">
        <v>7</v>
      </c>
      <c r="B19" s="1" t="s">
        <v>10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9</v>
      </c>
      <c r="J19" s="1" t="s">
        <v>10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1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15">
      <c r="A21" s="1">
        <v>1</v>
      </c>
      <c r="B21" s="7">
        <v>0.1066</v>
      </c>
      <c r="C21" s="2">
        <v>339.476</v>
      </c>
      <c r="D21" s="2">
        <v>190</v>
      </c>
      <c r="E21" s="2">
        <v>1.786716</v>
      </c>
      <c r="F21" s="2">
        <v>1.4409419999999999</v>
      </c>
      <c r="G21" s="2">
        <v>10.697912000000001</v>
      </c>
      <c r="I21" s="1">
        <v>1</v>
      </c>
      <c r="J21" s="7">
        <v>0.1066</v>
      </c>
      <c r="K21" s="2">
        <v>339.476</v>
      </c>
      <c r="L21" s="2">
        <v>190</v>
      </c>
      <c r="M21" s="2">
        <v>1.786716</v>
      </c>
      <c r="N21" s="2">
        <v>1.4409419999999999</v>
      </c>
      <c r="O21" s="2">
        <v>10.697912000000001</v>
      </c>
    </row>
    <row r="22" spans="1:15">
      <c r="A22" s="1">
        <v>2</v>
      </c>
      <c r="B22" s="7">
        <v>1.3299999999999999E-2</v>
      </c>
      <c r="C22" s="2">
        <v>375.66399999999999</v>
      </c>
      <c r="D22" s="2">
        <v>25</v>
      </c>
      <c r="E22" s="2">
        <v>15.02656</v>
      </c>
      <c r="F22" s="2">
        <v>8.8009020000000007</v>
      </c>
      <c r="G22" s="2">
        <v>11.838305</v>
      </c>
      <c r="I22" s="1">
        <v>2</v>
      </c>
      <c r="J22" s="7">
        <v>1.3299999999999999E-2</v>
      </c>
      <c r="K22" s="2">
        <v>3813.8490000000002</v>
      </c>
      <c r="L22" s="2">
        <v>18</v>
      </c>
      <c r="M22" s="2">
        <v>211.88050000000001</v>
      </c>
      <c r="N22" s="2">
        <v>111.51075400000001</v>
      </c>
      <c r="O22" s="2">
        <v>28.714731</v>
      </c>
    </row>
    <row r="23" spans="1:15">
      <c r="A23" s="1">
        <v>3</v>
      </c>
      <c r="B23" s="7">
        <v>0.14130000000000001</v>
      </c>
      <c r="C23" s="2">
        <v>2152.9540000000002</v>
      </c>
      <c r="D23" s="2">
        <v>252</v>
      </c>
      <c r="E23" s="2">
        <v>8.5434680000000007</v>
      </c>
      <c r="F23" s="2">
        <v>5.3219180000000001</v>
      </c>
      <c r="G23" s="2">
        <v>67.846073000000004</v>
      </c>
      <c r="I23" s="1">
        <v>3</v>
      </c>
      <c r="J23" s="7">
        <v>0.14130000000000001</v>
      </c>
      <c r="K23" s="2">
        <v>758.21100000000001</v>
      </c>
      <c r="L23" s="2">
        <v>250</v>
      </c>
      <c r="M23" s="2">
        <v>3.0328439999999999</v>
      </c>
      <c r="N23" s="2">
        <v>1.990874</v>
      </c>
      <c r="O23" s="2">
        <v>5.7086230000000002</v>
      </c>
    </row>
    <row r="24" spans="1:15">
      <c r="A24" s="1">
        <v>4</v>
      </c>
      <c r="B24" s="7">
        <v>5.4699999999999999E-2</v>
      </c>
      <c r="C24" s="2">
        <v>5.7270000000000003</v>
      </c>
      <c r="D24" s="2">
        <v>112</v>
      </c>
      <c r="E24" s="2">
        <v>5.1133999999999999E-2</v>
      </c>
      <c r="F24" s="2">
        <v>2.8521000000000001E-2</v>
      </c>
      <c r="G24" s="2">
        <v>0.180475</v>
      </c>
      <c r="I24" s="1">
        <v>4</v>
      </c>
      <c r="J24" s="7">
        <v>5.4699999999999999E-2</v>
      </c>
      <c r="K24" s="2">
        <v>2.3639999999999999</v>
      </c>
      <c r="L24" s="2">
        <v>114</v>
      </c>
      <c r="M24" s="2">
        <v>2.0736999999999998E-2</v>
      </c>
      <c r="N24" s="2">
        <v>1.2681E-2</v>
      </c>
      <c r="O24" s="2">
        <v>1.7798999999999999E-2</v>
      </c>
    </row>
    <row r="25" spans="1:15">
      <c r="A25" s="1">
        <v>5</v>
      </c>
      <c r="B25" s="7">
        <v>4.6800000000000001E-2</v>
      </c>
      <c r="C25" s="2">
        <v>3.9329999999999998</v>
      </c>
      <c r="D25" s="2">
        <v>79</v>
      </c>
      <c r="E25" s="2">
        <v>4.9785000000000003E-2</v>
      </c>
      <c r="F25" s="2">
        <v>2.8247000000000001E-2</v>
      </c>
      <c r="G25" s="2">
        <v>0.123941</v>
      </c>
      <c r="I25" s="1">
        <v>5</v>
      </c>
      <c r="J25" s="7">
        <v>4.6800000000000001E-2</v>
      </c>
      <c r="K25" s="2">
        <v>1.792</v>
      </c>
      <c r="L25" s="2">
        <v>77</v>
      </c>
      <c r="M25" s="2">
        <v>2.3272999999999999E-2</v>
      </c>
      <c r="N25" s="2">
        <v>1.1186E-2</v>
      </c>
      <c r="O25" s="2">
        <v>1.3492000000000001E-2</v>
      </c>
    </row>
    <row r="26" spans="1:15">
      <c r="A26" s="1">
        <v>6</v>
      </c>
      <c r="B26" s="7">
        <v>0.10780000000000001</v>
      </c>
      <c r="C26" s="2">
        <v>49.753</v>
      </c>
      <c r="D26" s="2">
        <v>198</v>
      </c>
      <c r="E26" s="2">
        <v>0.251278</v>
      </c>
      <c r="F26" s="2">
        <v>0.26531900000000003</v>
      </c>
      <c r="G26" s="2">
        <v>1.5678669999999999</v>
      </c>
      <c r="I26" s="1">
        <v>6</v>
      </c>
      <c r="J26" s="7">
        <v>0.10780000000000001</v>
      </c>
      <c r="K26" s="2">
        <v>8.1669999999999998</v>
      </c>
      <c r="L26" s="2">
        <v>198</v>
      </c>
      <c r="M26" s="2">
        <v>4.1246999999999999E-2</v>
      </c>
      <c r="N26" s="2">
        <v>5.6744000000000003E-2</v>
      </c>
      <c r="O26" s="2">
        <v>6.1490000000000003E-2</v>
      </c>
    </row>
    <row r="27" spans="1:15">
      <c r="A27" s="1">
        <v>7</v>
      </c>
      <c r="B27" s="7">
        <v>3.49E-2</v>
      </c>
      <c r="C27" s="2">
        <v>3.1150000000000002</v>
      </c>
      <c r="D27" s="2">
        <v>56</v>
      </c>
      <c r="E27" s="2">
        <v>5.5625000000000001E-2</v>
      </c>
      <c r="F27" s="2">
        <v>2.3387000000000002E-2</v>
      </c>
      <c r="G27" s="2">
        <v>9.8163E-2</v>
      </c>
      <c r="I27" s="1">
        <v>7</v>
      </c>
      <c r="J27" s="7">
        <v>3.49E-2</v>
      </c>
      <c r="K27" s="2">
        <v>1.1060000000000001</v>
      </c>
      <c r="L27" s="2">
        <v>59</v>
      </c>
      <c r="M27" s="2">
        <v>1.8745999999999999E-2</v>
      </c>
      <c r="N27" s="2">
        <v>5.2050000000000004E-3</v>
      </c>
      <c r="O27" s="2">
        <v>8.3269999999999993E-3</v>
      </c>
    </row>
    <row r="28" spans="1:15">
      <c r="A28" s="1">
        <v>8</v>
      </c>
      <c r="B28" s="7">
        <v>2.63E-2</v>
      </c>
      <c r="C28" s="2">
        <v>1.504</v>
      </c>
      <c r="D28" s="2">
        <v>42</v>
      </c>
      <c r="E28" s="2">
        <v>3.5810000000000002E-2</v>
      </c>
      <c r="F28" s="2">
        <v>1.7661E-2</v>
      </c>
      <c r="G28" s="2">
        <v>4.7396000000000001E-2</v>
      </c>
      <c r="I28" s="1">
        <v>8</v>
      </c>
      <c r="J28" s="7">
        <v>2.63E-2</v>
      </c>
      <c r="K28" s="2">
        <v>0.91</v>
      </c>
      <c r="L28" s="2">
        <v>44</v>
      </c>
      <c r="M28" s="2">
        <v>2.0681999999999999E-2</v>
      </c>
      <c r="N28" s="2">
        <v>9.2630000000000004E-3</v>
      </c>
      <c r="O28" s="2">
        <v>6.8510000000000003E-3</v>
      </c>
    </row>
    <row r="29" spans="1:15">
      <c r="A29" s="1">
        <v>9</v>
      </c>
      <c r="B29" s="7">
        <v>2.7300000000000001E-2</v>
      </c>
      <c r="C29" s="2">
        <v>241.166</v>
      </c>
      <c r="D29" s="2">
        <v>46</v>
      </c>
      <c r="E29" s="2">
        <v>5.2427390000000003</v>
      </c>
      <c r="F29" s="2">
        <v>2.6341169999999998</v>
      </c>
      <c r="G29" s="2">
        <v>7.5998679999999998</v>
      </c>
      <c r="I29" s="1">
        <v>9</v>
      </c>
      <c r="J29" s="7">
        <v>2.7300000000000001E-2</v>
      </c>
      <c r="K29" s="2">
        <v>117.11</v>
      </c>
      <c r="L29" s="2">
        <v>44</v>
      </c>
      <c r="M29" s="2">
        <v>2.661591</v>
      </c>
      <c r="N29" s="2">
        <v>1.8746579999999999</v>
      </c>
      <c r="O29" s="2">
        <v>0.88172899999999998</v>
      </c>
    </row>
    <row r="30" spans="1:15">
      <c r="B30" s="8"/>
      <c r="E30" s="10">
        <f>SUMPRODUCT(B21:B29,E21:E29)</f>
        <v>1.7757338283999999</v>
      </c>
      <c r="M30" s="10">
        <f>SUMPRODUCT(J21:J29,M21:M29)</f>
        <v>3.5175449560000001</v>
      </c>
    </row>
    <row r="31" spans="1:15">
      <c r="B31" s="8"/>
    </row>
    <row r="32" spans="1:15">
      <c r="A32" s="1" t="s">
        <v>7</v>
      </c>
      <c r="B32" s="1" t="s">
        <v>10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</row>
    <row r="33" spans="1:7">
      <c r="A33" s="1" t="s">
        <v>5</v>
      </c>
      <c r="B33" s="9"/>
      <c r="C33" s="1"/>
      <c r="D33" s="1"/>
      <c r="E33" s="1"/>
      <c r="F33" s="1"/>
      <c r="G33" s="1"/>
    </row>
    <row r="34" spans="1:7">
      <c r="A34" s="1">
        <v>1</v>
      </c>
      <c r="B34" s="7">
        <v>7.9299999999999995E-2</v>
      </c>
      <c r="C34" s="2">
        <v>738.88699999999994</v>
      </c>
      <c r="D34" s="2">
        <v>94</v>
      </c>
      <c r="E34" s="2">
        <v>7.8605</v>
      </c>
      <c r="F34" s="2">
        <v>5.7957970000000003</v>
      </c>
      <c r="G34" s="2">
        <v>0.13674900000000001</v>
      </c>
    </row>
    <row r="35" spans="1:7">
      <c r="A35" s="1">
        <v>2</v>
      </c>
      <c r="B35" s="7">
        <v>6.1600000000000002E-2</v>
      </c>
      <c r="C35" s="2">
        <v>66.319000000000003</v>
      </c>
      <c r="D35" s="2">
        <v>80</v>
      </c>
      <c r="E35" s="2">
        <v>0.82898700000000003</v>
      </c>
      <c r="F35" s="2">
        <v>1.0384059999999999</v>
      </c>
      <c r="G35" s="2">
        <v>1.2274E-2</v>
      </c>
    </row>
    <row r="36" spans="1:7">
      <c r="A36" s="1">
        <v>3</v>
      </c>
      <c r="B36" s="7">
        <v>9.0300000000000005E-2</v>
      </c>
      <c r="C36" s="2">
        <v>10324.712</v>
      </c>
      <c r="D36" s="2">
        <v>79</v>
      </c>
      <c r="E36" s="2">
        <v>130.69255699999999</v>
      </c>
      <c r="F36" s="2">
        <v>132.04952900000001</v>
      </c>
      <c r="G36" s="2">
        <v>1.910836</v>
      </c>
    </row>
    <row r="37" spans="1:7">
      <c r="A37" s="1">
        <v>4</v>
      </c>
      <c r="B37" s="7">
        <v>7.6700000000000004E-2</v>
      </c>
      <c r="C37" s="2">
        <v>41887.194000000003</v>
      </c>
      <c r="D37" s="2">
        <v>81</v>
      </c>
      <c r="E37" s="2">
        <v>517.12585200000001</v>
      </c>
      <c r="F37" s="2">
        <v>199.646749</v>
      </c>
      <c r="G37" s="2">
        <v>7.7522330000000004</v>
      </c>
    </row>
    <row r="38" spans="1:7">
      <c r="A38" s="1">
        <v>5</v>
      </c>
      <c r="B38" s="7">
        <v>1.4200000000000001E-2</v>
      </c>
      <c r="C38" s="2">
        <v>0.56499999999999995</v>
      </c>
      <c r="D38" s="2">
        <v>17</v>
      </c>
      <c r="E38" s="2">
        <v>3.3235000000000001E-2</v>
      </c>
      <c r="F38" s="2">
        <v>2.1340999999999999E-2</v>
      </c>
      <c r="G38" s="2">
        <v>1.05E-4</v>
      </c>
    </row>
    <row r="39" spans="1:7">
      <c r="A39" s="1">
        <v>6</v>
      </c>
      <c r="B39" s="7">
        <v>0.38009999999999999</v>
      </c>
      <c r="C39" s="2">
        <v>55.698999999999998</v>
      </c>
      <c r="D39" s="2">
        <v>365</v>
      </c>
      <c r="E39" s="2">
        <v>0.15260000000000001</v>
      </c>
      <c r="F39" s="2">
        <v>0.15010999999999999</v>
      </c>
      <c r="G39" s="2">
        <v>1.0307999999999999E-2</v>
      </c>
    </row>
    <row r="40" spans="1:7">
      <c r="A40" s="1">
        <v>7</v>
      </c>
      <c r="B40" s="7">
        <v>4.53E-2</v>
      </c>
      <c r="C40" s="2">
        <v>443068.56400000001</v>
      </c>
      <c r="D40" s="2">
        <v>46</v>
      </c>
      <c r="E40" s="2">
        <v>9631.9253040000003</v>
      </c>
      <c r="F40" s="2">
        <v>3790.9459259999999</v>
      </c>
      <c r="G40" s="2">
        <v>82.000496999999996</v>
      </c>
    </row>
    <row r="41" spans="1:7">
      <c r="A41" s="1">
        <v>8</v>
      </c>
      <c r="B41" s="7">
        <v>8.2000000000000003E-2</v>
      </c>
      <c r="C41" s="2">
        <v>13.808</v>
      </c>
      <c r="D41" s="2">
        <v>93</v>
      </c>
      <c r="E41" s="2">
        <v>0.14847299999999999</v>
      </c>
      <c r="F41" s="2">
        <v>0.12529000000000001</v>
      </c>
      <c r="G41" s="2">
        <v>2.5560000000000001E-3</v>
      </c>
    </row>
    <row r="42" spans="1:7">
      <c r="A42" s="1">
        <v>9</v>
      </c>
      <c r="B42" s="7">
        <v>6.1000000000000004E-3</v>
      </c>
      <c r="C42" s="2">
        <v>5209.3130000000001</v>
      </c>
      <c r="D42" s="2">
        <v>3</v>
      </c>
      <c r="E42" s="2">
        <v>1736.4376669999999</v>
      </c>
      <c r="F42" s="2">
        <v>81.985980999999995</v>
      </c>
      <c r="G42" s="2">
        <v>0.96410899999999999</v>
      </c>
    </row>
    <row r="43" spans="1:7">
      <c r="A43" s="1">
        <v>10</v>
      </c>
      <c r="B43" s="7">
        <v>5.4999999999999997E-3</v>
      </c>
      <c r="C43" s="2">
        <v>15271.464</v>
      </c>
      <c r="D43" s="2">
        <v>9</v>
      </c>
      <c r="E43" s="2">
        <v>1696.8293329999999</v>
      </c>
      <c r="F43" s="2">
        <v>395.05252200000001</v>
      </c>
      <c r="G43" s="2">
        <v>2.826352</v>
      </c>
    </row>
    <row r="44" spans="1:7">
      <c r="A44" s="1">
        <v>11</v>
      </c>
      <c r="B44" s="7">
        <v>9.7000000000000003E-3</v>
      </c>
      <c r="C44" s="2">
        <v>9865.7739999999994</v>
      </c>
      <c r="D44" s="2">
        <v>12</v>
      </c>
      <c r="E44" s="2">
        <v>822.14783299999999</v>
      </c>
      <c r="F44" s="2">
        <v>19.119382999999999</v>
      </c>
      <c r="G44" s="2">
        <v>1.8258989999999999</v>
      </c>
    </row>
    <row r="45" spans="1:7">
      <c r="A45" s="1">
        <v>12</v>
      </c>
      <c r="B45" s="7">
        <v>6.1999999999999998E-3</v>
      </c>
      <c r="C45" s="2">
        <v>11693.056</v>
      </c>
      <c r="D45" s="2">
        <v>5</v>
      </c>
      <c r="E45" s="2">
        <v>2338.6111999999998</v>
      </c>
      <c r="F45" s="2">
        <v>619.503289</v>
      </c>
      <c r="G45" s="2">
        <v>2.1640809999999999</v>
      </c>
    </row>
    <row r="46" spans="1:7">
      <c r="A46" s="1">
        <v>13</v>
      </c>
      <c r="B46" s="7">
        <v>6.1000000000000004E-3</v>
      </c>
      <c r="C46" s="2">
        <v>1263.29</v>
      </c>
      <c r="D46" s="2">
        <v>1</v>
      </c>
      <c r="E46" s="2">
        <v>1263.29</v>
      </c>
      <c r="F46" s="2" t="s">
        <v>8</v>
      </c>
      <c r="G46" s="2">
        <v>0.23380200000000001</v>
      </c>
    </row>
    <row r="47" spans="1:7">
      <c r="A47" s="1">
        <v>14</v>
      </c>
      <c r="B47" s="7">
        <v>1.6199999999999999E-2</v>
      </c>
      <c r="C47" s="2">
        <v>146.39699999999999</v>
      </c>
      <c r="D47" s="2">
        <v>21</v>
      </c>
      <c r="E47" s="2">
        <v>6.9712860000000001</v>
      </c>
      <c r="F47" s="2">
        <v>5.3107139999999999</v>
      </c>
      <c r="G47" s="2">
        <v>2.7094E-2</v>
      </c>
    </row>
    <row r="48" spans="1:7">
      <c r="A48" s="1">
        <v>15</v>
      </c>
      <c r="B48" s="7">
        <v>7.6899999999999996E-2</v>
      </c>
      <c r="C48" s="2">
        <v>719.2</v>
      </c>
      <c r="D48" s="2">
        <v>94</v>
      </c>
      <c r="E48" s="2">
        <v>7.6510639999999999</v>
      </c>
      <c r="F48" s="2">
        <v>5.4246119999999998</v>
      </c>
      <c r="G48" s="2">
        <v>0.133105</v>
      </c>
    </row>
    <row r="49" spans="5:5">
      <c r="E49" s="10">
        <f>SUMPRODUCT(B34:B48,E34:E48)</f>
        <v>539.34278542399989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2024-11-21T09:44:51Z</dcterms:modified>
</cp:coreProperties>
</file>